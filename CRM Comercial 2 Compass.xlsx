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onzalo PL\Desktop\Automatizaciones\Automatizacione-EMP1\"/>
    </mc:Choice>
  </mc:AlternateContent>
  <xr:revisionPtr revIDLastSave="0" documentId="13_ncr:1_{B28634B2-E4A8-40A1-9728-9EEF2A88E6BB}" xr6:coauthVersionLast="47" xr6:coauthVersionMax="47" xr10:uidLastSave="{00000000-0000-0000-0000-000000000000}"/>
  <bookViews>
    <workbookView xWindow="28680" yWindow="-120" windowWidth="29040" windowHeight="15720" activeTab="2" xr2:uid="{4C01EB41-D205-410D-966C-732FE24FB6DB}"/>
  </bookViews>
  <sheets>
    <sheet name="AGENDA" sheetId="5" r:id="rId1"/>
    <sheet name="Base CRM" sheetId="1" r:id="rId2"/>
    <sheet name="CIERRE" sheetId="6" r:id="rId3"/>
    <sheet name="Detalle" sheetId="4" r:id="rId4"/>
  </sheets>
  <definedNames>
    <definedName name="NativeTimeline_Fecha">#N/A</definedName>
  </definedNames>
  <calcPr calcId="191028"/>
  <pivotCaches>
    <pivotCache cacheId="0" r:id="rId5"/>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6" l="1"/>
  <c r="L5" i="6"/>
  <c r="M5" i="6" s="1"/>
  <c r="N4" i="6"/>
  <c r="V235" i="1" l="1"/>
  <c r="V233" i="1"/>
  <c r="V232" i="1"/>
  <c r="V231" i="1"/>
  <c r="V230" i="1"/>
  <c r="V229" i="1"/>
  <c r="V228" i="1"/>
  <c r="V227" i="1"/>
  <c r="V226" i="1"/>
  <c r="V225" i="1"/>
  <c r="V224" i="1"/>
  <c r="V195" i="1"/>
  <c r="V194" i="1"/>
  <c r="V193" i="1"/>
  <c r="V192" i="1"/>
  <c r="V191" i="1"/>
  <c r="V168" i="1"/>
  <c r="V167" i="1"/>
  <c r="V166" i="1"/>
  <c r="V165" i="1"/>
  <c r="V164" i="1"/>
  <c r="V163" i="1"/>
  <c r="V162" i="1"/>
  <c r="V161" i="1"/>
  <c r="V160" i="1"/>
  <c r="V78" i="1"/>
  <c r="V77" i="1" l="1"/>
  <c r="V76" i="1"/>
  <c r="V75" i="1"/>
  <c r="V74" i="1"/>
  <c r="V73" i="1"/>
  <c r="V72" i="1"/>
  <c r="V71" i="1"/>
  <c r="V70" i="1"/>
  <c r="V69" i="1"/>
  <c r="V68" i="1"/>
  <c r="V67" i="1"/>
  <c r="V66" i="1"/>
  <c r="V65" i="1"/>
  <c r="V64" i="1"/>
  <c r="V63" i="1"/>
  <c r="V62" i="1"/>
  <c r="V61" i="1"/>
  <c r="V60" i="1"/>
  <c r="V59" i="1"/>
  <c r="V58" i="1"/>
  <c r="V57" i="1"/>
  <c r="V56" i="1"/>
  <c r="V55" i="1"/>
  <c r="V54" i="1"/>
  <c r="V53" i="1"/>
  <c r="V52" i="1"/>
  <c r="V51" i="1"/>
  <c r="V50" i="1"/>
  <c r="V49" i="1"/>
  <c r="V48" i="1"/>
  <c r="V47" i="1"/>
  <c r="V46" i="1"/>
  <c r="V45" i="1"/>
  <c r="V44" i="1"/>
  <c r="V43" i="1"/>
  <c r="V42" i="1"/>
  <c r="V41" i="1"/>
  <c r="V40" i="1"/>
  <c r="V39" i="1"/>
  <c r="V38" i="1"/>
  <c r="V37" i="1"/>
  <c r="V36" i="1"/>
  <c r="V35" i="1"/>
  <c r="V34" i="1"/>
  <c r="V33" i="1"/>
  <c r="V32" i="1"/>
  <c r="V31" i="1"/>
  <c r="V30" i="1"/>
  <c r="V29" i="1"/>
  <c r="V28" i="1"/>
  <c r="V27" i="1"/>
  <c r="V26" i="1"/>
  <c r="V3" i="1"/>
  <c r="V4" i="1"/>
  <c r="V5" i="1"/>
  <c r="V6" i="1"/>
  <c r="V7" i="1"/>
  <c r="V8" i="1"/>
  <c r="V9" i="1"/>
  <c r="V10" i="1"/>
  <c r="V11" i="1"/>
  <c r="V12" i="1"/>
  <c r="V13" i="1"/>
  <c r="V14" i="1"/>
  <c r="V15" i="1"/>
  <c r="V16" i="1"/>
  <c r="V17" i="1"/>
  <c r="V18" i="1"/>
  <c r="V19" i="1"/>
  <c r="V20" i="1"/>
  <c r="V21" i="1"/>
  <c r="V22" i="1"/>
  <c r="V23" i="1"/>
  <c r="V24" i="1"/>
  <c r="V25" i="1"/>
</calcChain>
</file>

<file path=xl/sharedStrings.xml><?xml version="1.0" encoding="utf-8"?>
<sst xmlns="http://schemas.openxmlformats.org/spreadsheetml/2006/main" count="2732" uniqueCount="504">
  <si>
    <t>Estado</t>
  </si>
  <si>
    <t>Contactado interesado</t>
  </si>
  <si>
    <t>SEGUIMIENTOS DIARIOS</t>
  </si>
  <si>
    <t>Fecha</t>
  </si>
  <si>
    <t>Cuenta de Fecha</t>
  </si>
  <si>
    <t>Razón Social</t>
  </si>
  <si>
    <t>Descripción</t>
  </si>
  <si>
    <t>No recuerda su nombre</t>
  </si>
  <si>
    <t>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t>
  </si>
  <si>
    <t>Quiñones Angelo</t>
  </si>
  <si>
    <t>El Señor Quiñones junto con su pareja(socia) indica que nos visitará el próximo Sábado 8 de Noviembre ya que este Sábado es feriado, en la semana se les hace complicado si pudiera antes nos avisa.</t>
  </si>
  <si>
    <t>Total general</t>
  </si>
  <si>
    <t>Propuesta enviada</t>
  </si>
  <si>
    <t>COTIZACIONES</t>
  </si>
  <si>
    <t>Cuenta de No. Cotización</t>
  </si>
  <si>
    <t>Hotel Carlitos</t>
  </si>
  <si>
    <t>Queria implementar lavandería, nos encontrabamos en espera de reunión de socios pero no nos responde el celular</t>
  </si>
  <si>
    <t>Multiservicios Angeles Comerciales SAC</t>
  </si>
  <si>
    <t>Desea  implementar lavandería, sigue evaluando propuestas, se habló de nuestros productos y beneficios su compra máximo segunda semana de Noviembre, se le comunicó que por su compra inmediata se le puede hacer un precio especial.</t>
  </si>
  <si>
    <t>No la recuerda</t>
  </si>
  <si>
    <t>La Sra. Huamani viene en Diciembre para verlas fiscamente llamarla en quincena de Noviembre</t>
  </si>
  <si>
    <t>Seventh Heaven SRL</t>
  </si>
  <si>
    <t>Cotización de Lavadora, Sr Ureta manifiesta que ha solicitado un préstamo, en espera</t>
  </si>
  <si>
    <t>Sr. Ureta se ha interesado en separar calandría, nos avisará cuando realize el pago</t>
  </si>
  <si>
    <t>Valgut Sac</t>
  </si>
  <si>
    <t>Se le timbró nuevamente al celular comunicandole el ajuste y dará respuesta el dia Lunes 3 de Noviembre por tener proforma de la competencia, se le emitió nueva cotización</t>
  </si>
  <si>
    <t>Rodriguez Jenny</t>
  </si>
  <si>
    <t>Nuevamente intentamos contactarla, se ha dejado varios mensajes al parecer no se encuentra interesado</t>
  </si>
  <si>
    <t>Carrasco Luis Miguel ( No trabajan formal)</t>
  </si>
  <si>
    <t>Manifestó por whatsapp que él se comunicará con nosotros</t>
  </si>
  <si>
    <t>Proper Perú SAC</t>
  </si>
  <si>
    <t>Se le timbró hoy al celular se encontraba en reunión no podía hablar, se le dejó mensaje en whatsapp de seguimiento y luego nos respondió indicando que hoy en la tarde tienen revisión de proformas.</t>
  </si>
  <si>
    <t>No.</t>
  </si>
  <si>
    <t>Contacto</t>
  </si>
  <si>
    <t>Cargo</t>
  </si>
  <si>
    <t>teléfono</t>
  </si>
  <si>
    <t>Mail</t>
  </si>
  <si>
    <t>RUC</t>
  </si>
  <si>
    <t>Web</t>
  </si>
  <si>
    <t>Departamento</t>
  </si>
  <si>
    <t>Distrito</t>
  </si>
  <si>
    <t>Rubro</t>
  </si>
  <si>
    <t>Tipo de producto</t>
  </si>
  <si>
    <t>Origen del lead</t>
  </si>
  <si>
    <t>Monto de la oportunidad</t>
  </si>
  <si>
    <t>No. Cotización</t>
  </si>
  <si>
    <t>Valor Cotización</t>
  </si>
  <si>
    <t>Fecha seguimiento</t>
  </si>
  <si>
    <t>Semana</t>
  </si>
  <si>
    <t>Liliana Aldana</t>
  </si>
  <si>
    <t>Navarro Patricia</t>
  </si>
  <si>
    <t>Dueña</t>
  </si>
  <si>
    <t>926588480/926588580</t>
  </si>
  <si>
    <t>Lavandería Iespa ( Nombre Comercial)</t>
  </si>
  <si>
    <t>10214783385/104822824612</t>
  </si>
  <si>
    <t>Ica</t>
  </si>
  <si>
    <t>Chincha</t>
  </si>
  <si>
    <t>Lavandería Comercial</t>
  </si>
  <si>
    <t>Equipo</t>
  </si>
  <si>
    <t>Whatsapp</t>
  </si>
  <si>
    <t>La señora se comunicó a traves del whatsapp, está interesada en la lavadoras de autoservicio con monedas, se le indicó que está por llegar el dispositivo para Noviembre. Se le va a envío cotización por el momento de lavadora</t>
  </si>
  <si>
    <t>0001-25</t>
  </si>
  <si>
    <t>Barzola Arthur Jhonatan</t>
  </si>
  <si>
    <t>Quería información de equipos LG, Se le llamó sin exito</t>
  </si>
  <si>
    <t>Pendiente</t>
  </si>
  <si>
    <t>Liiliana Aldana</t>
  </si>
  <si>
    <t>Recepcionista</t>
  </si>
  <si>
    <t>Hostal Fortuna</t>
  </si>
  <si>
    <t>Lima</t>
  </si>
  <si>
    <t>Miraflores</t>
  </si>
  <si>
    <t>Otro</t>
  </si>
  <si>
    <t>Recepcionista indicó que Gerente regresa el próximo mes, trabajaban tercerizando</t>
  </si>
  <si>
    <t>pllerena@aquavithotel.com</t>
  </si>
  <si>
    <t>Hotel Aquavit</t>
  </si>
  <si>
    <t>Cañete</t>
  </si>
  <si>
    <t>Asia</t>
  </si>
  <si>
    <t>Hotelería</t>
  </si>
  <si>
    <t>Se envió catálogo al correo de contacto que aparece en respuesta de internet</t>
  </si>
  <si>
    <t>Contactado</t>
  </si>
  <si>
    <t>concierge@andean.travel</t>
  </si>
  <si>
    <t>Grupo Andean</t>
  </si>
  <si>
    <t>Barranco</t>
  </si>
  <si>
    <t xml:space="preserve">Es un grupo de 6 hoteles se habló con recepcionista y  se envió catálogo al correo </t>
  </si>
  <si>
    <t>Hotel Barranco-La Quinta de Alison</t>
  </si>
  <si>
    <t>El administrador no se encontraba se volverá a llamar</t>
  </si>
  <si>
    <t>No se encuentran interesados</t>
  </si>
  <si>
    <t>Jack Lozano</t>
  </si>
  <si>
    <t>Almacen/Compras</t>
  </si>
  <si>
    <t>7112000/994632938</t>
  </si>
  <si>
    <t>Hoteles Costa del Sol</t>
  </si>
  <si>
    <t>Callao</t>
  </si>
  <si>
    <t>Su asistente Johana indicó que le enviara información a su whatsapp y se le envió</t>
  </si>
  <si>
    <t>Marlene Galicia</t>
  </si>
  <si>
    <t>Compras</t>
  </si>
  <si>
    <t>marlene.galicia@sheraton.com</t>
  </si>
  <si>
    <t>Sheraton Lima Hotel &amp; Convention Center</t>
  </si>
  <si>
    <t>Se habló con recepcionista y nos dió el contacto de la persona encargada de compras, se envió catálogo a su correo.</t>
  </si>
  <si>
    <t>hotelcontinentalperu@gmail.com</t>
  </si>
  <si>
    <t>Hotel Continental</t>
  </si>
  <si>
    <t>Se habló con recepcionista no quiso dar información, solo nos indicó  que enviemos el correo y se envió catálogo.</t>
  </si>
  <si>
    <t>hotel-palacio@hotmail.com</t>
  </si>
  <si>
    <t>Hostal Palacio</t>
  </si>
  <si>
    <t>Se llamó reiterativamente a su teléfono fijo y no respondieron, se envió correo con el catálago ya que en la data está confirmado su mail y se tiene la i nformación que cuenta con lavadoras domesticas.</t>
  </si>
  <si>
    <t>hotelinternacional763@hotmail.com</t>
  </si>
  <si>
    <t>Hotel Internacional</t>
  </si>
  <si>
    <t>Se llamó reiterativamente a su teléfono fijo y no respondieron, se envió correo con el catálago ya que en la data está confirmado su mail y se tiene la i nformación que cuenta con lavandería.</t>
  </si>
  <si>
    <t>gerencia@inkapath.com</t>
  </si>
  <si>
    <t>Hotel Inka Path</t>
  </si>
  <si>
    <t>reservas@hotelanthonys.com</t>
  </si>
  <si>
    <t>Hotel Anthonys</t>
  </si>
  <si>
    <t xml:space="preserve">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t>
  </si>
  <si>
    <t>administración@hotelolaya.com.pe/gerencia@hotelolaya.com.pe</t>
  </si>
  <si>
    <t>Hotel Olaya</t>
  </si>
  <si>
    <t>Se habló con recepcionista Miriam indicó que enviemos el correo a Gerencia y Administración (Ruth Muñoz y Jorge Muñoz)según nuestra Data cuentan con lavandería. Se envió correo con catálogo.</t>
  </si>
  <si>
    <t>info@aroromero.com</t>
  </si>
  <si>
    <t>Hotel Aro Romero Resort</t>
  </si>
  <si>
    <t>Chosica</t>
  </si>
  <si>
    <t>No funcionan sus telefónos fijos como según nuestra data esta confirmado correo se volvió a enviar información con catálogo y también se envió al número de whatsapp que figura en su página.</t>
  </si>
  <si>
    <t>informes@elangolochosica.com</t>
  </si>
  <si>
    <t>Hotel El Angolo</t>
  </si>
  <si>
    <t>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t>
  </si>
  <si>
    <t>Peña Tasayco Fiorella</t>
  </si>
  <si>
    <t>fiorella22303@gmail.com</t>
  </si>
  <si>
    <t>Por definir</t>
  </si>
  <si>
    <t>San Juan de Lurigancho</t>
  </si>
  <si>
    <t>Se  estableció contacto por llamada telefonica va a poner su emprendimiento de lavandería formalmente, va a procesar 50 kilos diarios aprox. cuenta con dos lavadoras domesticas Lg y Mabe de 16 kilos no cuenta con secadora, tiene conexion a gas natural, se envió cotización.</t>
  </si>
  <si>
    <t>0002-25</t>
  </si>
  <si>
    <t>Herrera Carlos</t>
  </si>
  <si>
    <t>Dueño</t>
  </si>
  <si>
    <t>carlos.herrera.gonzaga@gmail.com</t>
  </si>
  <si>
    <t>Cerro de Pasco</t>
  </si>
  <si>
    <t>Se conversó con Sr Carlos Herrera nos indica que va implementar su lavandería para su hotel de 16 habitaciones tiene espacio prefiere secadora electrica. Se envió cotización.</t>
  </si>
  <si>
    <t>0004-25</t>
  </si>
  <si>
    <t>Ramos Campo Marleny</t>
  </si>
  <si>
    <t>Lo va a sacar en esta semana</t>
  </si>
  <si>
    <t>Pucusana</t>
  </si>
  <si>
    <t>La señora es una persona mayor esta interesada sin embargo ya compró lavadoras marca kenmore y mabe  (domesticas).Se le envió cotización a su whatsapp no usa correo podría comprar una semindustrial</t>
  </si>
  <si>
    <t>0003-25</t>
  </si>
  <si>
    <t>Joseph Anco</t>
  </si>
  <si>
    <t>angeles.comerciales.ventas@gmail.com</t>
  </si>
  <si>
    <t>Arequipa</t>
  </si>
  <si>
    <t>Varios</t>
  </si>
  <si>
    <t>El señor Anco manifestó que va a realizar un emprendimiento pararelo que se va extender a coorporativo, area para ello de 20 m2, ha solicitado cotización de lavadora, secadora y mesa de planchado. Se envió cotización. Su compra estimada 15 de Noviembre.</t>
  </si>
  <si>
    <t>0005-25</t>
  </si>
  <si>
    <t>Andia Zeballos Manuel Renatto</t>
  </si>
  <si>
    <t>valgutsac@gmail.com</t>
  </si>
  <si>
    <t>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t>
  </si>
  <si>
    <t>0006-25</t>
  </si>
  <si>
    <t>Condori Ramos Marco Raul</t>
  </si>
  <si>
    <t>marco.condoriramos420@gmail.com</t>
  </si>
  <si>
    <t>Lavandería La Solución (Nombre comercial)</t>
  </si>
  <si>
    <t>Lo va a sacar</t>
  </si>
  <si>
    <t>El señor Condori tiene 2 lavanderias pero quiere mejores equipos en lavadora y secadora ya que tiene lavadoras domesticas.tiene un estimado de 50 kilos x dia.su compra estimada es en 2 semanas.Tiene un presupuesto de 10000 soles. Se envió propuesta</t>
  </si>
  <si>
    <t>0007-25</t>
  </si>
  <si>
    <t>Jenny Valdiviezo</t>
  </si>
  <si>
    <t>Victor  Ureta</t>
  </si>
  <si>
    <t>lichiufb@gmail.com</t>
  </si>
  <si>
    <t>Cusco</t>
  </si>
  <si>
    <t>Tuvimos una llamada por 30 minutos con El señor Ureta (dueño )el cual tiene un Hotel en Cusco,Lava 120 kilos al dia se interesó por las lavadora LG de 17 Kilos con secadora, Viene mañana Viernes 24 de Octubre a la planta para concretar posible venta.</t>
  </si>
  <si>
    <t>0008-25</t>
  </si>
  <si>
    <t>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t>
  </si>
  <si>
    <t>Intentamos comiunicarnos nuevamente esta vez llamando a su celular, Se le llamó sin éxito , durante la semana se le ha escrito a su Whatsapp solicitandole tiempo de sus parte para  orientarlo mejor en sus equipos</t>
  </si>
  <si>
    <t>Se habló nuevamente con recepcionista manifestó que si lo derivó pero que no les han indicado nada.</t>
  </si>
  <si>
    <t>No hay respuesta tanto de telefono como email</t>
  </si>
  <si>
    <t>Es un grupo de 6 hoteles.No hay respuesta</t>
  </si>
  <si>
    <t>Volver a llamar no ubicamos al administrador y no quieren dar mas informaci´´on</t>
  </si>
  <si>
    <t>Recepcionista dijo que se encontraba en reunión de Gerencia, no tenía información alguna.</t>
  </si>
  <si>
    <t>Se habló con recepcionista  Ana Paula nos tomo el mensaje para por  interno comunicarle a la Srta. Galicia, le dimos un poco mas de información a ella para que nos apoye y quedamos en llamarle el día Lunes  27 de Octubre.</t>
  </si>
  <si>
    <t>Se habló con recepción nuevamente por respuesta de nuestro catálogo y manifestó que tienen equipos nuevos no se encuentran interesados.</t>
  </si>
  <si>
    <t>El telefóno fijo está fuera de servicio, no hay respuesta en el correo por catálogo enviado.</t>
  </si>
  <si>
    <t>El telefóno fijo no responde, no hay respuesta en el correo por catálogo enviado.</t>
  </si>
  <si>
    <t xml:space="preserve">Se habló con recepcionista Diana nuevamente por respuesta de nuestro correo,manifesto que no le han  ndicado nada, le solicité el contacto pero no se lo permiten. </t>
  </si>
  <si>
    <t>Se habló con recepcionista Miriam indicó que no tiene  ninguna indicación ni respuesta del correro que se envió.</t>
  </si>
  <si>
    <t>Recepcionista indicó que se comunicarán si hubiera alguna necesidad con nuestros datos ya dejados pero por el momento no tiene respuesta.</t>
  </si>
  <si>
    <t>Jorge Ramirez</t>
  </si>
  <si>
    <t>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t>
  </si>
  <si>
    <t>No respondió su celular, se le dejó mensaje de seguimiento a su whatsapp</t>
  </si>
  <si>
    <t>Se conversó con Sr Carlos Herrera manifestó que en la reunión con su grupo de socios tocarán el tema para evaluarla le indicamos que cualquier duda nos llame, respondió que podriamos llamarlo la próxima semana por alguna respuesta.</t>
  </si>
  <si>
    <t>No respondió su celular, se le dejó mensaje de seguimiento a su whatsapp, posteriormente devolvío la llamada indicando que cualquier cosita se comunicaba con nosotros ya que tiene la proforma.</t>
  </si>
  <si>
    <t>Indica que cotización enviada se escapa de su presupuesto, estaba manejando, indicó le enviaran una proforma de menor costo, se le envió una nueva cotización.</t>
  </si>
  <si>
    <t>0009-25</t>
  </si>
  <si>
    <t>La hija del Sr Ureta se comunicó con nosotros para postergar la visita para el día de mañana Sábado 25 de Octubre a las 10 y 30 am por motivos de una cita de salud.</t>
  </si>
  <si>
    <t>Potencial cierre</t>
  </si>
  <si>
    <t>Jorge Alvarado</t>
  </si>
  <si>
    <t>jalvarado@barymas.com</t>
  </si>
  <si>
    <t>Barymas Servicios SAC</t>
  </si>
  <si>
    <t>Chaclacayo</t>
  </si>
  <si>
    <t>Otros: Marina/Ejército/Bomberos</t>
  </si>
  <si>
    <t>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t>
  </si>
  <si>
    <t>0010-25</t>
  </si>
  <si>
    <t>Huamani Annie Lisbeth</t>
  </si>
  <si>
    <t>annie-lu-se@outlook.com</t>
  </si>
  <si>
    <t>Es el Ruc de su mamá</t>
  </si>
  <si>
    <t>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t>
  </si>
  <si>
    <t>0011-25</t>
  </si>
  <si>
    <t>Ortiz Luis Alberto</t>
  </si>
  <si>
    <t>luis.alberto.ortiz.43@gmail.com</t>
  </si>
  <si>
    <t>El señor Ortiz va a poner un emprendimiento, requiere asesoría no repondió su celular se le dejó mensaje de identificación en su whatsapp.</t>
  </si>
  <si>
    <t>angeloqa12@gmail.com</t>
  </si>
  <si>
    <t>Va a poner emprendimiento</t>
  </si>
  <si>
    <t>Todavía no tiene</t>
  </si>
  <si>
    <t>Surco</t>
  </si>
  <si>
    <t>El señor Quiñones va a iniciar con un negocio de lavandería, no sabe cuantos kilos procesará por kilo, solicita cotización de Equipos de 13 kilos y 17 kilos mas 1 planchador. Se envió cotizacion</t>
  </si>
  <si>
    <t>0013-25</t>
  </si>
  <si>
    <t>Se le llamó al celular que indicaron no estaba la dueña, se volverá a llamar</t>
  </si>
  <si>
    <t>Carrasco Luis Miguel</t>
  </si>
  <si>
    <t>sengu4lch@gmail.com</t>
  </si>
  <si>
    <t>No trabajan formal</t>
  </si>
  <si>
    <t>No tiene</t>
  </si>
  <si>
    <t>El señor Carrasco ya tiene lavandería pero esta buscando una lavadora semindustrial para capacidad de edredones, su presupuesto es aprox. 20,000.Se le envió cotización.</t>
  </si>
  <si>
    <t>0014-25</t>
  </si>
  <si>
    <t>No responde se volverá a llamar</t>
  </si>
  <si>
    <t>El celular sale apagado</t>
  </si>
  <si>
    <t>Contactado no interesado</t>
  </si>
  <si>
    <t>Volver a llamar Lunes 27 de Octubre por respuesta</t>
  </si>
  <si>
    <t>Se volvió a llamar,dejamos un mensaje a su whatsapp</t>
  </si>
  <si>
    <t>Volver a llamarlo el dia Viernes 30 de Octubre</t>
  </si>
  <si>
    <t>Se volverá a llamar el dia Viernes 30 de Octubre por respuesta</t>
  </si>
  <si>
    <t>Se le llamará hoy Sábado 25 de Octubre por que solicitó un ajusyte en el precio.</t>
  </si>
  <si>
    <t>El señor Condori indica que hoy revisará la nueva cotización</t>
  </si>
  <si>
    <t>Se le llamó al celular y se le escribió no hay respuesta.</t>
  </si>
  <si>
    <t>Se le dejó mensaje no responde</t>
  </si>
  <si>
    <t>Indico iba a revisar la cotización</t>
  </si>
  <si>
    <t>Visitó hoy 25 de Octubre, posible compra</t>
  </si>
  <si>
    <t xml:space="preserve">00012-25 </t>
  </si>
  <si>
    <t xml:space="preserve">00015-25 </t>
  </si>
  <si>
    <t>Va a poner emprendimiento, todavía no tiene respuesta de parte de su pareja socia</t>
  </si>
  <si>
    <t>El señor Quiñones va a iniciar con un negocio de lavandería Todavía no hay respuesta tiene que conversarlo con su socia(Pareja)</t>
  </si>
  <si>
    <t>No tenemos información</t>
  </si>
  <si>
    <t>Se volvió a llamar el dia de hoy Lunes 27 y nos cortan</t>
  </si>
  <si>
    <t>Se volvió a llamar, no responde se dejó mensaje en whatsapp</t>
  </si>
  <si>
    <t>El celular sale apagado nuevamente</t>
  </si>
  <si>
    <t>No hay respuesta, Contactado no interesado</t>
  </si>
  <si>
    <t>Se conversó con él y estamos a la espera de reunión con Socios, quedamos en llamarlo el dia Viernes 30 de Octubre.</t>
  </si>
  <si>
    <t>El señor Condori indica que hoy revisará la nueva cotización, se envió una segunda cotización por ajuste de su presupuesto.</t>
  </si>
  <si>
    <t>Se le llamó al celular y se le escribió nuevamente no hay respuesta.</t>
  </si>
  <si>
    <t>Se le llamó hoy por respuesta de la cotización, se le hizo un ajuste pero indica esta viendo adicionalmente otros proveedores.</t>
  </si>
  <si>
    <t>Se le timbró hoy acerca de su visita pero no responde, se le dejó mensaje a su whatsapp, respondió que llamará temprano para visitarnos ese mimo día</t>
  </si>
  <si>
    <t>Se conversó hoy con la Sra. Huamani menciona que quiere ver su tiempo para viajar a  Lima y ver presencialmente la lavadora lo mas probable indica que sería en Diciembre.</t>
  </si>
  <si>
    <t>El señor Ortiz va a poner un emprendimiento, requiere asesoría no repondió su celular  nuevamente se le dejó mensaje de identificación en su whatsapp.</t>
  </si>
  <si>
    <t>Mogollón Mauro</t>
  </si>
  <si>
    <t>mauro0905m@gmail.com</t>
  </si>
  <si>
    <t>Cliente solicitó información de lavadoras semiindustriales, no responde, se le dejó mensaje en Whatsapp, el DNI dejado al aparecer está incorrecto no se le puede filtrar</t>
  </si>
  <si>
    <t>jenny13roes@gmail.com</t>
  </si>
  <si>
    <t>Cliente solicitó información de lavadora Primus FX 280, no responde, se le dejó mensaje en Whatsapp.</t>
  </si>
  <si>
    <t>Hotel Flamingo</t>
  </si>
  <si>
    <t>Lince</t>
  </si>
  <si>
    <t>Se habló con Recepción e indicó que en este momento están tercerizando pero no quisieron dar información del contacto de lavandería.Manifestaron igual que enviaran el correo para tenernos para cualquier contacto.</t>
  </si>
  <si>
    <t>Hotel Mandarin</t>
  </si>
  <si>
    <t>Se habló con Recepción e indicó que en este momento están prohibidos dar información del contacto de lavandería.</t>
  </si>
  <si>
    <t>Katia Hernández</t>
  </si>
  <si>
    <t>Jefa de Logistica y compras</t>
  </si>
  <si>
    <t>khernandez@elbosque.org.pe</t>
  </si>
  <si>
    <t>Country Club El Bosque</t>
  </si>
  <si>
    <t>Se le llamó por celular  no respondió, se le envió mensaje de presentación a su whatsapp y correo</t>
  </si>
  <si>
    <t>Rosario Carpena</t>
  </si>
  <si>
    <t>Gerente</t>
  </si>
  <si>
    <t>reservas@hotelyeyas.com</t>
  </si>
  <si>
    <t>Hotel Yeyas</t>
  </si>
  <si>
    <t>Se habló con recepcionista indicó que le enviaran información al correo registrado que es el mismo.Se le envió correo</t>
  </si>
  <si>
    <t>No quiso dar su nombre</t>
  </si>
  <si>
    <t>Administrador</t>
  </si>
  <si>
    <t>Hotel Javer Prado Inn</t>
  </si>
  <si>
    <t>Indican que tercerizan con Corporación Lavassa</t>
  </si>
  <si>
    <t>Alexander Golac</t>
  </si>
  <si>
    <t>Gerente de Compras</t>
  </si>
  <si>
    <t>918337428/918337429/977129080</t>
  </si>
  <si>
    <t>servicios@corporacionlavassa.pe</t>
  </si>
  <si>
    <t>Corporación Lavassa SAC</t>
  </si>
  <si>
    <t>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t>
  </si>
  <si>
    <t>info@hotellamolina.com.pe</t>
  </si>
  <si>
    <t>Hotel La  Molina</t>
  </si>
  <si>
    <t>La  Molina</t>
  </si>
  <si>
    <t>Se habló con recepcionista e indicó que enviemos correo, es el mismo que se encuentra en Data. Se envió correo</t>
  </si>
  <si>
    <t>invotel@gmail.com</t>
  </si>
  <si>
    <t>Hotel Serenzza</t>
  </si>
  <si>
    <t>La Victoria</t>
  </si>
  <si>
    <t>El Señor Quiñones se encuentra interesado en visitar la planta, quedó en confirmarme en estos dias tiene que coordinarlo con su pareja (Socia)</t>
  </si>
  <si>
    <t>El señor Quiñones junto con su pareja (socia )estan coordinando que día podrían venir a la planta, indican posiblemnete mañana o pasado</t>
  </si>
  <si>
    <t>No tenemos información su celular timbra no responden se le dejó mensaje en su whatsapp de seguimiento</t>
  </si>
  <si>
    <t>Se le timbró nuevamente al señor Carrasco por respuesta de la cotización enviada y no responde estaba buscando una lavadora para edredones</t>
  </si>
  <si>
    <t>El celular ya sale operativo depues de estar apagado pero no responden se le dejó un mensaje a su whatsapp</t>
  </si>
  <si>
    <t>El Señor Condori va a viajar a Lima tiene previsto venir el Lunes 3 de Noviembre esta viendo otras opciones, le apareció adecuada el precio de la lavadora LG de 13 kilos</t>
  </si>
  <si>
    <t>Se le hizo seguimiento se le brindó mas información de la  marca Primus y también se le envió un video</t>
  </si>
  <si>
    <t>Se le escribió a su whatsapp para coordinar su visita y hoy respondió que han decidido por el momento no comprar</t>
  </si>
  <si>
    <t>00010-25</t>
  </si>
  <si>
    <t>La Sra Huamani viene en Diciembre para verlas fiscamente llamarala en quincena de Noviembre</t>
  </si>
  <si>
    <t>00011-25</t>
  </si>
  <si>
    <t>El señor Ortiz va a poner un emprendimiento, se le envió en su momento mensajes de whatsapp, ahora corta cuando lo llamamos al parecer no se encuentra interesado</t>
  </si>
  <si>
    <t>sociu</t>
  </si>
  <si>
    <t>Lurigancho Chosica</t>
  </si>
  <si>
    <t>Cliente solicitó información de lavadora Primus FX 280, Hoy respondió por Whatsapp e indicó que lava 50 kilos aprox, se le está recomendando una lavadora LG semiindustrial.Esta siendo clara cotizarle sin compromiso</t>
  </si>
  <si>
    <t>00018-25</t>
  </si>
  <si>
    <t>Se le llamó por celular  hoy nos respondió indicando que tercerizan con una lavandería en Chacalayo no nos dió el dato</t>
  </si>
  <si>
    <t>Se habló con recepcionista indicó que le enviaran información al correo registrado que es el mismo.Se le envió correo.</t>
  </si>
  <si>
    <t xml:space="preserve">Se hizo el filtro adecuado y pertenece al grupo de la competencia SERFRAC </t>
  </si>
  <si>
    <t>No hay respuesta del correo</t>
  </si>
  <si>
    <t>Rubenal Guevara/Liz Hurtado (Esposa a cargo del negocio)</t>
  </si>
  <si>
    <t>Dueños</t>
  </si>
  <si>
    <t>995550026/940186694</t>
  </si>
  <si>
    <t>No quiso darlo</t>
  </si>
  <si>
    <t>Lavandería Euros</t>
  </si>
  <si>
    <t>El señor Rubenal Guevara no quiso dar mucha información requerían mantenimiento pero les interesó conocer nuestro catálogo de máquinas LG semiindutriales.Se les envió presentación y catálogo.</t>
  </si>
  <si>
    <t>Recepción</t>
  </si>
  <si>
    <t>Hostal Los Balcones</t>
  </si>
  <si>
    <t>El señor Miguel indicó que el administrador/Dueño masomenos llega entre 12 a 2 pm mañana Miercoles 29 se intentrá localizarlo</t>
  </si>
  <si>
    <t>Poblet Hurtado Enrique</t>
  </si>
  <si>
    <t>El Señor Hurtado no quiso dar información sobre su requerimiento ni dara mas datos suyos, solo indicó que necesita una Lavadora de 30-34 kilos, al parecer esta solo consultando precios se  le envió primero una cotización de lavadora de 17 kilos LG</t>
  </si>
  <si>
    <t>00017-25</t>
  </si>
  <si>
    <t>Hoy intentamos contactarla por tercera vez y nos corta, se le ha dejado mensajes de seguimiento</t>
  </si>
  <si>
    <t>Se le timbró nuevamente al señor Carrasco por respuesta de la cotización enviada y no responde estaba buscando una lavadora para edredones hoy se le dejó otro tipo de mensaje a su whatsapp para interesarlo.</t>
  </si>
  <si>
    <t>Se volvió a llamar por tercera vez, no responde se dejó nuevo mensaje en whatsapp para interesarla</t>
  </si>
  <si>
    <t>Sr Campos</t>
  </si>
  <si>
    <t>Despues de varios intentos se le dejó un mensaje a su whatsapp nuevamente y respondió nos encontramos a la espera de contactarla</t>
  </si>
  <si>
    <t>Se hizo seguimiento con mensaje a whatsapp e indicó que esta evaluando otras propuestas parea decidir su compra máximo la segunda semana de Noviembre</t>
  </si>
  <si>
    <t>Se le llamó al celular y se le escribió nuevamente  a su whatsapp para interesarlo, respondió escribiendo si se pueden mejorar los precios se interesa por lavadora de 17 kilos y secadora de 15 kilos tiene otra proforma mas económica</t>
  </si>
  <si>
    <t>Se le hizo seguimiento hoy y respondió que mañana viene a la planta 2da visita, por confirmar la hora</t>
  </si>
  <si>
    <t>Se le hizo seguimiento hoy, respondió que mañana viene a la planta 2da visita, por confirmar la hora</t>
  </si>
  <si>
    <t>Luego de los seguimientos respondió el día Martes 28 de Octubre que han decidido por el momento no comprar</t>
  </si>
  <si>
    <t>El señor Ortiz va a poner un emprendimiento, se le timbró y envió nuevamente un mensaje por whatsapp no responde</t>
  </si>
  <si>
    <t>Cliente solicitó información de lavadoras semiindustriales, no responde, se le dejó mensaje nuevamente en Whatsapp, el DNI dejado al aparecer está incorrecto no se le puede filtrar.</t>
  </si>
  <si>
    <t>Se le hizo seguimiento acerca de la cotización enviada no responde, se le dejó mensaje por whatsapp</t>
  </si>
  <si>
    <t>Ell dia Martes 28 de Octubre nos respondió indicando que tercerizan con una lavandería en Chacalayo no nos dió el dato</t>
  </si>
  <si>
    <t>Se habló con recepcionista nuevamente no ubicamos a la Sra Carpena.No hay respuesta en el correo</t>
  </si>
  <si>
    <t xml:space="preserve">Jenny hizo el filtro adecuado el dia Martes 28 de Octubre y pertenece al grupo de la competencia SERFRAC </t>
  </si>
  <si>
    <t>La Sra Hurtado manifestó brevemente que ella quiere equipos industriales pero no se pudo conversar al detalle por que está ocupada durante el día pidió que la llamen a las 9 pm</t>
  </si>
  <si>
    <t>El señor Miguel indicó que el administrador/Dueño masomenos llega entre 12 a 2 pm mañana Miercoles 29 se intentó localizarlo</t>
  </si>
  <si>
    <t>Conversamos con el  Sr. Hurtado por teléfono y manifestó que esta revisando varias cotizaciones.</t>
  </si>
  <si>
    <t>Lorenzo Moreno</t>
  </si>
  <si>
    <t>Jefe de Logistica</t>
  </si>
  <si>
    <t>asistente@kingdomhotelperu.com</t>
  </si>
  <si>
    <t>Hotel Kingdom</t>
  </si>
  <si>
    <t>Conversamos con la recepcionista y nos proprcionó el dato del jefe de Logistica para enviarle el correo y se envió catálogo</t>
  </si>
  <si>
    <t>Todavía no hay nombre</t>
  </si>
  <si>
    <t>Area de Compras</t>
  </si>
  <si>
    <t>Hotel Carrera</t>
  </si>
  <si>
    <t>Conversamos con recepción y al pasarnos al area de compras nos indicaron que lo llamemos a partir del 2 de Noviembre por estar en cierre por estar apurado no nos proporcionó el correo ni mas datos</t>
  </si>
  <si>
    <t>Javier  Gamarra</t>
  </si>
  <si>
    <t>Logistica/Compras</t>
  </si>
  <si>
    <t>2656691/944173301</t>
  </si>
  <si>
    <t>reservas@hotelsanremoperu.com</t>
  </si>
  <si>
    <t>Hotel San Remo</t>
  </si>
  <si>
    <t>Se habló con recepcionista nos proporcionó el whatsapp del hotel y nos indicó enviaramos nuestra información al correo que es el mismo de la Data, se envió catálogo</t>
  </si>
  <si>
    <t>Antonio</t>
  </si>
  <si>
    <t>Encargado del Hotel</t>
  </si>
  <si>
    <t>Hostal las Retamas</t>
  </si>
  <si>
    <t>Se habló con recepción nos brindó el celular del encargado del hotel Sr. Antonio pero no recuerda su apellido, indicó le escriban alli, se envió mensaje de presentación</t>
  </si>
  <si>
    <t>Hotel Los Olivos Inn</t>
  </si>
  <si>
    <t>Los Olivos</t>
  </si>
  <si>
    <t>Se habló con recepcionista nos dió el whatsapp del hotel indicando que alli enviemos nuestra información , no le está permitido dar ningún dato.Se envió presentación</t>
  </si>
  <si>
    <t>Hostal La Confianza</t>
  </si>
  <si>
    <t>Lunahuana</t>
  </si>
  <si>
    <t>La Recepcionista indicó que la administradora no se encontraba que llamaramos mañana a partir de las 10 am cuentan con lavandería.</t>
  </si>
  <si>
    <t>Sara Quiroga</t>
  </si>
  <si>
    <t>Administradora</t>
  </si>
  <si>
    <t>adm.suites@hotelesinkari.com</t>
  </si>
  <si>
    <t>Suites Hotel Inkari</t>
  </si>
  <si>
    <t>Magdalena</t>
  </si>
  <si>
    <t>La Recepcionista nos dió el dato del correo de la administradora indicando que alli le enviémos la i nformación y se le envió</t>
  </si>
  <si>
    <t>Logistica</t>
  </si>
  <si>
    <t>logistica.comunica@casa-andino.com</t>
  </si>
  <si>
    <t>Hoteles Casa Andino</t>
  </si>
  <si>
    <t>La Recepcionista nos dió el correo del encargado de logistica pero nada mas de información y se envió el correo.</t>
  </si>
  <si>
    <t>Sandro Valdez</t>
  </si>
  <si>
    <t>sandro.valdez@inkaterra.com</t>
  </si>
  <si>
    <t>Inkaterra Hotel</t>
  </si>
  <si>
    <t>Se habló con asistente del  señor  Valdez y nos indicó le enviaramos el correo y se le envió</t>
  </si>
  <si>
    <t>Jhonatan Feijo</t>
  </si>
  <si>
    <t>compras@hotelesjoseantonio.com</t>
  </si>
  <si>
    <t>Hotel Jose antonio</t>
  </si>
  <si>
    <t>Se habló con recepcion y nos indicó enviaramos el correo, es el mismo de la Data, se envió catálogo</t>
  </si>
  <si>
    <t>Ericka Armijo</t>
  </si>
  <si>
    <t>Administradora del Edificio</t>
  </si>
  <si>
    <t>administración.modo@proper.com.pe</t>
  </si>
  <si>
    <t>San Miguel</t>
  </si>
  <si>
    <t>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t>
  </si>
  <si>
    <t>00019-25</t>
  </si>
  <si>
    <t>Al parecer ya no se encuentra interesado, se le ha dejado por varios días mensajes para retroalimentación, no responde</t>
  </si>
  <si>
    <t>Hoy se comunicó con nosotros su referida Ericka Armijo administradora del Edificio donde se implementará lavandería.</t>
  </si>
  <si>
    <t>No responden celular, se les dejó nuevo mensaje de seguimiento con foto</t>
  </si>
  <si>
    <t>Nos encontrabamos en espera de reunión de socios hoy no nos respondió el celular</t>
  </si>
  <si>
    <t>Se encuentra evaluando otras propuestas para decidir su compra máximo la segunda semana de Noviembre lo indicó ayer, hoy se timbró para retroalimentación y no responde</t>
  </si>
  <si>
    <t>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t>
  </si>
  <si>
    <t>Hoy viene a la planta por segunda vez, posible compra</t>
  </si>
  <si>
    <t>Al Sr. Ortiz se le ha timbrado y dejado mensajes de seguimiento, ahora nos corta.</t>
  </si>
  <si>
    <t>Al Sr. Mogollón se le ha timbrado y dejado mensajes de seguimiento, no responde.</t>
  </si>
  <si>
    <t>Se le hizo seguimiento acerca de la cotización enviada nuevamente no responde, se le dejó mensaje por whatsapp</t>
  </si>
  <si>
    <t>Hoy nos indicaron que la Sra. Rosario Carpena no viene hasta despues del día Martes 4 de Noviembre, se volverá a intectar contactarla</t>
  </si>
  <si>
    <t>Hoy no respondió, se intentará hablar con ella en el horario indicado 9 PM</t>
  </si>
  <si>
    <t>El día de ayer conversamos con el  Sr. Poblet por teléfono y manifestó que esta revisando varias cotizaciones. Hoy le escribimos mensaje de seguimiento.</t>
  </si>
  <si>
    <t>No hay respuesta del correo enviado ayer</t>
  </si>
  <si>
    <t>No hay respuesta en Whatsapp del hotel, se solicito datos para persona de contacto.</t>
  </si>
  <si>
    <t>Sr. Antonio</t>
  </si>
  <si>
    <t>Recepcionista indicó ya le dió el mensaje al Sr. Antonio, encargado del hotel, cualquier cosita comunican.</t>
  </si>
  <si>
    <t>Informaron solamente que ya cuentan con proveedor</t>
  </si>
  <si>
    <t>Recepcionista manifestó que por el momento no hay requerimiento pero que dejemos la información al Whatsapp se dejó mensaje de presentación.</t>
  </si>
  <si>
    <t>No se encuentra interesado, no responde ni telefono, ni mensajes</t>
  </si>
  <si>
    <t>El día Jueves 30 se comunicó con nosotros su referida Ericka Armijo</t>
  </si>
  <si>
    <t>Indican que todavía no se encuentran interesados</t>
  </si>
  <si>
    <t>Cerrado perdido</t>
  </si>
  <si>
    <t>Sra Rosangela Rosales</t>
  </si>
  <si>
    <t>Asistente del dueño</t>
  </si>
  <si>
    <t>corporativo@hotelelangolo.com.pe</t>
  </si>
  <si>
    <t>El día de hoy nos proporcionaron el contacto de la asistente del dueño Srta. Rosangela Rosales, la llamamos y nos manifestó que le enviaramos la información por whatsapp (El Angolo es un grupo de 6 hoteles)Al obtener su correo también enviamos el catálogo</t>
  </si>
  <si>
    <t>00020-25</t>
  </si>
  <si>
    <t xml:space="preserve">00021-25 </t>
  </si>
  <si>
    <t xml:space="preserve">00022-25 </t>
  </si>
  <si>
    <t>El día de ayer Jueves 30 de Octubre al comunicarnos manifestaron que la Sra. Rosario Carpena no viene hasta despues del día Martes 4 de Noviembre, se volverá a intectar contactarla</t>
  </si>
  <si>
    <t>No responde, se intentará hablar con ella nuevamente en el horario indicado 9 PM</t>
  </si>
  <si>
    <t>Hoy respondieron que no se encuentran interesados</t>
  </si>
  <si>
    <t>El señor Poblet manifestó que ya tomaron decisión con otro proveedor, se le hicieron algunas preguntas para conocer el motivo no respondió</t>
  </si>
  <si>
    <t>No hay respuesta en Whatsapp del hotel</t>
  </si>
  <si>
    <t>No hay respuesta en Whatsapp del hotel no nos dieron mas información</t>
  </si>
  <si>
    <t>Janet Torpoco</t>
  </si>
  <si>
    <t>Encargada del hotel</t>
  </si>
  <si>
    <t>riviera@hotelessanagustin.com.pe</t>
  </si>
  <si>
    <t>Hotel San Agustin Riviera</t>
  </si>
  <si>
    <t>Nos brindaron el contacto de la encaragada del hotel y se envió correo</t>
  </si>
  <si>
    <t>Sr. Martin</t>
  </si>
  <si>
    <t>Encargado de Operaciones</t>
  </si>
  <si>
    <t>operaciones@mariel-hotel.com</t>
  </si>
  <si>
    <t>Hotel Mariel</t>
  </si>
  <si>
    <t>Nos brindaron correo del area y se envió catálogo</t>
  </si>
  <si>
    <t>Beatriz Jibaja</t>
  </si>
  <si>
    <t>loscisnesdelmarsano@hotmail.com</t>
  </si>
  <si>
    <t>Hotel los cisnes del Marsano</t>
  </si>
  <si>
    <t>Santiago Quispe</t>
  </si>
  <si>
    <t>almacen.cp@otphoteles.com</t>
  </si>
  <si>
    <t>Hotel Crowne Plaza</t>
  </si>
  <si>
    <t>Sr. Vasquez</t>
  </si>
  <si>
    <t>Encargado</t>
  </si>
  <si>
    <t>elfarolito.hotel@gmail.com</t>
  </si>
  <si>
    <t>Hotel El Farolito</t>
  </si>
  <si>
    <t>Srta. Maribel</t>
  </si>
  <si>
    <t>cuentas@hotelboulevard.com.pe</t>
  </si>
  <si>
    <t>Hotel Boulevard</t>
  </si>
  <si>
    <t>Leonardo Rodriguez</t>
  </si>
  <si>
    <t>leonardo.rodriguez@decapolisperu.com</t>
  </si>
  <si>
    <t>Radisson Hotel &amp; Suites</t>
  </si>
  <si>
    <t>Luis Maldonado</t>
  </si>
  <si>
    <t>luis_maldonado2000@hotmail.com</t>
  </si>
  <si>
    <t>Hotel Solis Dies</t>
  </si>
  <si>
    <t>Hotel Santa Cruz</t>
  </si>
  <si>
    <t>Se envió información al whatsapp del hotel</t>
  </si>
  <si>
    <t>reservas@hotelvilasanta.com</t>
  </si>
  <si>
    <t>Hotel Vila Santa</t>
  </si>
  <si>
    <t>kontiki.miraflores.peru@gmail.com</t>
  </si>
  <si>
    <t>Hostal Kon Tiki</t>
  </si>
  <si>
    <t>Campo</t>
  </si>
  <si>
    <t>Repuestos</t>
  </si>
  <si>
    <t>Mantenimiento</t>
  </si>
  <si>
    <t>Teléfono</t>
  </si>
  <si>
    <t>Cerrado ganado</t>
  </si>
  <si>
    <t>Minería</t>
  </si>
  <si>
    <t>Salud</t>
  </si>
  <si>
    <t>Textil</t>
  </si>
  <si>
    <t>Agroindustria</t>
  </si>
  <si>
    <t>Lavandería Industrial</t>
  </si>
  <si>
    <t>Multihousing</t>
  </si>
  <si>
    <t>Restaurante/Café</t>
  </si>
  <si>
    <t>Club Deportivo</t>
  </si>
  <si>
    <t>Club entretenimiento</t>
  </si>
  <si>
    <t>Club Adulto Mayor</t>
  </si>
  <si>
    <t>Lavandería La Solución</t>
  </si>
  <si>
    <t>Se decidió por la competencia, la diferencia de precios en los equipos no fue mucha, lo que le motivó la compra fue el envío y puesta en marcha gratuitos. Por otro lado en 1 mes aprox va a necesitar más equipos, para el seguimiento respectivo</t>
  </si>
  <si>
    <t>RUS</t>
  </si>
  <si>
    <t>El Señor Quiñones junto con su pareja(socia) indica que nos visitará este Sábado 8 de Noviembre. Ya enviaron datos para el permiso de ingreso, están decidiendo locales, fecha estimada de compra fines de noviembre</t>
  </si>
  <si>
    <t>Nos comunicamos por teléfono con interrupciones pero lo volvimos a llamar, se envió mensaje para coordinar una proxima llamada y aterrizar fecha de visita porque comentó que visitaría entre el 7 y 10 de noviembre</t>
  </si>
  <si>
    <t>desistió de compra</t>
  </si>
  <si>
    <t>competencia</t>
  </si>
  <si>
    <t>(Varios elementos)</t>
  </si>
  <si>
    <t>Pospone compra</t>
  </si>
  <si>
    <t>la Sra Annie, sigue pensando en viajar a Lima para ver los equipos, el contacto fue para definir la fecha de visita, pero estaba en SUNAT, coordinamos para hablar por whatsapp, se le dejó mensaje</t>
  </si>
  <si>
    <t>Cotización de Lavadora, Sr Ureta manifiesta que ha solicitado un préstamo</t>
  </si>
  <si>
    <t>CIERRE DE VENTA</t>
  </si>
  <si>
    <t>Razon Social</t>
  </si>
  <si>
    <t>Producto</t>
  </si>
  <si>
    <t>Modelo</t>
  </si>
  <si>
    <t>KG</t>
  </si>
  <si>
    <t>Marca</t>
  </si>
  <si>
    <t>Sub Total</t>
  </si>
  <si>
    <t>Igv</t>
  </si>
  <si>
    <t>Total</t>
  </si>
  <si>
    <t>Volvi a contactar a la sra para definir fecha de viaje, pero no contesta, se le llamó y envió mensaje por whatsapp</t>
  </si>
  <si>
    <t>Costo</t>
  </si>
  <si>
    <t>Asesor</t>
  </si>
  <si>
    <t>Código</t>
  </si>
  <si>
    <t>Quiñones Alvarez Angelo</t>
  </si>
  <si>
    <t>Centro de Lavado</t>
  </si>
  <si>
    <t>Giant C Max</t>
  </si>
  <si>
    <t>10 a 13 KG</t>
  </si>
  <si>
    <t>LG</t>
  </si>
  <si>
    <t>Seventh Heaven SCRL</t>
  </si>
  <si>
    <t>Rodillo de planchado industrial automatico</t>
  </si>
  <si>
    <t>G14.25</t>
  </si>
  <si>
    <t>1450 x 270 mm</t>
  </si>
  <si>
    <t>GMP</t>
  </si>
  <si>
    <t>Corporacion Munakuyki SAC</t>
  </si>
  <si>
    <t>Lavadora centrifuga semi industrial</t>
  </si>
  <si>
    <t>Titan Max</t>
  </si>
  <si>
    <t>17 KG</t>
  </si>
  <si>
    <t>I22471</t>
  </si>
  <si>
    <t>I23000</t>
  </si>
  <si>
    <t>I25103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</si>
</sst>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2"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theme="1"/>
      <name val="Aptos Narrow"/>
      <family val="2"/>
      <scheme val="minor"/>
    </font>
    <font>
      <sz val="11"/>
      <color theme="1"/>
      <name val="Aptos Narrow"/>
      <family val="2"/>
      <scheme val="minor"/>
    </font>
    <font>
      <sz val="11"/>
      <color theme="1"/>
      <name val="Arial"/>
      <family val="2"/>
    </font>
    <font>
      <sz val="11"/>
      <color rgb="FF242424"/>
      <name val="Aptos Narrow"/>
      <family val="2"/>
    </font>
    <font>
      <sz val="11"/>
      <color rgb="FFFF0000"/>
      <name val="Aptos Narrow"/>
      <family val="2"/>
      <scheme val="minor"/>
    </font>
    <font>
      <sz val="11"/>
      <color rgb="FFFF0000"/>
      <name val="Aptos Narrow"/>
      <family val="2"/>
      <scheme val="minor"/>
    </font>
    <font>
      <sz val="11"/>
      <color rgb="FF000000"/>
      <name val="Aptos Narrow"/>
      <family val="2"/>
      <scheme val="minor"/>
    </font>
    <font>
      <b/>
      <sz val="12"/>
      <color theme="4" tint="-0.249977111117893"/>
      <name val="Aptos Narrow"/>
      <family val="2"/>
      <scheme val="minor"/>
    </font>
    <font>
      <sz val="11"/>
      <color theme="4" tint="-0.249977111117893"/>
      <name val="Aptos Narrow"/>
      <family val="2"/>
      <scheme val="minor"/>
    </font>
  </fonts>
  <fills count="8">
    <fill>
      <patternFill patternType="none"/>
    </fill>
    <fill>
      <patternFill patternType="gray125"/>
    </fill>
    <fill>
      <patternFill patternType="solid">
        <fgColor theme="6" tint="-0.249977111117893"/>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indexed="64"/>
      </patternFill>
    </fill>
    <fill>
      <patternFill patternType="solid">
        <fgColor theme="9" tint="0.79998168889431442"/>
        <bgColor indexed="64"/>
      </patternFill>
    </fill>
    <fill>
      <patternFill patternType="solid">
        <fgColor rgb="FFCCFFFF"/>
        <bgColor indexed="64"/>
      </patternFill>
    </fill>
  </fills>
  <borders count="2">
    <border>
      <left/>
      <right/>
      <top/>
      <bottom/>
      <diagonal/>
    </border>
    <border>
      <left style="thin">
        <color indexed="64"/>
      </left>
      <right style="thin">
        <color indexed="64"/>
      </right>
      <top/>
      <bottom style="thin">
        <color indexed="64"/>
      </bottom>
      <diagonal/>
    </border>
  </borders>
  <cellStyleXfs count="4">
    <xf numFmtId="0" fontId="0" fillId="0" borderId="0"/>
    <xf numFmtId="0" fontId="1" fillId="0" borderId="0" applyNumberFormat="0" applyFill="0" applyBorder="0" applyAlignment="0" applyProtection="0"/>
    <xf numFmtId="43" fontId="3" fillId="0" borderId="0" applyFont="0" applyFill="0" applyBorder="0" applyAlignment="0" applyProtection="0"/>
    <xf numFmtId="0" fontId="1" fillId="0" borderId="0" applyNumberFormat="0" applyFill="0" applyBorder="0" applyAlignment="0" applyProtection="0"/>
  </cellStyleXfs>
  <cellXfs count="39">
    <xf numFmtId="0" fontId="0" fillId="0" borderId="0" xfId="0"/>
    <xf numFmtId="0" fontId="0" fillId="0" borderId="0" xfId="0" applyAlignment="1">
      <alignment wrapText="1"/>
    </xf>
    <xf numFmtId="0" fontId="1" fillId="0" borderId="0" xfId="1"/>
    <xf numFmtId="0" fontId="2" fillId="0" borderId="1" xfId="0" applyFont="1" applyBorder="1"/>
    <xf numFmtId="0" fontId="2" fillId="0" borderId="1" xfId="0" applyFont="1" applyBorder="1" applyAlignment="1">
      <alignment wrapText="1"/>
    </xf>
    <xf numFmtId="0" fontId="0" fillId="0" borderId="0" xfId="0" pivotButton="1"/>
    <xf numFmtId="0" fontId="0" fillId="0" borderId="0" xfId="0" applyAlignment="1">
      <alignment horizontal="left"/>
    </xf>
    <xf numFmtId="0" fontId="2" fillId="2" borderId="1" xfId="0" applyFont="1" applyFill="1" applyBorder="1"/>
    <xf numFmtId="0" fontId="2" fillId="0" borderId="0" xfId="0" applyFont="1"/>
    <xf numFmtId="16" fontId="0" fillId="0" borderId="0" xfId="0" applyNumberFormat="1"/>
    <xf numFmtId="0" fontId="0" fillId="3" borderId="0" xfId="0" applyFill="1"/>
    <xf numFmtId="0" fontId="4" fillId="0" borderId="0" xfId="0" applyFont="1"/>
    <xf numFmtId="0" fontId="5" fillId="0" borderId="0" xfId="0" applyFont="1"/>
    <xf numFmtId="14" fontId="5" fillId="0" borderId="0" xfId="0" applyNumberFormat="1" applyFont="1"/>
    <xf numFmtId="14" fontId="4" fillId="0" borderId="0" xfId="0" applyNumberFormat="1" applyFont="1"/>
    <xf numFmtId="0" fontId="4" fillId="0" borderId="0" xfId="0" applyFont="1" applyAlignment="1">
      <alignment wrapText="1"/>
    </xf>
    <xf numFmtId="1" fontId="4" fillId="0" borderId="0" xfId="2" applyNumberFormat="1" applyFont="1"/>
    <xf numFmtId="0" fontId="5" fillId="0" borderId="0" xfId="0" applyFont="1" applyAlignment="1">
      <alignment wrapText="1"/>
    </xf>
    <xf numFmtId="0" fontId="6" fillId="0" borderId="0" xfId="0" applyFont="1"/>
    <xf numFmtId="0" fontId="1" fillId="0" borderId="0" xfId="3"/>
    <xf numFmtId="1" fontId="4" fillId="0" borderId="0" xfId="2" applyNumberFormat="1" applyFont="1" applyAlignment="1">
      <alignment horizontal="left"/>
    </xf>
    <xf numFmtId="1" fontId="4" fillId="0" borderId="0" xfId="2" applyNumberFormat="1" applyFont="1" applyAlignment="1">
      <alignment wrapText="1"/>
    </xf>
    <xf numFmtId="14" fontId="0" fillId="0" borderId="0" xfId="0" applyNumberFormat="1"/>
    <xf numFmtId="1" fontId="0" fillId="0" borderId="0" xfId="2" applyNumberFormat="1"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0" fillId="4" borderId="0" xfId="0" applyFill="1" applyAlignment="1">
      <alignment wrapText="1"/>
    </xf>
    <xf numFmtId="0" fontId="0" fillId="4" borderId="0" xfId="0" applyFill="1"/>
    <xf numFmtId="0" fontId="0" fillId="5" borderId="0" xfId="0" applyFill="1" applyAlignment="1">
      <alignment wrapText="1"/>
    </xf>
    <xf numFmtId="0" fontId="8" fillId="0" borderId="0" xfId="0" applyFont="1"/>
    <xf numFmtId="1" fontId="0" fillId="0" borderId="0" xfId="2" applyNumberFormat="1" applyFont="1"/>
    <xf numFmtId="0" fontId="0" fillId="6" borderId="0" xfId="0" applyFill="1"/>
    <xf numFmtId="0" fontId="10" fillId="7" borderId="0" xfId="0" applyFont="1" applyFill="1"/>
    <xf numFmtId="0" fontId="11" fillId="0" borderId="0" xfId="0" applyFont="1"/>
    <xf numFmtId="0" fontId="2" fillId="0" borderId="0" xfId="0" pivotButton="1" applyFont="1"/>
    <xf numFmtId="17" fontId="0" fillId="0" borderId="0" xfId="0" applyNumberFormat="1"/>
    <xf numFmtId="164" fontId="0" fillId="0" borderId="0" xfId="2" applyNumberFormat="1" applyFont="1"/>
    <xf numFmtId="0" fontId="10" fillId="7" borderId="0" xfId="0" applyFont="1" applyFill="1" applyAlignment="1">
      <alignment horizontal="center"/>
    </xf>
  </cellXfs>
  <cellStyles count="4">
    <cellStyle name="Hipervínculo" xfId="1" builtinId="8"/>
    <cellStyle name="Hyperlink" xfId="3" xr:uid="{00000000-000B-0000-0000-000008000000}"/>
    <cellStyle name="Millares" xfId="2" builtinId="3"/>
    <cellStyle name="Normal" xfId="0" builtinId="0"/>
  </cellStyles>
  <dxfs count="164">
    <dxf>
      <numFmt numFmtId="0" formatCode="General"/>
    </dxf>
    <dxf>
      <alignment horizontal="left"/>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font>
        <b/>
      </font>
    </dxf>
    <dxf>
      <font>
        <b/>
      </font>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4</xdr:col>
      <xdr:colOff>484414</xdr:colOff>
      <xdr:row>1</xdr:row>
      <xdr:rowOff>9524</xdr:rowOff>
    </xdr:from>
    <xdr:to>
      <xdr:col>9</xdr:col>
      <xdr:colOff>471714</xdr:colOff>
      <xdr:row>7</xdr:row>
      <xdr:rowOff>35703</xdr:rowOff>
    </xdr:to>
    <mc:AlternateContent xmlns:mc="http://schemas.openxmlformats.org/markup-compatibility/2006" xmlns:tsle="http://schemas.microsoft.com/office/drawing/2012/timeslicer">
      <mc:Choice Requires="tsle">
        <xdr:graphicFrame macro="">
          <xdr:nvGraphicFramePr>
            <xdr:cNvPr id="2" name="Fecha">
              <a:extLst>
                <a:ext uri="{FF2B5EF4-FFF2-40B4-BE49-F238E27FC236}">
                  <a16:creationId xmlns:a16="http://schemas.microsoft.com/office/drawing/2014/main" id="{347B94BE-BB2F-EA03-E6FC-F95BA82A62E5}"/>
                </a:ext>
              </a:extLst>
            </xdr:cNvPr>
            <xdr:cNvGraphicFramePr/>
          </xdr:nvGraphicFramePr>
          <xdr:xfrm>
            <a:off x="0" y="0"/>
            <a:ext cx="0" cy="0"/>
          </xdr:xfrm>
          <a:graphic>
            <a:graphicData uri="http://schemas.microsoft.com/office/drawing/2012/timeslicer">
              <tsle:timeslicer name="Fecha"/>
            </a:graphicData>
          </a:graphic>
        </xdr:graphicFrame>
      </mc:Choice>
      <mc:Fallback xmlns="">
        <xdr:sp macro="" textlink="">
          <xdr:nvSpPr>
            <xdr:cNvPr id="0" name=""/>
            <xdr:cNvSpPr>
              <a:spLocks noTextEdit="1"/>
            </xdr:cNvSpPr>
          </xdr:nvSpPr>
          <xdr:spPr>
            <a:xfrm>
              <a:off x="7170057" y="190953"/>
              <a:ext cx="3443515" cy="1308100"/>
            </a:xfrm>
            <a:prstGeom prst="rect">
              <a:avLst/>
            </a:prstGeom>
            <a:solidFill>
              <a:prstClr val="white"/>
            </a:solidFill>
            <a:ln w="1">
              <a:solidFill>
                <a:prstClr val="green"/>
              </a:solidFill>
            </a:ln>
          </xdr:spPr>
          <xdr:txBody>
            <a:bodyPr vertOverflow="clip" horzOverflow="clip"/>
            <a:lstStyle/>
            <a:p>
              <a:r>
                <a:rPr lang="es-PE" sz="1100"/>
                <a:t>Línea de tiempo: Funciona en Excel 2013 o superior. No mover ni cambiar el tamaño.</a:t>
              </a:r>
            </a:p>
          </xdr:txBody>
        </xdr:sp>
      </mc:Fallback>
    </mc:AlternateContent>
    <xdr:clientData/>
  </xdr:twoCellAnchor>
  <xdr:twoCellAnchor editAs="oneCell">
    <xdr:from>
      <xdr:col>4</xdr:col>
      <xdr:colOff>482600</xdr:colOff>
      <xdr:row>9</xdr:row>
      <xdr:rowOff>79375</xdr:rowOff>
    </xdr:from>
    <xdr:to>
      <xdr:col>9</xdr:col>
      <xdr:colOff>469900</xdr:colOff>
      <xdr:row>15</xdr:row>
      <xdr:rowOff>71151</xdr:rowOff>
    </xdr:to>
    <mc:AlternateContent xmlns:mc="http://schemas.openxmlformats.org/markup-compatibility/2006" xmlns:tsle="http://schemas.microsoft.com/office/drawing/2012/timeslicer">
      <mc:Choice Requires="tsle">
        <xdr:graphicFrame macro="">
          <xdr:nvGraphicFramePr>
            <xdr:cNvPr id="3" name="Fecha 1">
              <a:extLst>
                <a:ext uri="{FF2B5EF4-FFF2-40B4-BE49-F238E27FC236}">
                  <a16:creationId xmlns:a16="http://schemas.microsoft.com/office/drawing/2014/main" id="{36326BF8-3F76-8656-199B-33FEF262CC04}"/>
                </a:ext>
                <a:ext uri="{147F2762-F138-4A5C-976F-8EAC2B608ADB}">
                  <a16:predDERef xmlns:a16="http://schemas.microsoft.com/office/drawing/2014/main" pred="{347B94BE-BB2F-EA03-E6FC-F95BA82A62E5}"/>
                </a:ext>
              </a:extLst>
            </xdr:cNvPr>
            <xdr:cNvGraphicFramePr/>
          </xdr:nvGraphicFramePr>
          <xdr:xfrm>
            <a:off x="0" y="0"/>
            <a:ext cx="0" cy="0"/>
          </xdr:xfrm>
          <a:graphic>
            <a:graphicData uri="http://schemas.microsoft.com/office/drawing/2012/timeslicer">
              <tsle:timeslicer name="Fecha 1"/>
            </a:graphicData>
          </a:graphic>
        </xdr:graphicFrame>
      </mc:Choice>
      <mc:Fallback xmlns="">
        <xdr:sp macro="" textlink="">
          <xdr:nvSpPr>
            <xdr:cNvPr id="0" name=""/>
            <xdr:cNvSpPr>
              <a:spLocks noTextEdit="1"/>
            </xdr:cNvSpPr>
          </xdr:nvSpPr>
          <xdr:spPr>
            <a:xfrm>
              <a:off x="7168243" y="1712232"/>
              <a:ext cx="3443515" cy="1309914"/>
            </a:xfrm>
            <a:prstGeom prst="rect">
              <a:avLst/>
            </a:prstGeom>
            <a:solidFill>
              <a:prstClr val="white"/>
            </a:solidFill>
            <a:ln w="1">
              <a:solidFill>
                <a:prstClr val="green"/>
              </a:solidFill>
            </a:ln>
          </xdr:spPr>
          <xdr:txBody>
            <a:bodyPr vertOverflow="clip" horzOverflow="clip"/>
            <a:lstStyle/>
            <a:p>
              <a:r>
                <a:rPr lang="es-PE" sz="1100"/>
                <a:t>Línea de tiempo: Funciona en Excel 2013 o superior. No mover ni cambiar el tamaño.</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pass leader" refreshedDate="45975.635074189813" createdVersion="8" refreshedVersion="8" minRefreshableVersion="3" recordCount="234" xr:uid="{D6EF1EE9-EC55-4EFE-BC3D-0C70E7138C79}">
  <cacheSource type="worksheet">
    <worksheetSource name="CRM"/>
  </cacheSource>
  <cacheFields count="23">
    <cacheField name="No." numFmtId="0">
      <sharedItems containsSemiMixedTypes="0" containsString="0" containsNumber="1" containsInteger="1" minValue="1" maxValue="236"/>
    </cacheField>
    <cacheField name="Fecha" numFmtId="14">
      <sharedItems containsSemiMixedTypes="0" containsNonDate="0" containsDate="1" containsString="0" minDate="2025-01-22T00:00:00" maxDate="2025-11-05T00:00:00" count="16">
        <d v="2025-10-20T00:00:00"/>
        <d v="2025-10-21T00:00:00"/>
        <d v="2025-10-22T00:00:00"/>
        <d v="2025-10-23T00:00:00"/>
        <d v="2025-10-24T00:00:00"/>
        <d v="2025-10-25T00:00:00"/>
        <d v="2025-10-27T00:00:00"/>
        <d v="2025-10-28T00:00:00"/>
        <d v="2025-10-29T00:00:00"/>
        <d v="2025-10-30T00:00:00"/>
        <d v="2025-10-31T00:00:00"/>
        <d v="2025-11-04T00:00:00"/>
        <d v="2025-10-26T00:00:00" u="1"/>
        <d v="2025-01-22T00:00:00" u="1"/>
        <d v="2025-01-23T00:00:00" u="1"/>
        <d v="2025-10-10T00:00:00" u="1"/>
      </sharedItems>
    </cacheField>
    <cacheField name="Vendedor" numFmtId="0">
      <sharedItems/>
    </cacheField>
    <cacheField name="Contacto" numFmtId="0">
      <sharedItems containsBlank="1"/>
    </cacheField>
    <cacheField name="Cargo" numFmtId="0">
      <sharedItems containsBlank="1"/>
    </cacheField>
    <cacheField name="teléfono" numFmtId="0">
      <sharedItems containsBlank="1" containsMixedTypes="1" containsNumber="1" containsInteger="1" minValue="2056200" maxValue="997556407"/>
    </cacheField>
    <cacheField name="Mail" numFmtId="0">
      <sharedItems containsBlank="1"/>
    </cacheField>
    <cacheField name="Razón Social" numFmtId="0">
      <sharedItems containsBlank="1" count="75">
        <s v="Lavandería Iespa ( Nombre Comercial)"/>
        <m/>
        <s v="Hostal Fortuna"/>
        <s v="Hotel Aquavit"/>
        <s v="Grupo Andean"/>
        <s v="Hotel Barranco-La Quinta de Alison"/>
        <s v="Hoteles Costa del Sol"/>
        <s v="Sheraton Lima Hotel &amp; Convention Center"/>
        <s v="Hotel Continental"/>
        <s v="Hostal Palacio"/>
        <s v="Hotel Internacional"/>
        <s v="Hotel Inka Path"/>
        <s v="Hotel Anthonys"/>
        <s v="Hotel Olaya"/>
        <s v="Hotel Aro Romero Resort"/>
        <s v="Hotel El Angolo"/>
        <s v="Por definir"/>
        <s v="Hotel Carlitos"/>
        <s v="No recuerda su nombre"/>
        <s v="Multiservicios Angeles Comerciales SAC"/>
        <s v="Valgut Sac"/>
        <s v="Lavandería La Solución (Nombre comercial)"/>
        <s v="Seventh Heaven SRL"/>
        <s v="Barymas Servicios SAC"/>
        <s v="No la recuerda"/>
        <s v="Va a poner emprendimiento"/>
        <s v="No trabajan formal"/>
        <s v="Va a poner emprendimiento, todavía no tiene respuesta de parte de su pareja socia"/>
        <s v="No tenemos información"/>
        <s v="Hotel Flamingo"/>
        <s v="Hotel Mandarin"/>
        <s v="Country Club El Bosque"/>
        <s v="Hotel Yeyas"/>
        <s v="Hotel Javer Prado Inn"/>
        <s v="Corporación Lavassa SAC"/>
        <s v="Hotel La  Molina"/>
        <s v="Hotel Serenzza"/>
        <s v="El Señor Quiñones se encuentra interesado en visitar la planta, quedó en confirmarme en estos dias tiene que coordinarlo con su pareja (Socia)"/>
        <s v="No tenemos información su celular timbra no responden se le dejó mensaje en su whatsapp de seguimiento"/>
        <s v="Carrasco Luis Miguel ( No trabajan formal)"/>
        <s v="Rodriguez Jenny"/>
        <s v="Lavandería Euros"/>
        <s v="Hostal Los Balcones"/>
        <s v="Poblet Hurtado Enrique"/>
        <s v="Quiñones Angelo"/>
        <s v="Hotel Kingdom"/>
        <s v="Hotel Carrera"/>
        <s v="Hotel San Remo"/>
        <s v="Hostal las Retamas"/>
        <s v="Hotel Los Olivos Inn"/>
        <s v="Hostal La Confianza"/>
        <s v="Suites Hotel Inkari"/>
        <s v="Hoteles Casa Andino"/>
        <s v="Inkaterra Hotel"/>
        <s v="Hotel Jose antonio"/>
        <s v="Proper Perú SAC"/>
        <s v="Lavandería La Solución"/>
        <s v="Hotel San Agustin Riviera"/>
        <s v="Hotel Mariel"/>
        <s v="Hotel los cisnes del Marsano"/>
        <s v="Hotel Crowne Plaza"/>
        <s v="Hotel El Farolito"/>
        <s v="Hotel Boulevard"/>
        <s v="Radisson Hotel &amp; Suites"/>
        <s v="Hotel Solis Dies"/>
        <s v="Hotel Santa Cruz"/>
        <s v="Hotel Vila Santa"/>
        <s v="Hostal Kon Tiki"/>
        <s v="Lavandería La Rotonda" u="1"/>
        <s v="Hotel Casino &amp; Hacienda" u="1"/>
        <s v="Hotel JW Marriot" u="1"/>
        <s v="Sumaq Hotel" u="1"/>
        <s v="Hospedaje Tinkus" u="1"/>
        <s v="El Pardo Double Tree by Hilton Hotel" u="1"/>
        <s v="Del Pilar Miraflores Othon Hotel" u="1"/>
      </sharedItems>
    </cacheField>
    <cacheField name="RUC" numFmtId="0">
      <sharedItems containsBlank="1" containsMixedTypes="1" containsNumber="1" containsInteger="1" minValue="10429272721" maxValue="20614800659"/>
    </cacheField>
    <cacheField name="Web" numFmtId="0">
      <sharedItems containsNonDate="0" containsString="0" containsBlank="1"/>
    </cacheField>
    <cacheField name="Departamento" numFmtId="0">
      <sharedItems containsBlank="1"/>
    </cacheField>
    <cacheField name="Distrito" numFmtId="0">
      <sharedItems containsBlank="1"/>
    </cacheField>
    <cacheField name="Rubro" numFmtId="0">
      <sharedItems containsBlank="1"/>
    </cacheField>
    <cacheField name="Tipo de producto" numFmtId="0">
      <sharedItems containsBlank="1"/>
    </cacheField>
    <cacheField name="Origen del lead" numFmtId="0">
      <sharedItems count="3">
        <s v="Whatsapp"/>
        <s v="Web"/>
        <s v="Otro"/>
      </sharedItems>
    </cacheField>
    <cacheField name="Descripción" numFmtId="0">
      <sharedItems containsBlank="1" count="195" longText="1">
        <s v="La señora se comunicó a traves del whatsapp, está interesada en la lavadoras de autoservicio con monedas, se le indicó que está por llegar el dispositivo para Noviembre. Se le va a envío cotización por el momento de lavadora"/>
        <s v="Quería información de equipos LG, Se le llamó sin exito"/>
        <s v="Recepcionista indicó que Gerente regresa el próximo mes, trabajaban tercerizando"/>
        <s v="Se envió catálogo al correo de contacto que aparece en respuesta de internet"/>
        <s v="Es un grupo de 6 hoteles se habló con recepcionista y  se envió catálogo al correo "/>
        <s v="El administrador no se encontraba se volverá a llamar"/>
        <s v="Su asistente Johana indicó que le enviara información a su whatsapp y se le envió"/>
        <s v="Se habló con recepcionista y nos dió el contacto de la persona encargada de compras, se envió catálogo a su correo."/>
        <s v="Se habló con recepcionista no quiso dar información, solo nos indicó  que enviemos el correo y se envió catálogo."/>
        <s v="Se llamó reiterativamente a su teléfono fijo y no respondieron, se envió correo con el catálago ya que en la data está confirmado su mail y se tiene la i nformación que cuenta con lavadoras domesticas."/>
        <s v="Se llamó reiterativamente a su teléfono fijo y no respondieron, se envió correo con el catálago ya que en la data está confirmado su mail y se tiene la i nformación que cuenta con lavandería."/>
        <s v="Se habló con recepcionista Diana indicó que enviará el correo ya registrado en nuestra Data para ella derivarlo  con quien corresponda no quiso dar mas información por lo que se envió nuevamente información, en la data tambien se menciona que cuenta con lavadoras comerciales. "/>
        <s v="Se habló con recepcionista Miriam indicó que enviemos el correo a Gerencia y Administración (Ruth Muñoz y Jorge Muñoz)según nuestra Data cuentan con lavandería. Se envió correo con catálogo."/>
        <s v="No funcionan sus telefónos fijos como según nuestra data esta confirmado correo se volvió a enviar información con catálogo y también se envió al número de whatsapp que figura en su página."/>
        <s v="Es un grupo de 6 hoteles se habló con administrador de Chosica Sr. Jorge Ramirez y  se envió catálogo al correo que solicitó para derivarlo a la central que se encuentra en Talara Piura. Mencionó que la Srta Rosangeli Ejecutiva de ventas tiene contacto con Gerencia nos proporcionó su celular 997556407"/>
        <s v="Se  estableció contacto por llamada telefonica va a poner su emprendimiento de lavandería formalmente, va a procesar 50 kilos diarios aprox. cuenta con dos lavadoras domesticas Lg y Mabe de 16 kilos no cuenta con secadora, tiene conexion a gas natural, se envió cotización."/>
        <s v="Se conversó con Sr Carlos Herrera nos indica que va implementar su lavandería para su hotel de 16 habitaciones tiene espacio prefiere secadora electrica. Se envió cotización."/>
        <s v="La señora es una persona mayor esta interesada sin embargo ya compró lavadoras marca kenmore y mabe  (domesticas).Se le envió cotización a su whatsapp no usa correo podría comprar una semindustrial"/>
        <s v="El señor Anco manifestó que va a realizar un emprendimiento pararelo que se va extender a coorporativo, area para ello de 20 m2, ha solicitado cotización de lavadora, secadora y mesa de planchado. Se envió cotización. Su compra estimada 15 de Noviembre."/>
        <s v="El señor Andia va implementar una lavanderia por lo que necesita una lavadora con secadora ya que tiene un requerimiento de una empresa contratista cuya area será de 80 M2. Estima que lavará  de 250 a 300 kilos semales y su compra la podria realizar la ultima semana de Octubre.Presupuesto de  13000 mil soles.Se envío propuesta"/>
        <s v="El señor Condori tiene 2 lavanderias pero quiere mejores equipos en lavadora y secadora ya que tiene lavadoras domesticas.tiene un estimado de 50 kilos x dia.su compra estimada es en 2 semanas.Tiene un presupuesto de 10000 soles. Se envió propuesta"/>
        <s v="Tuvimos una llamada por 30 minutos con El señor Ureta (dueño )el cual tiene un Hotel en Cusco,Lava 120 kilos al dia se interesó por las lavadora LG de 17 Kilos con secadora, Viene mañana Viernes 24 de Octubre a la planta para concretar posible venta."/>
        <s v="La señora manifestó que la propuesta enviada a encuentra analizando su hija pero a ella le interesa el costo del dispositivo para saber el presupuesto total, asimismo preguntó por los costos de instalación y viáticos solicitó que lo incluyeran.Quedamos en llamarla apenas tengamos el dsipositivo."/>
        <s v="Intentamos comiunicarnos nuevamente esta vez llamando a su celular, Se le llamó sin éxito , durante la semana se le ha escrito a su Whatsapp solicitandole tiempo de sus parte para  orientarlo mejor en sus equipos"/>
        <s v="Se habló nuevamente con recepcionista manifestó que si lo derivó pero que no les han indicado nada."/>
        <s v="No hay respuesta tanto de telefono como email"/>
        <s v="Es un grupo de 6 hoteles.No hay respuesta"/>
        <s v="Volver a llamar no ubicamos al administrador y no quieren dar mas informaci´´on"/>
        <s v="Recepcionista dijo que se encontraba en reunión de Gerencia, no tenía información alguna."/>
        <s v="Se habló con recepcionista  Ana Paula nos tomo el mensaje para por  interno comunicarle a la Srta. Galicia, le dimos un poco mas de información a ella para que nos apoye y quedamos en llamarle el día Lunes  27 de Octubre."/>
        <s v="Se habló con recepción nuevamente por respuesta de nuestro catálogo y manifestó que tienen equipos nuevos no se encuentran interesados."/>
        <s v="El telefóno fijo está fuera de servicio, no hay respuesta en el correo por catálogo enviado."/>
        <s v="El telefóno fijo no responde, no hay respuesta en el correo por catálogo enviado."/>
        <s v="Se habló con recepcionista Diana nuevamente por respuesta de nuestro correo,manifesto que no le han  ndicado nada, le solicité el contacto pero no se lo permiten. "/>
        <s v="Se habló con recepcionista Miriam indicó que no tiene  ninguna indicación ni respuesta del correro que se envió."/>
        <s v="Recepcionista indicó que se comunicarán si hubiera alguna necesidad con nuestros datos ya dejados pero por el momento no tiene respuesta."/>
        <s v="Es un grupo de 6 hoteles se habló con administrador de Chosica Sr. Jorge Ramirez nuevamente,manifestó que si había pasado el correo  Gerencia y que la semana que viene tiene reunión con Gerencia y va a tocar el tema para una posible renovación por lo que quedamos en una comunicación el próximo Viernes 30 de Octubre."/>
        <s v="No respondió su celular, se le dejó mensaje de seguimiento a su whatsapp"/>
        <s v="Se conversó con Sr Carlos Herrera manifestó que en la reunión con su grupo de socios tocarán el tema para evaluarla le indicamos que cualquier duda nos llame, respondió que podriamos llamarlo la próxima semana por alguna respuesta."/>
        <s v="No respondió su celular, se le dejó mensaje de seguimiento a su whatsapp, posteriormente devolvío la llamada indicando que cualquier cosita se comunicaba con nosotros ya que tiene la proforma."/>
        <s v="Indica que cotización enviada se escapa de su presupuesto, estaba manejando, indicó le enviaran una proforma de menor costo, se le envió una nueva cotización."/>
        <s v="La hija del Sr Ureta se comunicó con nosotros para postergar la visita para el día de mañana Sábado 25 de Octubre a las 10 y 30 am por motivos de una cita de salud."/>
        <s v="El señor Alvarado brinda servicios terceros a operarios de construcción para una empresa va a lavar mamelucos,sabanas y frazadas tiene máquinas antiguas ( Frigidaire, Maitag) No va a lavar todos los dias pero tiene 2 dias para entregar.Solicita una cotización para un trabajo a futuro de todos los dias.Estima que lavará de 80 a 100 Kilos por día. Se le envió cotización. Luego de ello se comunicó por teléfono interesado y posiblemente nos visite el día Lunes 27 de Octubre."/>
        <s v="La Sra. Huamani ya tiene lavanderia, busca una máquina para ropa voluminosa exclusiva para lavar edredones por que ella destina cada máquina que tiene para determinadas prendas.Requiere 2 lavadoras una para la ciudad de Arequipa y otra para el Cusco, desconoce su kilage promedio y conoce la marca LG semiindustrial. Se le envió cotización."/>
        <s v="El señor Ortiz va a poner un emprendimiento, requiere asesoría no repondió su celular se le dejó mensaje de identificación en su whatsapp."/>
        <s v="El señor Quiñones va a iniciar con un negocio de lavandería, no sabe cuantos kilos procesará por kilo, solicita cotización de Equipos de 13 kilos y 17 kilos mas 1 planchador. Se envió cotizacion"/>
        <s v="Se le llamó al celular que indicaron no estaba la dueña, se volverá a llamar"/>
        <s v="El señor Carrasco ya tiene lavandería pero esta buscando una lavadora semindustrial para capacidad de edredones, su presupuesto es aprox. 20,000.Se le envió cotización."/>
        <s v="No responde se volverá a llamar"/>
        <s v="El celular sale apagado"/>
        <s v="Contactado no interesado"/>
        <s v="No se encuentran interesados"/>
        <s v="Volver a llamar Lunes 27 de Octubre por respuesta"/>
        <s v="Se volvió a llamar,dejamos un mensaje a su whatsapp"/>
        <s v="Volver a llamarlo el dia Viernes 30 de Octubre"/>
        <s v="Se volverá a llamar el dia Viernes 30 de Octubre por respuesta"/>
        <s v="Se le llamará hoy Sábado 25 de Octubre por que solicitó un ajusyte en el precio."/>
        <s v="El señor Condori indica que hoy revisará la nueva cotización"/>
        <s v="Se le llamó al celular y se le escribió no hay respuesta."/>
        <s v="Se le dejó mensaje no responde"/>
        <s v="Indico iba a revisar la cotización"/>
        <s v="Visitó hoy 25 de Octubre, posible compra"/>
        <s v="El señor Quiñones va a iniciar con un negocio de lavandería Todavía no hay respuesta tiene que conversarlo con su socia(Pareja)"/>
        <s v="Se volvió a llamar el dia de hoy Lunes 27 y nos cortan"/>
        <s v="Se volvió a llamar, no responde se dejó mensaje en whatsapp"/>
        <s v="El celular sale apagado nuevamente"/>
        <s v="No hay respuesta, Contactado no interesado"/>
        <s v="Se conversó con él y estamos a la espera de reunión con Socios, quedamos en llamarlo el dia Viernes 30 de Octubre."/>
        <s v="El señor Condori indica que hoy revisará la nueva cotización, se envió una segunda cotización por ajuste de su presupuesto."/>
        <s v="Se le llamó al celular y se le escribió nuevamente no hay respuesta."/>
        <s v="Se le llamó hoy por respuesta de la cotización, se le hizo un ajuste pero indica esta viendo adicionalmente otros proveedores."/>
        <s v="Se le timbró hoy acerca de su visita pero no responde, se le dejó mensaje a su whatsapp, respondió que llamará temprano para visitarnos ese mimo día"/>
        <s v="Se conversó hoy con la Sra. Huamani menciona que quiere ver su tiempo para viajar a  Lima y ver presencialmente la lavadora lo mas probable indica que sería en Diciembre."/>
        <s v="El señor Ortiz va a poner un emprendimiento, requiere asesoría no repondió su celular  nuevamente se le dejó mensaje de identificación en su whatsapp."/>
        <s v="Cliente solicitó información de lavadoras semiindustriales, no responde, se le dejó mensaje en Whatsapp, el DNI dejado al aparecer está incorrecto no se le puede filtrar"/>
        <s v="Cliente solicitó información de lavadora Primus FX 280, no responde, se le dejó mensaje en Whatsapp."/>
        <s v="Se habló con Recepción e indicó que en este momento están tercerizando pero no quisieron dar información del contacto de lavandería.Manifestaron igual que enviaran el correo para tenernos para cualquier contacto."/>
        <s v="Se habló con Recepción e indicó que en este momento están prohibidos dar información del contacto de lavandería."/>
        <s v="Se le llamó por celular  no respondió, se le envió mensaje de presentación a su whatsapp y correo"/>
        <s v="Se habló con recepcionista indicó que le enviaran información al correo registrado que es el mismo.Se le envió correo"/>
        <s v="Indican que tercerizan con Corporación Lavassa"/>
        <s v="Se logró una conversación con el Sr. Alexander y nos ha solicitado los siguientes requerimientos: Lavadora y Secadora de 60 Kilos, Lavadora y Secadora de 120 kilos  FlOTANTES  y una calandria de 3.20 o mas grande Requerimientos a GAS ( Respecto a la calandria quiere velocidad y saber x hora cuantas sabanas hace )Usa Marca Electroluz y voltaje de 220"/>
        <s v="Se habló con recepcionista e indicó que enviemos correo, es el mismo que se encuentra en Data. Se envió correo"/>
        <s v="El señor Quiñones junto con su pareja (socia )estan coordinando que día podrían venir a la planta, indican posiblemnete mañana o pasado"/>
        <s v="Se le timbró nuevamente al señor Carrasco por respuesta de la cotización enviada y no responde estaba buscando una lavadora para edredones"/>
        <s v="El celular ya sale operativo depues de estar apagado pero no responden se le dejó un mensaje a su whatsapp"/>
        <s v="El Señor Condori va a viajar a Lima tiene previsto venir el Lunes 3 de Noviembre esta viendo otras opciones, le apareció adecuada el precio de la lavadora LG de 13 kilos"/>
        <s v="Se le hizo seguimiento se le brindó mas información de la  marca Primus y también se le envió un video"/>
        <s v="Se le escribió a su whatsapp para coordinar su visita y hoy respondió que han decidido por el momento no comprar"/>
        <s v="La Sra Huamani viene en Diciembre para verlas fiscamente llamarala en quincena de Noviembre"/>
        <s v="El señor Ortiz va a poner un emprendimiento, se le envió en su momento mensajes de whatsapp, ahora corta cuando lo llamamos al parecer no se encuentra interesado"/>
        <s v="Cliente solicitó información de lavadora Primus FX 280, Hoy respondió por Whatsapp e indicó que lava 50 kilos aprox, se le está recomendando una lavadora LG semiindustrial.Esta siendo clara cotizarle sin compromiso"/>
        <s v="Se le llamó por celular  hoy nos respondió indicando que tercerizan con una lavandería en Chacalayo no nos dió el dato"/>
        <s v="Se habló con recepcionista indicó que le enviaran información al correo registrado que es el mismo.Se le envió correo."/>
        <s v="Se hizo el filtro adecuado y pertenece al grupo de la competencia SERFRAC "/>
        <s v="No hay respuesta del correo"/>
        <s v="El señor Rubenal Guevara no quiso dar mucha información requerían mantenimiento pero les interesó conocer nuestro catálogo de máquinas LG semiindutriales.Se les envió presentación y catálogo."/>
        <s v="El señor Miguel indicó que el administrador/Dueño masomenos llega entre 12 a 2 pm mañana Miercoles 29 se intentrá localizarlo"/>
        <s v="El Señor Hurtado no quiso dar información sobre su requerimiento ni dara mas datos suyos, solo indicó que necesita una Lavadora de 30-34 kilos, al parecer esta solo consultando precios se  le envió primero una cotización de lavadora de 17 kilos LG"/>
        <s v="El Señor Quiñones junto con su pareja(socia) indica que nos visitará el próximo Sábado 8 de Noviembre ya que este Sábado es feriado, en la semana se les hace complicado si pudiera antes nos avisa."/>
        <s v="Hoy intentamos contactarla por tercera vez y nos corta, se le ha dejado mensajes de seguimiento"/>
        <s v="Se le timbró nuevamente al señor Carrasco por respuesta de la cotización enviada y no responde estaba buscando una lavadora para edredones hoy se le dejó otro tipo de mensaje a su whatsapp para interesarlo."/>
        <s v="Se volvió a llamar por tercera vez, no responde se dejó nuevo mensaje en whatsapp para interesarla"/>
        <s v="Despues de varios intentos se le dejó un mensaje a su whatsapp nuevamente y respondió nos encontramos a la espera de contactarla"/>
        <s v="Se hizo seguimiento con mensaje a whatsapp e indicó que esta evaluando otras propuestas parea decidir su compra máximo la segunda semana de Noviembre"/>
        <s v="Se le llamó al celular y se le escribió nuevamente  a su whatsapp para interesarlo, respondió escribiendo si se pueden mejorar los precios se interesa por lavadora de 17 kilos y secadora de 15 kilos tiene otra proforma mas económica"/>
        <s v="Se le hizo seguimiento hoy y respondió que mañana viene a la planta 2da visita, por confirmar la hora"/>
        <s v="Se le hizo seguimiento hoy, respondió que mañana viene a la planta 2da visita, por confirmar la hora"/>
        <s v="Luego de los seguimientos respondió el día Martes 28 de Octubre que han decidido por el momento no comprar"/>
        <s v="El señor Ortiz va a poner un emprendimiento, se le timbró y envió nuevamente un mensaje por whatsapp no responde"/>
        <s v="Cliente solicitó información de lavadoras semiindustriales, no responde, se le dejó mensaje nuevamente en Whatsapp, el DNI dejado al aparecer está incorrecto no se le puede filtrar."/>
        <s v="Se le hizo seguimiento acerca de la cotización enviada no responde, se le dejó mensaje por whatsapp"/>
        <s v="Ell dia Martes 28 de Octubre nos respondió indicando que tercerizan con una lavandería en Chacalayo no nos dió el dato"/>
        <s v="Se habló con recepcionista nuevamente no ubicamos a la Sra Carpena.No hay respuesta en el correo"/>
        <s v="Jenny hizo el filtro adecuado el dia Martes 28 de Octubre y pertenece al grupo de la competencia SERFRAC "/>
        <s v="La Sra Hurtado manifestó brevemente que ella quiere equipos industriales pero no se pudo conversar al detalle por que está ocupada durante el día pidió que la llamen a las 9 pm"/>
        <s v="El señor Miguel indicó que el administrador/Dueño masomenos llega entre 12 a 2 pm mañana Miercoles 29 se intentó localizarlo"/>
        <s v="Conversamos con el  Sr. Hurtado por teléfono y manifestó que esta revisando varias cotizaciones."/>
        <s v="Conversamos con la recepcionista y nos proprcionó el dato del jefe de Logistica para enviarle el correo y se envió catálogo"/>
        <s v="Conversamos con recepción y al pasarnos al area de compras nos indicaron que lo llamemos a partir del 2 de Noviembre por estar en cierre por estar apurado no nos proporcionó el correo ni mas datos"/>
        <s v="Se habló con recepcionista nos proporcionó el whatsapp del hotel y nos indicó enviaramos nuestra información al correo que es el mismo de la Data, se envió catálogo"/>
        <s v="Se habló con recepción nos brindó el celular del encargado del hotel Sr. Antonio pero no recuerda su apellido, indicó le escriban alli, se envió mensaje de presentación"/>
        <s v="Se habló con recepcionista nos dió el whatsapp del hotel indicando que alli enviemos nuestra información , no le está permitido dar ningún dato.Se envió presentación"/>
        <s v="La Recepcionista indicó que la administradora no se encontraba que llamaramos mañana a partir de las 10 am cuentan con lavandería."/>
        <s v="La Recepcionista nos dió el dato del correo de la administradora indicando que alli le enviémos la i nformación y se le envió"/>
        <s v="La Recepcionista nos dió el correo del encargado de logistica pero nada mas de información y se envió el correo."/>
        <s v="Se habló con asistente del  señor  Valdez y nos indicó le enviaramos el correo y se le envió"/>
        <s v="Se habló con recepcion y nos indicó enviaramos el correo, es el mismo de la Data, se envió catálogo"/>
        <s v="Administradora de Edificio es referida por el Sr. Campos, Edificio de 160 Departamentos solicita implementar lavandería ya que ya no contarán con consecionario PRONTO MATIC, desean implementar lavandería iniciando con una lavadora y secadora, la compra la desean hacer de inmediato"/>
        <s v="Nuevamente intentamos contactarla, se ha dejado varios mensajes al parecer no se encuentra interesado"/>
        <s v="Al parecer ya no se encuentra interesado, se le ha dejado por varios días mensajes para retroalimentación, no responde"/>
        <s v="Hoy se comunicó con nosotros su referida Ericka Armijo administradora del Edificio donde se implementará lavandería."/>
        <s v="No responden celular, se les dejó nuevo mensaje de seguimiento con foto"/>
        <s v="Nos encontrabamos en espera de reunión de socios hoy no nos respondió el celular"/>
        <s v="Se encuentra evaluando otras propuestas para decidir su compra máximo la segunda semana de Noviembre lo indicó ayer, hoy se timbró para retroalimentación y no responde"/>
        <s v="Se le timbró nuevamente al celular, indica que tiene proforma con precios mas económicos de Lavadora Titan de 17 kilos ( 4217 incluído IGV) y Secadora Giant de 13.6 Kilos ( 2852 incluido IGV ), intentamos nos brinde la información para ver si se le da un precio especial.No quiere enviar información por ser antietico."/>
        <s v="Hoy viene a la planta por segunda vez, posible compra"/>
        <s v="Al Sr. Ortiz se le ha timbrado y dejado mensajes de seguimiento, ahora nos corta."/>
        <s v="Al Sr. Mogollón se le ha timbrado y dejado mensajes de seguimiento, no responde."/>
        <s v="Se le hizo seguimiento acerca de la cotización enviada nuevamente no responde, se le dejó mensaje por whatsapp"/>
        <s v="Hoy nos indicaron que la Sra. Rosario Carpena no viene hasta despues del día Martes 4 de Noviembre, se volverá a intectar contactarla"/>
        <s v="Hoy no respondió, se intentará hablar con ella en el horario indicado 9 PM"/>
        <s v="El día de ayer conversamos con el  Sr. Poblet por teléfono y manifestó que esta revisando varias cotizaciones. Hoy le escribimos mensaje de seguimiento."/>
        <s v="No hay respuesta del correo enviado ayer"/>
        <s v="No hay respuesta en Whatsapp del hotel, se solicito datos para persona de contacto."/>
        <s v="Recepcionista indicó ya le dió el mensaje al Sr. Antonio, encargado del hotel, cualquier cosita comunican."/>
        <s v="Informaron solamente que ya cuentan con proveedor"/>
        <s v="Recepcionista manifestó que por el momento no hay requerimiento pero que dejemos la información al Whatsapp se dejó mensaje de presentación."/>
        <s v="Se le timbró hoy al celular se encontraba en reunión no podía hablar, se le dejó mensaje en whatsapp de seguimiento y luego nos respondió indicando que hoy en la tarde tienen revisión de proformas."/>
        <s v="No se encuentra interesado, no responde ni telefono, ni mensajes"/>
        <s v="Manifestó por whatsapp que él se comunicará con nosotros"/>
        <s v="El día Jueves 30 se comunicó con nosotros su referida Ericka Armijo"/>
        <s v="Indican que todavía no se encuentran interesados"/>
        <s v="El día de hoy nos proporcionaron el contacto de la asistente del dueño Srta. Rosangela Rosales, la llamamos y nos manifestó que le enviaramos la información por whatsapp (El Angolo es un grupo de 6 hoteles)Al obtener su correo también enviamos el catálogo"/>
        <s v="Queria implementar lavandería, nos encontrabamos en espera de reunión de socios pero no nos responde el celular"/>
        <s v="El Señor Condori tenía previsto venir este fin de semana, ahora comunicó que por el feriado posterga su viaje para el siguiente fin de semana (7 -10 NOV), le apareció adecuada el precio de la lavadora LG de 13 kilos, se le llamará en la semana para coordinar y confirmar su visita a planta."/>
        <s v="Desea  implementar lavandería, sigue evaluando propuestas, se habló de nuestros productos y beneficios su compra máximo segunda semana de Noviembre, se le comunicó que por su compra inmediata se le puede hacer un precio especial."/>
        <s v="Se le timbró nuevamente al celular comunicandole el ajuste y dará respuesta el dia Lunes 3 de Noviembre por tener proforma de la competencia, se le emitió nueva cotización"/>
        <s v="Sr. Ureta se ha interesado en separar calandría, nos avisará cuando realize el pago"/>
        <s v="Cotización de Lavadora, Sr Ureta manifiesta que ha solicitado un préstamo, en espera"/>
        <s v="La Sra. Huamani viene en Diciembre para verlas fiscamente llamarla en quincena de Noviembre"/>
        <s v="El día de ayer Jueves 30 de Octubre al comunicarnos manifestaron que la Sra. Rosario Carpena no viene hasta despues del día Martes 4 de Noviembre, se volverá a intectar contactarla"/>
        <s v="No responde, se intentará hablar con ella nuevamente en el horario indicado 9 PM"/>
        <s v="Hoy respondieron que no se encuentran interesados"/>
        <s v="El señor Poblet manifestó que ya tomaron decisión con otro proveedor, se le hicieron algunas preguntas para conocer el motivo no respondió"/>
        <s v="No hay respuesta en Whatsapp del hotel"/>
        <s v="No hay respuesta en Whatsapp del hotel no nos dieron mas información"/>
        <s v="Nos brindaron el contacto de la encaragada del hotel y se envió correo"/>
        <s v="Nos brindaron correo del area y se envió catálogo"/>
        <s v="Se envió información al whatsapp del hotel"/>
        <s v="Nos comunicamos por teléfono con interrupciones pero lo volvimos a llamar, se envió mensaje para coordinar una proxima llamada y aterrizar fecha de visita porque comentó que visitaría entre el 7 y 10 de noviembre"/>
        <s v="Se decidió por la competencia, la diferencia de precios en los equipos no fue mucha, lo que le motivó la compra fue el envío y puesta en marcha gratuitos. Por otro lado en 1 mes aprox va a necesitar más equipos, para el seguimiento respectivo"/>
        <s v="El Señor Quiñones junto con su pareja(socia) indica que nos visitará este Sábado 8 de Noviembre. Ya enviaron datos para el permiso de ingreso, están decidiendo locales, fecha estimada de compra fines de noviembre"/>
        <s v="Nos comunicamos por teléfono con interrupciones pero lo volvimos a llamar, se envió mensaje para coordinar una proxima llamada y aterrizar fecha de visita." u="1"/>
        <m u="1"/>
        <s v="Sr. Ureta Separó Calandria" u="1"/>
        <s v="No hay respuesta de correo" u="1"/>
        <s v="Al rebotar el primer correo el dia de hoy llamamos y enviamos el correo al otro correo proporcionado." u="1"/>
        <s v="Al rebotar hoy el primer correo llamamos y nos manifestaron que enviaramos el correo a la Sra jefa Rosa Solorzano encargada de House Keeping" u="1"/>
        <s v="Se envío información de presentación por whatsapp, no responde celular " u="1"/>
        <s v="Recepción nos brindó el celular de la oficina de logistica pero no responden" u="1"/>
        <s v="Recepción indicó enviaran correo al que ya se registra en la Data, se envió catálogo" u="1"/>
        <s v="Recepcionista nos confirmó el correo y que enviaramos la información alli" u="1"/>
        <s v="Recepción indicó que volvieramos a llamar no se encontraba dueño" u="1"/>
        <s v="Olenka Martinez refirió que iba a pasar el correo a el consesionario del hotel pero no me brindó mas información." u="1"/>
        <s v="Recepción nos dió el correo del area  de Logistica/Compras, se envió catálogo" u="1"/>
        <s v="Se le llamó al celular y se le escribió nuevamente  a su whatsapp para interesarlo ya que no responde" u="1"/>
        <s v="Se le hizo seguimiento luego de su visita a planta, se le brindó mas información de la  marca Primus y también se le envió un video" u="1"/>
        <s v="Se habló con recepción nos brindó el celular del encargado del hotel Sr. Antonio pero no recuerda su apellido, indicó le escriban alliy se envió mensaje de presentación" u="1"/>
        <s v="Se le llamó al celular y se le escribió nuevamente  a su whatsapp para interesarlo, respondió escribiendo si se pueden mejorar los precios en espera que nos podamos contactar" u="1"/>
        <s v="Cliente solicitó información de lavadora Primus FX 280, no responde nuevamente, se le dejó mensaje en Whatsapp." u="1"/>
        <s v="Posible visita el dia Lunes 27 de Octubre" u="1"/>
        <s v="Visitó de hoy 25 de Octubre, posible compra" u="1"/>
        <s v="Se le timbró nuevamente al celular del señor Ortiz y no responde. Se le dejó mensaje en su whatsapp" u="1"/>
        <s v="Se habló con recepcionista Diana nuevamente por respuesta de nuestro correro,manifesto que no le han  ndicado nada, le solicité el contacto pero no se lo permiten. " u="1"/>
      </sharedItems>
    </cacheField>
    <cacheField name="Estado" numFmtId="0">
      <sharedItems containsBlank="1" count="8">
        <s v="Propuesta enviada"/>
        <s v="Pendiente"/>
        <s v="Contactado"/>
        <s v="Potencial cierre"/>
        <s v="Contactado interesado"/>
        <m/>
        <s v="Cerrado perdido"/>
        <s v="Cerrado ganado" u="1"/>
      </sharedItems>
    </cacheField>
    <cacheField name="Monto de la oportunidad" numFmtId="0">
      <sharedItems containsNonDate="0" containsString="0" containsBlank="1"/>
    </cacheField>
    <cacheField name="No. Cotización" numFmtId="0">
      <sharedItems containsBlank="1"/>
    </cacheField>
    <cacheField name="Valor Cotización" numFmtId="0">
      <sharedItems containsString="0" containsBlank="1" containsNumber="1" containsInteger="1" minValue="4340" maxValue="7999"/>
    </cacheField>
    <cacheField name="Fecha seguimiento" numFmtId="0">
      <sharedItems containsDate="1" containsString="0" containsBlank="1" containsMixedTypes="1" minDate="2025-10-30T00:00:00" maxDate="2025-12-02T00:00:00"/>
    </cacheField>
    <cacheField name="Semana" numFmtId="0">
      <sharedItems containsString="0" containsBlank="1" containsNumber="1" containsInteger="1" minValue="43" maxValue="45"/>
    </cacheField>
    <cacheField name="Numero de trabajadores" numFmtId="0">
      <sharedItems containsString="0" containsBlank="1" containsNumber="1" containsInteger="1" minValue="2" maxValue="2"/>
    </cacheField>
  </cacheFields>
  <extLst>
    <ext xmlns:x14="http://schemas.microsoft.com/office/spreadsheetml/2009/9/main" uri="{725AE2AE-9491-48be-B2B4-4EB974FC3084}">
      <x14:pivotCacheDefinition pivotCacheId="691441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
  <r>
    <n v="1"/>
    <x v="0"/>
    <s v="Liliana Aldana"/>
    <s v="Navarro Patricia"/>
    <s v="Dueña"/>
    <s v="926588480/926588580"/>
    <m/>
    <x v="0"/>
    <s v="10214783385/104822824612"/>
    <m/>
    <s v="Ica"/>
    <s v="Chincha"/>
    <s v="Lavandería Comercial"/>
    <s v="Equipo"/>
    <x v="0"/>
    <x v="0"/>
    <x v="0"/>
    <m/>
    <s v="0001-25"/>
    <n v="4340"/>
    <m/>
    <n v="43"/>
    <n v="2"/>
  </r>
  <r>
    <n v="2"/>
    <x v="0"/>
    <s v="Liliana Aldana"/>
    <s v="Barzola Arthur Jhonatan"/>
    <m/>
    <n v="977508409"/>
    <m/>
    <x v="1"/>
    <m/>
    <m/>
    <m/>
    <m/>
    <m/>
    <s v="Equipo"/>
    <x v="1"/>
    <x v="1"/>
    <x v="1"/>
    <m/>
    <m/>
    <m/>
    <m/>
    <n v="43"/>
    <m/>
  </r>
  <r>
    <n v="3"/>
    <x v="1"/>
    <s v="Liiliana Aldana"/>
    <m/>
    <s v="Recepcionista"/>
    <n v="14750500"/>
    <m/>
    <x v="2"/>
    <m/>
    <m/>
    <s v="Lima"/>
    <s v="Miraflores"/>
    <m/>
    <m/>
    <x v="2"/>
    <x v="2"/>
    <x v="1"/>
    <m/>
    <m/>
    <m/>
    <d v="2025-11-20T00:00:00"/>
    <n v="43"/>
    <m/>
  </r>
  <r>
    <n v="4"/>
    <x v="1"/>
    <s v="Liliana Aldana"/>
    <m/>
    <m/>
    <m/>
    <s v="pllerena@aquavithotel.com"/>
    <x v="3"/>
    <m/>
    <m/>
    <s v="Cañete"/>
    <s v="Asia"/>
    <s v="Hotelería"/>
    <m/>
    <x v="2"/>
    <x v="3"/>
    <x v="2"/>
    <m/>
    <m/>
    <m/>
    <m/>
    <n v="43"/>
    <m/>
  </r>
  <r>
    <n v="5"/>
    <x v="1"/>
    <s v="Liiliana Aldana"/>
    <m/>
    <s v="Recepcionista"/>
    <n v="7005100"/>
    <s v="concierge@andean.travel"/>
    <x v="4"/>
    <m/>
    <m/>
    <s v="Lima"/>
    <s v="Barranco"/>
    <s v="Hotelería"/>
    <m/>
    <x v="2"/>
    <x v="4"/>
    <x v="2"/>
    <m/>
    <m/>
    <m/>
    <m/>
    <n v="43"/>
    <m/>
  </r>
  <r>
    <n v="6"/>
    <x v="1"/>
    <s v="Liiliana Aldana"/>
    <m/>
    <s v="Recepcionista"/>
    <n v="2476430"/>
    <m/>
    <x v="5"/>
    <m/>
    <m/>
    <s v="Lima"/>
    <s v="Barranco"/>
    <s v="Hotelería"/>
    <m/>
    <x v="2"/>
    <x v="5"/>
    <x v="1"/>
    <m/>
    <m/>
    <m/>
    <m/>
    <n v="43"/>
    <m/>
  </r>
  <r>
    <n v="7"/>
    <x v="1"/>
    <s v="Liiliana Aldana"/>
    <s v="Jack Lozano"/>
    <s v="Almacen/Compras"/>
    <s v="7112000/994632938"/>
    <m/>
    <x v="6"/>
    <m/>
    <m/>
    <s v="Lima"/>
    <s v="Callao"/>
    <s v="Hotelería"/>
    <m/>
    <x v="2"/>
    <x v="6"/>
    <x v="2"/>
    <m/>
    <m/>
    <m/>
    <m/>
    <n v="43"/>
    <m/>
  </r>
  <r>
    <n v="8"/>
    <x v="1"/>
    <s v="Liliana Aldana"/>
    <s v="Marlene Galicia"/>
    <s v="Compras"/>
    <n v="3155000"/>
    <s v="marlene.galicia@sheraton.com"/>
    <x v="7"/>
    <m/>
    <m/>
    <s v="Lima"/>
    <s v="Lima"/>
    <s v="Hotelería"/>
    <m/>
    <x v="2"/>
    <x v="7"/>
    <x v="2"/>
    <m/>
    <m/>
    <m/>
    <m/>
    <n v="43"/>
    <m/>
  </r>
  <r>
    <n v="9"/>
    <x v="1"/>
    <s v="Liiliana Aldana"/>
    <m/>
    <m/>
    <n v="2056200"/>
    <s v="hotelcontinentalperu@gmail.com"/>
    <x v="8"/>
    <m/>
    <m/>
    <s v="Lima"/>
    <s v="Lima"/>
    <s v="Hotelería"/>
    <m/>
    <x v="2"/>
    <x v="8"/>
    <x v="2"/>
    <m/>
    <m/>
    <m/>
    <m/>
    <n v="43"/>
    <m/>
  </r>
  <r>
    <n v="10"/>
    <x v="2"/>
    <s v="Liliana Aldana"/>
    <m/>
    <m/>
    <n v="4265147"/>
    <s v="hotel-palacio@hotmail.com"/>
    <x v="9"/>
    <m/>
    <m/>
    <s v="Lima"/>
    <s v="Lima"/>
    <s v="Hotelería"/>
    <m/>
    <x v="2"/>
    <x v="9"/>
    <x v="2"/>
    <m/>
    <m/>
    <m/>
    <m/>
    <n v="43"/>
    <m/>
  </r>
  <r>
    <n v="11"/>
    <x v="2"/>
    <s v="Liliana Aldana"/>
    <m/>
    <m/>
    <n v="4335517"/>
    <s v="hotelinternacional763@hotmail.com"/>
    <x v="10"/>
    <m/>
    <m/>
    <s v="Lima"/>
    <s v="Lima"/>
    <s v="Hotelería"/>
    <m/>
    <x v="2"/>
    <x v="10"/>
    <x v="2"/>
    <m/>
    <m/>
    <m/>
    <m/>
    <n v="43"/>
    <m/>
  </r>
  <r>
    <n v="12"/>
    <x v="2"/>
    <s v="Liliana Aldana"/>
    <m/>
    <m/>
    <n v="4261919"/>
    <s v="gerencia@inkapath.com"/>
    <x v="11"/>
    <m/>
    <m/>
    <s v="Lima"/>
    <s v="Lima"/>
    <s v="Hotelería"/>
    <m/>
    <x v="2"/>
    <x v="10"/>
    <x v="2"/>
    <m/>
    <m/>
    <m/>
    <m/>
    <n v="43"/>
    <m/>
  </r>
  <r>
    <n v="13"/>
    <x v="2"/>
    <s v="Liliana Aldana"/>
    <m/>
    <m/>
    <n v="3328310"/>
    <s v="reservas@hotelanthonys.com"/>
    <x v="12"/>
    <m/>
    <m/>
    <s v="Lima"/>
    <s v="Lima"/>
    <s v="Hotelería"/>
    <m/>
    <x v="2"/>
    <x v="11"/>
    <x v="2"/>
    <m/>
    <m/>
    <m/>
    <m/>
    <n v="43"/>
    <m/>
  </r>
  <r>
    <n v="14"/>
    <x v="2"/>
    <s v="Liliana Aldana"/>
    <m/>
    <m/>
    <n v="4673047"/>
    <s v="administración@hotelolaya.com.pe/gerencia@hotelolaya.com.pe"/>
    <x v="13"/>
    <m/>
    <m/>
    <s v="Lima"/>
    <s v="Lima"/>
    <s v="Hotelería"/>
    <m/>
    <x v="2"/>
    <x v="12"/>
    <x v="2"/>
    <m/>
    <m/>
    <m/>
    <m/>
    <n v="43"/>
    <m/>
  </r>
  <r>
    <n v="15"/>
    <x v="2"/>
    <s v="Liliana Aldana"/>
    <m/>
    <m/>
    <n v="994894905"/>
    <s v="info@aroromero.com"/>
    <x v="14"/>
    <m/>
    <m/>
    <s v="Lima"/>
    <s v="Chosica"/>
    <s v="Hotelería"/>
    <m/>
    <x v="2"/>
    <x v="13"/>
    <x v="2"/>
    <m/>
    <m/>
    <m/>
    <m/>
    <n v="43"/>
    <m/>
  </r>
  <r>
    <n v="16"/>
    <x v="2"/>
    <s v="Liliana Aldana"/>
    <m/>
    <m/>
    <n v="987934854"/>
    <s v="informes@elangolochosica.com"/>
    <x v="15"/>
    <m/>
    <m/>
    <s v="Lima"/>
    <s v="Chosica"/>
    <s v="Hotelería"/>
    <m/>
    <x v="2"/>
    <x v="14"/>
    <x v="2"/>
    <m/>
    <m/>
    <m/>
    <m/>
    <n v="43"/>
    <m/>
  </r>
  <r>
    <n v="17"/>
    <x v="2"/>
    <s v="Liliana Aldana"/>
    <s v="Peña Tasayco Fiorella"/>
    <s v="Dueña"/>
    <n v="988923787"/>
    <s v="fiorella22303@gmail.com"/>
    <x v="16"/>
    <n v="10429272721"/>
    <m/>
    <s v="Lima"/>
    <s v="San Juan de Lurigancho"/>
    <s v="Lavandería Comercial"/>
    <s v="Equipo"/>
    <x v="1"/>
    <x v="15"/>
    <x v="0"/>
    <m/>
    <s v="0002-25"/>
    <n v="4340"/>
    <m/>
    <n v="43"/>
    <m/>
  </r>
  <r>
    <n v="18"/>
    <x v="2"/>
    <s v="Liliana Aldana"/>
    <s v="Herrera Carlos"/>
    <s v="Dueño"/>
    <n v="984755140"/>
    <s v="carlos.herrera.gonzaga@gmail.com"/>
    <x v="17"/>
    <n v="10720799494"/>
    <m/>
    <s v="Cerro de Pasco"/>
    <m/>
    <s v="Hotelería"/>
    <s v="Equipo"/>
    <x v="1"/>
    <x v="16"/>
    <x v="0"/>
    <m/>
    <s v="0004-25"/>
    <n v="4340"/>
    <m/>
    <n v="43"/>
    <m/>
  </r>
  <r>
    <n v="19"/>
    <x v="2"/>
    <s v="Liliana Aldana"/>
    <s v="Ramos Campo Marleny"/>
    <s v="Dueña"/>
    <n v="907616141"/>
    <m/>
    <x v="18"/>
    <s v="Lo va a sacar en esta semana"/>
    <m/>
    <s v="Lima"/>
    <s v="Pucusana"/>
    <s v="Lavandería Comercial"/>
    <s v="Equipo"/>
    <x v="1"/>
    <x v="17"/>
    <x v="0"/>
    <m/>
    <s v="0003-25"/>
    <n v="4340"/>
    <m/>
    <n v="43"/>
    <m/>
  </r>
  <r>
    <n v="20"/>
    <x v="2"/>
    <s v="Liliana Aldana"/>
    <s v="Joseph Anco"/>
    <s v="Dueño"/>
    <n v="927100074"/>
    <s v="angeles.comerciales.ventas@gmail.com"/>
    <x v="19"/>
    <n v="20609379821"/>
    <m/>
    <s v="Arequipa"/>
    <m/>
    <s v="Varios"/>
    <s v="Equipo"/>
    <x v="1"/>
    <x v="18"/>
    <x v="0"/>
    <m/>
    <s v="0005-25"/>
    <n v="6639"/>
    <m/>
    <n v="43"/>
    <m/>
  </r>
  <r>
    <n v="21"/>
    <x v="3"/>
    <s v="Liliana Aldana"/>
    <s v="Andia Zeballos Manuel Renatto"/>
    <s v="Dueño"/>
    <n v="950308250"/>
    <s v="valgutsac@gmail.com"/>
    <x v="20"/>
    <n v="20614800659"/>
    <m/>
    <s v="Arequipa"/>
    <m/>
    <s v="Lavandería Comercial"/>
    <s v="Equipo"/>
    <x v="1"/>
    <x v="19"/>
    <x v="0"/>
    <m/>
    <s v="0006-25"/>
    <n v="4340"/>
    <m/>
    <n v="43"/>
    <m/>
  </r>
  <r>
    <n v="22"/>
    <x v="3"/>
    <s v="Liliana Aldana"/>
    <s v="Condori Ramos Marco Raul"/>
    <s v="Dueño"/>
    <n v="905824331"/>
    <s v="marco.condoriramos420@gmail.com"/>
    <x v="21"/>
    <s v="Lo va a sacar"/>
    <m/>
    <s v="Arequipa"/>
    <m/>
    <s v="Lavandería Comercial"/>
    <s v="Equipo"/>
    <x v="1"/>
    <x v="20"/>
    <x v="0"/>
    <m/>
    <s v="0007-25"/>
    <n v="6949"/>
    <m/>
    <n v="43"/>
    <m/>
  </r>
  <r>
    <n v="23"/>
    <x v="3"/>
    <s v="Jenny Valdiviezo"/>
    <s v="Victor  Ureta"/>
    <s v="Dueño"/>
    <n v="949719738"/>
    <s v="lichiufb@gmail.com"/>
    <x v="22"/>
    <n v="20601646367"/>
    <m/>
    <s v="Cusco"/>
    <m/>
    <s v="Hotelería"/>
    <s v="Equipo"/>
    <x v="1"/>
    <x v="21"/>
    <x v="0"/>
    <m/>
    <s v="0008-25"/>
    <n v="6949"/>
    <m/>
    <n v="43"/>
    <m/>
  </r>
  <r>
    <n v="24"/>
    <x v="4"/>
    <s v="Liliana Aldana"/>
    <s v="Navarro Patricia"/>
    <s v="Dueña"/>
    <s v="926588480/926588580"/>
    <m/>
    <x v="0"/>
    <s v="10214783385/104822824612"/>
    <m/>
    <s v="Ica"/>
    <s v="Chincha"/>
    <s v="Lavandería Comercial"/>
    <s v="Equipo"/>
    <x v="0"/>
    <x v="22"/>
    <x v="0"/>
    <m/>
    <m/>
    <m/>
    <m/>
    <n v="43"/>
    <n v="2"/>
  </r>
  <r>
    <n v="25"/>
    <x v="4"/>
    <s v="Liliana Aldana"/>
    <s v="Barzola Arthur Jhonatan"/>
    <m/>
    <n v="977508409"/>
    <m/>
    <x v="1"/>
    <m/>
    <m/>
    <m/>
    <m/>
    <m/>
    <s v="Equipo"/>
    <x v="1"/>
    <x v="23"/>
    <x v="1"/>
    <m/>
    <m/>
    <m/>
    <m/>
    <n v="43"/>
    <m/>
  </r>
  <r>
    <n v="26"/>
    <x v="4"/>
    <s v="Liliana Aldana"/>
    <m/>
    <m/>
    <n v="3328310"/>
    <s v="reservas@hotelanthonys.com"/>
    <x v="12"/>
    <m/>
    <m/>
    <s v="Lima"/>
    <s v="Lima"/>
    <s v="Hotelería"/>
    <m/>
    <x v="2"/>
    <x v="24"/>
    <x v="2"/>
    <m/>
    <m/>
    <m/>
    <m/>
    <n v="43"/>
    <m/>
  </r>
  <r>
    <n v="27"/>
    <x v="4"/>
    <s v="Liliana Aldana"/>
    <m/>
    <m/>
    <n v="5307801"/>
    <s v="pllerena@aquavithotel.com"/>
    <x v="3"/>
    <m/>
    <m/>
    <s v="Cañete"/>
    <s v="Asia"/>
    <s v="Hotelería"/>
    <m/>
    <x v="2"/>
    <x v="25"/>
    <x v="2"/>
    <m/>
    <m/>
    <m/>
    <m/>
    <n v="43"/>
    <m/>
  </r>
  <r>
    <n v="28"/>
    <x v="4"/>
    <s v="Liiliana Aldana"/>
    <m/>
    <s v="Recepcionista"/>
    <n v="7005100"/>
    <s v="concierge@andean.travel"/>
    <x v="4"/>
    <m/>
    <m/>
    <s v="Lima"/>
    <s v="Barranco"/>
    <s v="Hotelería"/>
    <m/>
    <x v="2"/>
    <x v="26"/>
    <x v="2"/>
    <m/>
    <m/>
    <m/>
    <m/>
    <n v="43"/>
    <m/>
  </r>
  <r>
    <n v="29"/>
    <x v="4"/>
    <s v="Liiliana Aldana"/>
    <m/>
    <s v="Recepcionista"/>
    <n v="2476430"/>
    <m/>
    <x v="5"/>
    <m/>
    <m/>
    <s v="Lima"/>
    <s v="Barranco"/>
    <s v="Hotelería"/>
    <m/>
    <x v="2"/>
    <x v="27"/>
    <x v="1"/>
    <m/>
    <m/>
    <m/>
    <m/>
    <n v="43"/>
    <m/>
  </r>
  <r>
    <n v="30"/>
    <x v="4"/>
    <s v="Liiliana Aldana"/>
    <s v="Jack Lozano"/>
    <s v="Almacen/Compras"/>
    <s v="7112000/994632938"/>
    <m/>
    <x v="6"/>
    <m/>
    <m/>
    <s v="Lima"/>
    <s v="Callao"/>
    <s v="Hotelería"/>
    <m/>
    <x v="2"/>
    <x v="28"/>
    <x v="2"/>
    <m/>
    <m/>
    <m/>
    <m/>
    <n v="43"/>
    <m/>
  </r>
  <r>
    <n v="31"/>
    <x v="4"/>
    <s v="Liliana Aldana"/>
    <s v="Marlene Galicia"/>
    <s v="Compras"/>
    <n v="3155000"/>
    <s v="marlene.galicia@sheraton.com"/>
    <x v="7"/>
    <m/>
    <m/>
    <s v="Lima"/>
    <s v="Lima"/>
    <s v="Hotelería"/>
    <m/>
    <x v="2"/>
    <x v="29"/>
    <x v="2"/>
    <m/>
    <m/>
    <m/>
    <m/>
    <n v="43"/>
    <m/>
  </r>
  <r>
    <n v="32"/>
    <x v="4"/>
    <s v="Liiliana Aldana"/>
    <m/>
    <m/>
    <n v="2056200"/>
    <s v="hotelcontinentalperu@gmail.com"/>
    <x v="8"/>
    <m/>
    <m/>
    <s v="Lima"/>
    <s v="Lima"/>
    <s v="Hotelería"/>
    <m/>
    <x v="2"/>
    <x v="30"/>
    <x v="2"/>
    <m/>
    <m/>
    <m/>
    <m/>
    <n v="43"/>
    <m/>
  </r>
  <r>
    <n v="33"/>
    <x v="4"/>
    <s v="Liliana Aldana"/>
    <m/>
    <m/>
    <n v="4265147"/>
    <s v="hotel-palacio@hotmail.com"/>
    <x v="9"/>
    <m/>
    <m/>
    <s v="Lima"/>
    <s v="Lima"/>
    <s v="Hotelería"/>
    <m/>
    <x v="2"/>
    <x v="31"/>
    <x v="2"/>
    <m/>
    <m/>
    <m/>
    <m/>
    <n v="43"/>
    <m/>
  </r>
  <r>
    <n v="34"/>
    <x v="4"/>
    <s v="Liliana Aldana"/>
    <m/>
    <m/>
    <n v="4335517"/>
    <s v="hotelinternacional763@hotmail.com"/>
    <x v="10"/>
    <m/>
    <m/>
    <s v="Lima"/>
    <s v="Lima"/>
    <s v="Hotelería"/>
    <m/>
    <x v="2"/>
    <x v="32"/>
    <x v="2"/>
    <m/>
    <m/>
    <m/>
    <m/>
    <n v="43"/>
    <m/>
  </r>
  <r>
    <n v="35"/>
    <x v="4"/>
    <s v="Liliana Aldana"/>
    <m/>
    <m/>
    <n v="4261919"/>
    <s v="gerencia@inkapath.com"/>
    <x v="11"/>
    <m/>
    <m/>
    <s v="Lima"/>
    <s v="Lima"/>
    <s v="Hotelería"/>
    <m/>
    <x v="2"/>
    <x v="32"/>
    <x v="2"/>
    <m/>
    <m/>
    <m/>
    <m/>
    <n v="43"/>
    <m/>
  </r>
  <r>
    <n v="36"/>
    <x v="4"/>
    <s v="Liliana Aldana"/>
    <m/>
    <m/>
    <n v="3328310"/>
    <s v="reservas@hotelanthonys.com"/>
    <x v="12"/>
    <m/>
    <m/>
    <s v="Lima"/>
    <s v="Lima"/>
    <s v="Hotelería"/>
    <m/>
    <x v="2"/>
    <x v="33"/>
    <x v="2"/>
    <m/>
    <m/>
    <m/>
    <m/>
    <n v="43"/>
    <m/>
  </r>
  <r>
    <n v="37"/>
    <x v="4"/>
    <s v="Liliana Aldana"/>
    <m/>
    <m/>
    <n v="4673047"/>
    <s v="administración@hotelolaya.com.pe/gerencia@hotelolaya.com.pe"/>
    <x v="13"/>
    <m/>
    <m/>
    <s v="Lima"/>
    <s v="Lima"/>
    <s v="Hotelería"/>
    <m/>
    <x v="2"/>
    <x v="34"/>
    <x v="2"/>
    <m/>
    <m/>
    <m/>
    <m/>
    <n v="43"/>
    <m/>
  </r>
  <r>
    <n v="38"/>
    <x v="4"/>
    <s v="Liliana Aldana"/>
    <m/>
    <m/>
    <n v="994894905"/>
    <s v="info@aroromero.com"/>
    <x v="14"/>
    <m/>
    <m/>
    <s v="Lima"/>
    <s v="Chosica"/>
    <s v="Hotelería"/>
    <m/>
    <x v="2"/>
    <x v="35"/>
    <x v="2"/>
    <m/>
    <m/>
    <m/>
    <m/>
    <n v="43"/>
    <m/>
  </r>
  <r>
    <n v="39"/>
    <x v="4"/>
    <s v="Liliana Aldana"/>
    <s v="Jorge Ramirez"/>
    <m/>
    <n v="987934854"/>
    <s v="informes@elangolochosica.com"/>
    <x v="15"/>
    <m/>
    <m/>
    <s v="Lima"/>
    <s v="Chosica"/>
    <s v="Hotelería"/>
    <m/>
    <x v="2"/>
    <x v="36"/>
    <x v="2"/>
    <m/>
    <m/>
    <m/>
    <d v="2025-10-30T00:00:00"/>
    <n v="43"/>
    <m/>
  </r>
  <r>
    <n v="40"/>
    <x v="4"/>
    <s v="Liliana Aldana"/>
    <s v="Peña Tasayco Fiorella"/>
    <s v="Dueña"/>
    <n v="988923787"/>
    <s v="fiorella22303@gmail.com"/>
    <x v="16"/>
    <n v="10429272721"/>
    <m/>
    <s v="Lima"/>
    <s v="San Juan de Lurigancho"/>
    <s v="Lavandería Comercial"/>
    <s v="Equipo"/>
    <x v="1"/>
    <x v="37"/>
    <x v="0"/>
    <m/>
    <m/>
    <m/>
    <m/>
    <n v="43"/>
    <m/>
  </r>
  <r>
    <n v="41"/>
    <x v="4"/>
    <s v="Liliana Aldana"/>
    <s v="Herrera Carlos"/>
    <s v="Dueño"/>
    <n v="984755140"/>
    <s v="carlos.herrera.gonzaga@gmail.com"/>
    <x v="17"/>
    <n v="10720799494"/>
    <m/>
    <s v="Cerro de Pasco"/>
    <m/>
    <s v="Hotelería"/>
    <s v="Equipo"/>
    <x v="1"/>
    <x v="38"/>
    <x v="0"/>
    <m/>
    <m/>
    <m/>
    <m/>
    <n v="43"/>
    <m/>
  </r>
  <r>
    <n v="42"/>
    <x v="4"/>
    <s v="Liliana Aldana"/>
    <s v="Ramos Campo Marleny"/>
    <s v="Dueña"/>
    <n v="907616141"/>
    <m/>
    <x v="18"/>
    <s v="Lo va a sacar en esta semana"/>
    <m/>
    <s v="Lima"/>
    <s v="Pucusana"/>
    <s v="Lavandería Comercial"/>
    <s v="Equipo"/>
    <x v="1"/>
    <x v="39"/>
    <x v="0"/>
    <m/>
    <m/>
    <m/>
    <m/>
    <n v="43"/>
    <m/>
  </r>
  <r>
    <n v="43"/>
    <x v="4"/>
    <s v="Liliana Aldana"/>
    <s v="Joseph Anco"/>
    <s v="Dueño"/>
    <n v="927100074"/>
    <s v="angeles.comerciales.ventas@gmail.com"/>
    <x v="19"/>
    <n v="20609379821"/>
    <m/>
    <s v="Arequipa"/>
    <m/>
    <s v="Varios"/>
    <s v="Equipo"/>
    <x v="1"/>
    <x v="37"/>
    <x v="0"/>
    <m/>
    <m/>
    <m/>
    <m/>
    <n v="43"/>
    <m/>
  </r>
  <r>
    <n v="44"/>
    <x v="4"/>
    <s v="Liliana Aldana"/>
    <s v="Andia Zeballos Manuel Renatto"/>
    <s v="Dueño"/>
    <n v="950308250"/>
    <s v="valgutsac@gmail.com"/>
    <x v="20"/>
    <n v="20614800659"/>
    <m/>
    <s v="Arequipa"/>
    <m/>
    <s v="Lavandería Comercial"/>
    <s v="Equipo"/>
    <x v="1"/>
    <x v="37"/>
    <x v="0"/>
    <m/>
    <m/>
    <m/>
    <m/>
    <n v="43"/>
    <m/>
  </r>
  <r>
    <n v="45"/>
    <x v="4"/>
    <s v="Liliana Aldana"/>
    <s v="Condori Ramos Marco Raul"/>
    <s v="Dueño"/>
    <n v="905824331"/>
    <s v="marco.condoriramos420@gmail.com"/>
    <x v="21"/>
    <s v="Lo va a sacar"/>
    <m/>
    <s v="Arequipa"/>
    <m/>
    <s v="Lavandería Comercial"/>
    <s v="Equipo"/>
    <x v="1"/>
    <x v="40"/>
    <x v="0"/>
    <m/>
    <s v="0009-25"/>
    <n v="4340"/>
    <m/>
    <n v="43"/>
    <m/>
  </r>
  <r>
    <n v="46"/>
    <x v="4"/>
    <s v="Jenny Valdiviezo"/>
    <s v="Victor  Ureta"/>
    <s v="Dueño"/>
    <n v="949719738"/>
    <s v="lichiufb@gmail.com"/>
    <x v="22"/>
    <n v="20601646367"/>
    <m/>
    <s v="Cusco"/>
    <m/>
    <s v="Hotelería"/>
    <s v="Equipo"/>
    <x v="1"/>
    <x v="41"/>
    <x v="3"/>
    <m/>
    <m/>
    <m/>
    <m/>
    <n v="43"/>
    <m/>
  </r>
  <r>
    <n v="47"/>
    <x v="4"/>
    <s v="Liliana Aldana"/>
    <s v="Jorge Alvarado"/>
    <s v="Dueño"/>
    <n v="961785460"/>
    <s v="jalvarado@barymas.com"/>
    <x v="23"/>
    <n v="20537054728"/>
    <m/>
    <s v="Lima"/>
    <s v="Chaclacayo"/>
    <s v="Otros: Marina/Ejército/Bomberos"/>
    <s v="Equipo"/>
    <x v="1"/>
    <x v="42"/>
    <x v="3"/>
    <m/>
    <s v="0010-25"/>
    <n v="4340"/>
    <m/>
    <n v="43"/>
    <m/>
  </r>
  <r>
    <n v="48"/>
    <x v="4"/>
    <s v="Liliana Aldana"/>
    <s v="Huamani Annie Lisbeth"/>
    <s v="Dueño"/>
    <n v="971763270"/>
    <s v="annie-lu-se@outlook.com"/>
    <x v="24"/>
    <s v="Es el Ruc de su mamá"/>
    <m/>
    <s v="Arequipa"/>
    <m/>
    <s v="Lavandería Comercial"/>
    <s v="Equipo"/>
    <x v="1"/>
    <x v="43"/>
    <x v="0"/>
    <m/>
    <s v="0011-25"/>
    <n v="6949"/>
    <m/>
    <n v="43"/>
    <m/>
  </r>
  <r>
    <n v="49"/>
    <x v="4"/>
    <s v="Liliana Aldana"/>
    <s v="Ortiz Luis Alberto"/>
    <m/>
    <n v="990216016"/>
    <s v="luis.alberto.ortiz.43@gmail.com"/>
    <x v="1"/>
    <m/>
    <m/>
    <m/>
    <m/>
    <s v="Lavandería Comercial"/>
    <s v="Equipo"/>
    <x v="1"/>
    <x v="44"/>
    <x v="1"/>
    <m/>
    <m/>
    <m/>
    <m/>
    <n v="43"/>
    <m/>
  </r>
  <r>
    <n v="50"/>
    <x v="5"/>
    <s v="Liliana Aldana"/>
    <s v="Quiñones Angelo"/>
    <m/>
    <n v="915244218"/>
    <s v="angeloqa12@gmail.com"/>
    <x v="25"/>
    <s v="Todavía no tiene"/>
    <m/>
    <s v="Lima"/>
    <s v="Surco"/>
    <s v="Lavandería Comercial"/>
    <m/>
    <x v="1"/>
    <x v="45"/>
    <x v="0"/>
    <m/>
    <s v="0013-25"/>
    <n v="4340"/>
    <m/>
    <n v="43"/>
    <m/>
  </r>
  <r>
    <n v="51"/>
    <x v="5"/>
    <s v="Liliana Aldana"/>
    <m/>
    <m/>
    <n v="960191115"/>
    <m/>
    <x v="1"/>
    <m/>
    <m/>
    <m/>
    <m/>
    <m/>
    <m/>
    <x v="1"/>
    <x v="46"/>
    <x v="1"/>
    <m/>
    <m/>
    <m/>
    <m/>
    <n v="43"/>
    <m/>
  </r>
  <r>
    <n v="52"/>
    <x v="5"/>
    <s v="Liliana Aldana"/>
    <s v="Carrasco Luis Miguel"/>
    <m/>
    <n v="931775092"/>
    <s v="sengu4lch@gmail.com"/>
    <x v="26"/>
    <s v="No tiene"/>
    <m/>
    <s v="Arequipa"/>
    <m/>
    <s v="Lavandería Comercial"/>
    <m/>
    <x v="1"/>
    <x v="47"/>
    <x v="0"/>
    <m/>
    <s v="0014-25"/>
    <n v="6949"/>
    <m/>
    <n v="43"/>
    <m/>
  </r>
  <r>
    <n v="53"/>
    <x v="5"/>
    <s v="Liliana Aldana"/>
    <m/>
    <m/>
    <n v="966488772"/>
    <m/>
    <x v="1"/>
    <m/>
    <m/>
    <m/>
    <m/>
    <m/>
    <m/>
    <x v="1"/>
    <x v="48"/>
    <x v="1"/>
    <m/>
    <m/>
    <m/>
    <m/>
    <n v="43"/>
    <m/>
  </r>
  <r>
    <n v="54"/>
    <x v="5"/>
    <s v="Liliana Aldana"/>
    <m/>
    <m/>
    <n v="932400450"/>
    <m/>
    <x v="1"/>
    <m/>
    <m/>
    <m/>
    <m/>
    <m/>
    <m/>
    <x v="1"/>
    <x v="49"/>
    <x v="1"/>
    <m/>
    <m/>
    <m/>
    <m/>
    <n v="43"/>
    <m/>
  </r>
  <r>
    <n v="55"/>
    <x v="5"/>
    <s v="Liliana Aldana"/>
    <s v="Navarro Patricia"/>
    <s v="Dueña"/>
    <s v="926588480/926588580"/>
    <m/>
    <x v="0"/>
    <s v="10214783385/104822824612"/>
    <m/>
    <s v="Ica"/>
    <s v="Chincha"/>
    <s v="Lavandería Comercial"/>
    <s v="Equipo"/>
    <x v="0"/>
    <x v="50"/>
    <x v="0"/>
    <m/>
    <m/>
    <m/>
    <m/>
    <n v="43"/>
    <n v="2"/>
  </r>
  <r>
    <n v="56"/>
    <x v="5"/>
    <s v="Liliana Aldana"/>
    <s v="Barzola Arthur Jhonatan"/>
    <m/>
    <n v="977508409"/>
    <m/>
    <x v="1"/>
    <m/>
    <m/>
    <m/>
    <m/>
    <m/>
    <s v="Equipo"/>
    <x v="1"/>
    <x v="50"/>
    <x v="1"/>
    <m/>
    <m/>
    <m/>
    <m/>
    <n v="43"/>
    <m/>
  </r>
  <r>
    <n v="57"/>
    <x v="5"/>
    <s v="Liliana Aldana"/>
    <m/>
    <m/>
    <n v="3328310"/>
    <s v="reservas@hotelanthonys.com"/>
    <x v="12"/>
    <m/>
    <m/>
    <s v="Lima"/>
    <s v="Lima"/>
    <s v="Hotelería"/>
    <m/>
    <x v="2"/>
    <x v="51"/>
    <x v="2"/>
    <m/>
    <m/>
    <m/>
    <m/>
    <n v="43"/>
    <m/>
  </r>
  <r>
    <n v="58"/>
    <x v="5"/>
    <s v="Liliana Aldana"/>
    <m/>
    <m/>
    <n v="5307801"/>
    <s v="pllerena@aquavithotel.com"/>
    <x v="3"/>
    <m/>
    <m/>
    <s v="Cañete"/>
    <s v="Asia"/>
    <s v="Hotelería"/>
    <m/>
    <x v="2"/>
    <x v="50"/>
    <x v="2"/>
    <m/>
    <m/>
    <m/>
    <m/>
    <n v="43"/>
    <m/>
  </r>
  <r>
    <n v="59"/>
    <x v="5"/>
    <s v="Liiliana Aldana"/>
    <m/>
    <s v="Recepcionista"/>
    <n v="7005100"/>
    <s v="concierge@andean.travel"/>
    <x v="4"/>
    <m/>
    <m/>
    <s v="Lima"/>
    <s v="Barranco"/>
    <s v="Hotelería"/>
    <m/>
    <x v="2"/>
    <x v="52"/>
    <x v="2"/>
    <m/>
    <m/>
    <m/>
    <m/>
    <n v="43"/>
    <m/>
  </r>
  <r>
    <n v="60"/>
    <x v="5"/>
    <s v="Liiliana Aldana"/>
    <m/>
    <s v="Recepcionista"/>
    <n v="2476430"/>
    <m/>
    <x v="5"/>
    <m/>
    <m/>
    <s v="Lima"/>
    <s v="Barranco"/>
    <s v="Hotelería"/>
    <m/>
    <x v="2"/>
    <x v="50"/>
    <x v="1"/>
    <m/>
    <m/>
    <m/>
    <m/>
    <n v="43"/>
    <m/>
  </r>
  <r>
    <n v="61"/>
    <x v="5"/>
    <s v="Liiliana Aldana"/>
    <s v="Jack Lozano"/>
    <s v="Almacen/Compras"/>
    <s v="7112000/994632938"/>
    <m/>
    <x v="6"/>
    <m/>
    <m/>
    <s v="Lima"/>
    <s v="Callao"/>
    <s v="Hotelería"/>
    <m/>
    <x v="2"/>
    <x v="50"/>
    <x v="2"/>
    <m/>
    <m/>
    <m/>
    <m/>
    <n v="43"/>
    <m/>
  </r>
  <r>
    <n v="62"/>
    <x v="5"/>
    <s v="Liliana Aldana"/>
    <s v="Marlene Galicia"/>
    <s v="Compras"/>
    <n v="3155000"/>
    <s v="marlene.galicia@sheraton.com"/>
    <x v="7"/>
    <m/>
    <m/>
    <s v="Lima"/>
    <s v="Lima"/>
    <s v="Hotelería"/>
    <m/>
    <x v="2"/>
    <x v="50"/>
    <x v="4"/>
    <m/>
    <m/>
    <m/>
    <m/>
    <n v="43"/>
    <m/>
  </r>
  <r>
    <n v="63"/>
    <x v="5"/>
    <s v="Liiliana Aldana"/>
    <m/>
    <m/>
    <n v="2056200"/>
    <s v="hotelcontinentalperu@gmail.com"/>
    <x v="8"/>
    <m/>
    <m/>
    <s v="Lima"/>
    <s v="Lima"/>
    <s v="Hotelería"/>
    <m/>
    <x v="2"/>
    <x v="50"/>
    <x v="2"/>
    <m/>
    <m/>
    <m/>
    <m/>
    <n v="43"/>
    <m/>
  </r>
  <r>
    <n v="64"/>
    <x v="5"/>
    <s v="Liliana Aldana"/>
    <m/>
    <m/>
    <n v="4265147"/>
    <s v="hotel-palacio@hotmail.com"/>
    <x v="9"/>
    <m/>
    <m/>
    <s v="Lima"/>
    <s v="Lima"/>
    <s v="Hotelería"/>
    <m/>
    <x v="2"/>
    <x v="50"/>
    <x v="2"/>
    <m/>
    <m/>
    <m/>
    <m/>
    <n v="43"/>
    <m/>
  </r>
  <r>
    <n v="65"/>
    <x v="5"/>
    <s v="Liliana Aldana"/>
    <m/>
    <m/>
    <n v="4335517"/>
    <s v="hotelinternacional763@hotmail.com"/>
    <x v="10"/>
    <m/>
    <m/>
    <s v="Lima"/>
    <s v="Lima"/>
    <s v="Hotelería"/>
    <m/>
    <x v="2"/>
    <x v="50"/>
    <x v="2"/>
    <m/>
    <m/>
    <m/>
    <m/>
    <n v="43"/>
    <m/>
  </r>
  <r>
    <n v="66"/>
    <x v="5"/>
    <s v="Liliana Aldana"/>
    <m/>
    <m/>
    <n v="4261919"/>
    <s v="gerencia@inkapath.com"/>
    <x v="11"/>
    <m/>
    <m/>
    <s v="Lima"/>
    <s v="Lima"/>
    <s v="Hotelería"/>
    <m/>
    <x v="2"/>
    <x v="50"/>
    <x v="2"/>
    <m/>
    <m/>
    <m/>
    <m/>
    <n v="43"/>
    <m/>
  </r>
  <r>
    <n v="68"/>
    <x v="5"/>
    <s v="Liliana Aldana"/>
    <m/>
    <m/>
    <n v="4673047"/>
    <s v="administración@hotelolaya.com.pe/gerencia@hotelolaya.com.pe"/>
    <x v="13"/>
    <m/>
    <m/>
    <s v="Lima"/>
    <s v="Lima"/>
    <s v="Hotelería"/>
    <m/>
    <x v="2"/>
    <x v="53"/>
    <x v="2"/>
    <m/>
    <m/>
    <m/>
    <m/>
    <n v="43"/>
    <m/>
  </r>
  <r>
    <n v="69"/>
    <x v="5"/>
    <s v="Liliana Aldana"/>
    <m/>
    <m/>
    <n v="994894905"/>
    <s v="info@aroromero.com"/>
    <x v="14"/>
    <m/>
    <m/>
    <s v="Lima"/>
    <s v="Chosica"/>
    <s v="Hotelería"/>
    <m/>
    <x v="2"/>
    <x v="54"/>
    <x v="2"/>
    <m/>
    <m/>
    <m/>
    <m/>
    <n v="43"/>
    <m/>
  </r>
  <r>
    <n v="70"/>
    <x v="5"/>
    <s v="Liliana Aldana"/>
    <s v="Jorge Ramirez"/>
    <m/>
    <n v="987934854"/>
    <s v="informes@elangolochosica.com"/>
    <x v="15"/>
    <m/>
    <m/>
    <s v="Lima"/>
    <s v="Chosica"/>
    <s v="Hotelería"/>
    <m/>
    <x v="2"/>
    <x v="55"/>
    <x v="2"/>
    <m/>
    <m/>
    <m/>
    <d v="2025-10-30T00:00:00"/>
    <n v="43"/>
    <m/>
  </r>
  <r>
    <n v="71"/>
    <x v="5"/>
    <s v="Liliana Aldana"/>
    <s v="Peña Tasayco Fiorella"/>
    <s v="Dueña"/>
    <n v="988923787"/>
    <s v="fiorella22303@gmail.com"/>
    <x v="16"/>
    <n v="10429272721"/>
    <m/>
    <s v="Lima"/>
    <s v="San Juan de Lurigancho"/>
    <s v="Lavandería Comercial"/>
    <s v="Equipo"/>
    <x v="1"/>
    <x v="50"/>
    <x v="0"/>
    <m/>
    <m/>
    <m/>
    <m/>
    <n v="43"/>
    <m/>
  </r>
  <r>
    <n v="72"/>
    <x v="5"/>
    <s v="Liliana Aldana"/>
    <s v="Herrera Carlos"/>
    <s v="Dueño"/>
    <n v="984755140"/>
    <s v="carlos.herrera.gonzaga@gmail.com"/>
    <x v="17"/>
    <n v="10720799494"/>
    <m/>
    <s v="Cerro de Pasco"/>
    <m/>
    <s v="Hotelería"/>
    <s v="Equipo"/>
    <x v="1"/>
    <x v="56"/>
    <x v="0"/>
    <m/>
    <m/>
    <m/>
    <m/>
    <n v="43"/>
    <m/>
  </r>
  <r>
    <n v="73"/>
    <x v="5"/>
    <s v="Liliana Aldana"/>
    <s v="Ramos Campo Marleny"/>
    <s v="Dueña"/>
    <n v="907616141"/>
    <m/>
    <x v="18"/>
    <s v="Lo va a sacar en esta semana"/>
    <m/>
    <s v="Lima"/>
    <s v="Pucusana"/>
    <s v="Lavandería Comercial"/>
    <s v="Equipo"/>
    <x v="1"/>
    <x v="57"/>
    <x v="0"/>
    <m/>
    <m/>
    <m/>
    <m/>
    <n v="43"/>
    <m/>
  </r>
  <r>
    <n v="74"/>
    <x v="5"/>
    <s v="Liliana Aldana"/>
    <s v="Joseph Anco"/>
    <s v="Dueño"/>
    <n v="927100074"/>
    <s v="angeles.comerciales.ventas@gmail.com"/>
    <x v="19"/>
    <n v="20609379821"/>
    <m/>
    <s v="Arequipa"/>
    <m/>
    <s v="Varios"/>
    <s v="Equipo"/>
    <x v="1"/>
    <x v="58"/>
    <x v="0"/>
    <m/>
    <s v="0005-25"/>
    <n v="4340"/>
    <m/>
    <n v="43"/>
    <m/>
  </r>
  <r>
    <n v="75"/>
    <x v="5"/>
    <s v="Liliana Aldana"/>
    <s v="Andia Zeballos Manuel Renatto"/>
    <s v="Dueño"/>
    <n v="950308250"/>
    <s v="valgutsac@gmail.com"/>
    <x v="20"/>
    <n v="20614800659"/>
    <m/>
    <s v="Arequipa"/>
    <m/>
    <s v="Lavandería Comercial"/>
    <s v="Equipo"/>
    <x v="1"/>
    <x v="59"/>
    <x v="0"/>
    <m/>
    <m/>
    <m/>
    <m/>
    <n v="43"/>
    <m/>
  </r>
  <r>
    <n v="76"/>
    <x v="5"/>
    <s v="Liliana Aldana"/>
    <s v="Condori Ramos Marco Raul"/>
    <s v="Dueño"/>
    <n v="905824331"/>
    <s v="marco.condoriramos420@gmail.com"/>
    <x v="21"/>
    <s v="Lo va a sacar"/>
    <m/>
    <s v="Arequipa"/>
    <m/>
    <s v="Lavandería Comercial"/>
    <s v="Equipo"/>
    <x v="1"/>
    <x v="60"/>
    <x v="0"/>
    <m/>
    <s v="0009-25"/>
    <n v="4340"/>
    <m/>
    <n v="43"/>
    <m/>
  </r>
  <r>
    <n v="77"/>
    <x v="5"/>
    <s v="Jenny Valdiviezo"/>
    <s v="Victor  Ureta"/>
    <s v="Dueño"/>
    <n v="949719738"/>
    <s v="lichiufb@gmail.com"/>
    <x v="22"/>
    <n v="20601646367"/>
    <m/>
    <s v="Cusco"/>
    <m/>
    <s v="Hotelería"/>
    <s v="Equipo"/>
    <x v="1"/>
    <x v="61"/>
    <x v="3"/>
    <m/>
    <s v="00012-25 "/>
    <n v="7999"/>
    <m/>
    <n v="43"/>
    <m/>
  </r>
  <r>
    <n v="78"/>
    <x v="5"/>
    <s v="Jenny Valdiviezo"/>
    <s v="Victor  Ureta"/>
    <s v="Dueño"/>
    <n v="949719738"/>
    <s v="lichiufb@gmail.com"/>
    <x v="22"/>
    <n v="20601646367"/>
    <m/>
    <s v="Cusco"/>
    <m/>
    <s v="Hotelería"/>
    <s v="Equipo"/>
    <x v="1"/>
    <x v="61"/>
    <x v="3"/>
    <m/>
    <s v="00015-25 "/>
    <n v="6500"/>
    <m/>
    <m/>
    <m/>
  </r>
  <r>
    <n v="79"/>
    <x v="6"/>
    <s v="Liliana Aldana"/>
    <s v="Quiñones Angelo"/>
    <m/>
    <n v="915244218"/>
    <s v="angeloqa12@gmail.com"/>
    <x v="27"/>
    <s v="Todavía no tiene"/>
    <m/>
    <s v="Lima"/>
    <s v="Surco"/>
    <s v="Lavandería Comercial"/>
    <m/>
    <x v="1"/>
    <x v="62"/>
    <x v="0"/>
    <m/>
    <s v="0013-25"/>
    <n v="4340"/>
    <m/>
    <n v="44"/>
    <m/>
  </r>
  <r>
    <n v="80"/>
    <x v="6"/>
    <s v="Liliana Aldana"/>
    <s v="No tenemos información"/>
    <m/>
    <n v="960191115"/>
    <s v="No tenemos información"/>
    <x v="28"/>
    <s v="No tenemos información"/>
    <m/>
    <s v="No tenemos información"/>
    <s v="No tenemos información"/>
    <s v="Lavandería Comercial"/>
    <m/>
    <x v="1"/>
    <x v="63"/>
    <x v="1"/>
    <m/>
    <m/>
    <m/>
    <m/>
    <n v="44"/>
    <m/>
  </r>
  <r>
    <n v="81"/>
    <x v="6"/>
    <s v="Liliana Aldana"/>
    <s v="Carrasco Luis Miguel"/>
    <m/>
    <n v="931775092"/>
    <s v="sengu4lch@gmail.com"/>
    <x v="26"/>
    <s v="No tiene"/>
    <m/>
    <s v="Arequipa"/>
    <m/>
    <s v="Lavandería Comercial"/>
    <m/>
    <x v="1"/>
    <x v="47"/>
    <x v="0"/>
    <m/>
    <s v="0014-25"/>
    <n v="6949"/>
    <m/>
    <n v="44"/>
    <m/>
  </r>
  <r>
    <n v="82"/>
    <x v="6"/>
    <s v="Liliana Aldana"/>
    <s v="No tenemos información"/>
    <m/>
    <n v="966488772"/>
    <s v="No tenemos información"/>
    <x v="28"/>
    <s v="No tenemos información"/>
    <m/>
    <s v="No tenemos información"/>
    <s v="No tenemos información"/>
    <m/>
    <m/>
    <x v="1"/>
    <x v="64"/>
    <x v="1"/>
    <m/>
    <m/>
    <m/>
    <m/>
    <n v="44"/>
    <m/>
  </r>
  <r>
    <n v="83"/>
    <x v="6"/>
    <s v="Liliana Aldana"/>
    <s v="No tenemos información"/>
    <m/>
    <n v="932400450"/>
    <s v="No tenemos información"/>
    <x v="28"/>
    <s v="No tenemos información"/>
    <m/>
    <s v="No tenemos información"/>
    <s v="No tenemos información"/>
    <m/>
    <m/>
    <x v="1"/>
    <x v="65"/>
    <x v="1"/>
    <m/>
    <m/>
    <m/>
    <m/>
    <n v="44"/>
    <m/>
  </r>
  <r>
    <n v="84"/>
    <x v="6"/>
    <s v="Liiliana Aldana"/>
    <m/>
    <s v="Recepcionista"/>
    <n v="7005100"/>
    <s v="concierge@andean.travel"/>
    <x v="4"/>
    <m/>
    <m/>
    <s v="Lima"/>
    <s v="Barranco"/>
    <s v="Hotelería"/>
    <m/>
    <x v="2"/>
    <x v="66"/>
    <x v="2"/>
    <m/>
    <m/>
    <m/>
    <m/>
    <n v="44"/>
    <m/>
  </r>
  <r>
    <n v="85"/>
    <x v="6"/>
    <s v="Liliana Aldana"/>
    <m/>
    <m/>
    <n v="4673047"/>
    <s v="administración@hotelolaya.com.pe/gerencia@hotelolaya.com.pe"/>
    <x v="13"/>
    <m/>
    <m/>
    <s v="Lima"/>
    <s v="Lima"/>
    <s v="Hotelería"/>
    <m/>
    <x v="2"/>
    <x v="53"/>
    <x v="2"/>
    <m/>
    <m/>
    <m/>
    <m/>
    <n v="44"/>
    <m/>
  </r>
  <r>
    <n v="86"/>
    <x v="6"/>
    <s v="Liliana Aldana"/>
    <m/>
    <m/>
    <n v="994894905"/>
    <s v="info@aroromero.com"/>
    <x v="14"/>
    <m/>
    <m/>
    <s v="Lima"/>
    <s v="Chosica"/>
    <s v="Hotelería"/>
    <m/>
    <x v="2"/>
    <x v="54"/>
    <x v="2"/>
    <m/>
    <m/>
    <m/>
    <m/>
    <n v="44"/>
    <m/>
  </r>
  <r>
    <n v="87"/>
    <x v="6"/>
    <s v="Liliana Aldana"/>
    <s v="Jorge Ramirez"/>
    <m/>
    <n v="987934854"/>
    <s v="informes@elangolochosica.com"/>
    <x v="15"/>
    <m/>
    <m/>
    <s v="Lima"/>
    <s v="Chosica"/>
    <s v="Hotelería"/>
    <m/>
    <x v="2"/>
    <x v="55"/>
    <x v="2"/>
    <m/>
    <m/>
    <m/>
    <n v="45960"/>
    <n v="44"/>
    <m/>
  </r>
  <r>
    <n v="88"/>
    <x v="6"/>
    <s v="Liliana Aldana"/>
    <s v="Herrera Carlos"/>
    <s v="Dueño"/>
    <n v="984755140"/>
    <s v="carlos.herrera.gonzaga@gmail.com"/>
    <x v="17"/>
    <n v="10720799494"/>
    <m/>
    <s v="Cerro de Pasco"/>
    <m/>
    <s v="Hotelería"/>
    <s v="Equipo"/>
    <x v="1"/>
    <x v="67"/>
    <x v="0"/>
    <m/>
    <m/>
    <m/>
    <m/>
    <n v="44"/>
    <m/>
  </r>
  <r>
    <n v="89"/>
    <x v="6"/>
    <s v="Liliana Aldana"/>
    <s v="Condori Ramos Marco Raul"/>
    <s v="Dueño"/>
    <n v="905824331"/>
    <s v="marco.condoriramos420@gmail.com"/>
    <x v="18"/>
    <s v="Lo va a sacar en esta semana"/>
    <m/>
    <s v="Lima"/>
    <s v="Pucusana"/>
    <s v="Lavandería Comercial"/>
    <s v="Equipo"/>
    <x v="1"/>
    <x v="68"/>
    <x v="0"/>
    <m/>
    <s v="0009-25"/>
    <n v="4340"/>
    <m/>
    <n v="44"/>
    <m/>
  </r>
  <r>
    <n v="90"/>
    <x v="6"/>
    <s v="Liliana Aldana"/>
    <s v="Joseph Anco"/>
    <s v="Dueño"/>
    <n v="927100074"/>
    <s v="angeles.comerciales.ventas@gmail.com"/>
    <x v="19"/>
    <n v="20609379821"/>
    <m/>
    <s v="Arequipa"/>
    <m/>
    <s v="Varios"/>
    <s v="Equipo"/>
    <x v="1"/>
    <x v="69"/>
    <x v="0"/>
    <m/>
    <s v="0005-25"/>
    <n v="4340"/>
    <m/>
    <n v="44"/>
    <m/>
  </r>
  <r>
    <n v="91"/>
    <x v="6"/>
    <s v="Liliana Aldana"/>
    <s v="Andia Zeballos Manuel Renatto"/>
    <s v="Dueño"/>
    <n v="950308250"/>
    <s v="valgutsac@gmail.com"/>
    <x v="20"/>
    <n v="20614800659"/>
    <m/>
    <s v="Arequipa"/>
    <m/>
    <s v="Lavandería Comercial"/>
    <s v="Equipo"/>
    <x v="1"/>
    <x v="69"/>
    <x v="0"/>
    <m/>
    <m/>
    <m/>
    <m/>
    <n v="44"/>
    <m/>
  </r>
  <r>
    <n v="92"/>
    <x v="6"/>
    <s v="Jenny Valdiviezo"/>
    <s v="Victor  Ureta"/>
    <s v="Dueño"/>
    <n v="949719738"/>
    <s v="lichiufb@gmail.com"/>
    <x v="22"/>
    <n v="20601646367"/>
    <m/>
    <s v="Cusco"/>
    <m/>
    <s v="Hotelería"/>
    <s v="Equipo"/>
    <x v="1"/>
    <x v="70"/>
    <x v="3"/>
    <m/>
    <s v="00012-25 "/>
    <n v="7999"/>
    <m/>
    <n v="44"/>
    <m/>
  </r>
  <r>
    <n v="93"/>
    <x v="6"/>
    <s v="Jenny Valdiviezo"/>
    <s v="Victor  Ureta"/>
    <s v="Dueño"/>
    <n v="949719738"/>
    <s v="lichiufb@gmail.com"/>
    <x v="22"/>
    <n v="20601646367"/>
    <m/>
    <s v="Cusco"/>
    <m/>
    <s v="Hotelería"/>
    <s v="Equipo"/>
    <x v="1"/>
    <x v="70"/>
    <x v="3"/>
    <m/>
    <s v="00015-25 "/>
    <n v="6500"/>
    <m/>
    <n v="44"/>
    <m/>
  </r>
  <r>
    <n v="94"/>
    <x v="6"/>
    <s v="Liliana Aldana"/>
    <s v="Jorge Alvarado"/>
    <s v="Dueño"/>
    <n v="961785460"/>
    <s v="jalvarado@barymas.com"/>
    <x v="23"/>
    <n v="20537054728"/>
    <m/>
    <s v="Lima"/>
    <s v="Chaclacayo"/>
    <s v="Otros: Marina/Ejército/Bomberos"/>
    <s v="Equipo"/>
    <x v="1"/>
    <x v="71"/>
    <x v="0"/>
    <m/>
    <s v="0010-25"/>
    <n v="4340"/>
    <m/>
    <n v="44"/>
    <m/>
  </r>
  <r>
    <n v="95"/>
    <x v="6"/>
    <s v="Liliana Aldana"/>
    <s v="Huamani Annie Lisbeth"/>
    <s v="Dueño"/>
    <n v="971763270"/>
    <s v="annie-lu-se@outlook.com"/>
    <x v="24"/>
    <s v="Es el Ruc de su mamá"/>
    <m/>
    <s v="Arequipa"/>
    <m/>
    <s v="Lavandería Comercial"/>
    <s v="Equipo"/>
    <x v="1"/>
    <x v="72"/>
    <x v="0"/>
    <m/>
    <s v="0011-25"/>
    <n v="6949"/>
    <m/>
    <n v="44"/>
    <m/>
  </r>
  <r>
    <n v="96"/>
    <x v="6"/>
    <s v="Liliana Aldana"/>
    <s v="Ortiz Luis Alberto"/>
    <m/>
    <n v="990216016"/>
    <s v="luis.alberto.ortiz.43@gmail.com"/>
    <x v="28"/>
    <m/>
    <m/>
    <m/>
    <m/>
    <s v="Lavandería Comercial"/>
    <s v="Equipo"/>
    <x v="1"/>
    <x v="73"/>
    <x v="1"/>
    <m/>
    <m/>
    <m/>
    <m/>
    <n v="44"/>
    <m/>
  </r>
  <r>
    <n v="97"/>
    <x v="6"/>
    <s v="Liliana Aldana"/>
    <s v="Mogollón Mauro"/>
    <m/>
    <n v="931055469"/>
    <s v="mauro0905m@gmail.com"/>
    <x v="1"/>
    <m/>
    <m/>
    <m/>
    <m/>
    <m/>
    <s v="Equipo"/>
    <x v="1"/>
    <x v="74"/>
    <x v="1"/>
    <m/>
    <m/>
    <m/>
    <m/>
    <n v="44"/>
    <m/>
  </r>
  <r>
    <n v="98"/>
    <x v="6"/>
    <s v="Liliana Aldana"/>
    <s v="Rodriguez Jenny"/>
    <m/>
    <n v="959916260"/>
    <s v="jenny13roes@gmail.com"/>
    <x v="1"/>
    <m/>
    <m/>
    <m/>
    <m/>
    <s v="Lavandería Comercial"/>
    <s v="Equipo"/>
    <x v="1"/>
    <x v="75"/>
    <x v="5"/>
    <m/>
    <m/>
    <m/>
    <m/>
    <n v="44"/>
    <m/>
  </r>
  <r>
    <n v="99"/>
    <x v="6"/>
    <s v="Liliana Aldana"/>
    <m/>
    <m/>
    <n v="4332579"/>
    <m/>
    <x v="29"/>
    <m/>
    <m/>
    <s v="Lima"/>
    <s v="Lince"/>
    <s v="Hotelería"/>
    <s v="Equipo"/>
    <x v="1"/>
    <x v="76"/>
    <x v="2"/>
    <m/>
    <m/>
    <m/>
    <m/>
    <n v="44"/>
    <m/>
  </r>
  <r>
    <n v="100"/>
    <x v="6"/>
    <s v="Liliana Aldana"/>
    <m/>
    <m/>
    <n v="2651754"/>
    <m/>
    <x v="30"/>
    <m/>
    <m/>
    <s v="Lima"/>
    <s v="Lince"/>
    <s v="Hotelería"/>
    <s v="Equipo"/>
    <x v="1"/>
    <x v="77"/>
    <x v="2"/>
    <m/>
    <m/>
    <m/>
    <m/>
    <n v="44"/>
    <m/>
  </r>
  <r>
    <n v="101"/>
    <x v="6"/>
    <s v="Liliana Aldana"/>
    <s v="Katia Hernández"/>
    <s v="Jefa de Logistica y compras"/>
    <n v="989160343"/>
    <s v="khernandez@elbosque.org.pe"/>
    <x v="31"/>
    <m/>
    <m/>
    <s v="Lima"/>
    <s v="Chosica"/>
    <s v="Hotelería"/>
    <m/>
    <x v="2"/>
    <x v="78"/>
    <x v="2"/>
    <m/>
    <m/>
    <m/>
    <m/>
    <n v="44"/>
    <m/>
  </r>
  <r>
    <n v="102"/>
    <x v="6"/>
    <s v="Liliana Aldana"/>
    <s v="Rosario Carpena"/>
    <s v="Gerente"/>
    <m/>
    <s v="reservas@hotelyeyas.com"/>
    <x v="32"/>
    <m/>
    <m/>
    <m/>
    <m/>
    <s v="Hotelería"/>
    <m/>
    <x v="2"/>
    <x v="79"/>
    <x v="2"/>
    <m/>
    <m/>
    <m/>
    <m/>
    <n v="44"/>
    <m/>
  </r>
  <r>
    <n v="103"/>
    <x v="6"/>
    <s v="Liliana Aldana"/>
    <s v="No quiso dar su nombre"/>
    <s v="Administrador"/>
    <m/>
    <m/>
    <x v="33"/>
    <m/>
    <m/>
    <s v="Lima"/>
    <s v="Lima"/>
    <s v="Hotelería"/>
    <m/>
    <x v="2"/>
    <x v="80"/>
    <x v="2"/>
    <m/>
    <m/>
    <m/>
    <m/>
    <n v="44"/>
    <m/>
  </r>
  <r>
    <n v="104"/>
    <x v="6"/>
    <s v="Liliana Aldana"/>
    <s v="Alexander Golac"/>
    <s v="Gerente de Compras"/>
    <s v="918337428/918337429/977129080"/>
    <s v="servicios@corporacionlavassa.pe"/>
    <x v="34"/>
    <n v="20608752766"/>
    <m/>
    <s v="Lima"/>
    <m/>
    <s v="Lavandería Comercial"/>
    <m/>
    <x v="2"/>
    <x v="81"/>
    <x v="2"/>
    <m/>
    <m/>
    <m/>
    <m/>
    <n v="44"/>
    <m/>
  </r>
  <r>
    <n v="105"/>
    <x v="6"/>
    <s v="Liliana Aldana"/>
    <m/>
    <m/>
    <n v="3483730"/>
    <s v="info@hotellamolina.com.pe"/>
    <x v="35"/>
    <m/>
    <m/>
    <s v="Lima"/>
    <s v="La  Molina"/>
    <s v="Hotelería"/>
    <m/>
    <x v="2"/>
    <x v="82"/>
    <x v="2"/>
    <m/>
    <m/>
    <m/>
    <m/>
    <n v="44"/>
    <m/>
  </r>
  <r>
    <n v="106"/>
    <x v="6"/>
    <s v="Liliana Aldana"/>
    <m/>
    <m/>
    <n v="4722685"/>
    <s v="invotel@gmail.com"/>
    <x v="36"/>
    <m/>
    <m/>
    <s v="Lima"/>
    <s v="La Victoria"/>
    <s v="Hotelería"/>
    <m/>
    <x v="2"/>
    <x v="82"/>
    <x v="2"/>
    <m/>
    <m/>
    <m/>
    <m/>
    <n v="44"/>
    <m/>
  </r>
  <r>
    <n v="107"/>
    <x v="7"/>
    <s v="Liliana Aldana"/>
    <s v="Quiñones Angelo"/>
    <m/>
    <n v="915244218"/>
    <s v="angeloqa12@gmail.com"/>
    <x v="37"/>
    <s v="Todavía no tiene"/>
    <m/>
    <s v="Lima"/>
    <s v="Surco"/>
    <s v="Lavandería Comercial"/>
    <m/>
    <x v="1"/>
    <x v="83"/>
    <x v="4"/>
    <m/>
    <s v="0013-25"/>
    <n v="4340"/>
    <m/>
    <n v="44"/>
    <m/>
  </r>
  <r>
    <n v="108"/>
    <x v="7"/>
    <s v="Liliana Aldana"/>
    <s v="No tenemos información"/>
    <m/>
    <n v="960191115"/>
    <s v="No tenemos información"/>
    <x v="38"/>
    <s v="No tenemos información"/>
    <m/>
    <s v="No tenemos información"/>
    <s v="No tenemos información"/>
    <s v="Lavandería Comercial"/>
    <m/>
    <x v="1"/>
    <x v="64"/>
    <x v="1"/>
    <m/>
    <m/>
    <m/>
    <m/>
    <n v="44"/>
    <m/>
  </r>
  <r>
    <n v="109"/>
    <x v="7"/>
    <s v="Liliana Aldana"/>
    <s v="Carrasco Luis Miguel"/>
    <m/>
    <n v="931775092"/>
    <s v="sengu4lch@gmail.com"/>
    <x v="39"/>
    <s v="No tiene"/>
    <m/>
    <s v="Arequipa"/>
    <m/>
    <s v="Lavandería Comercial"/>
    <m/>
    <x v="1"/>
    <x v="84"/>
    <x v="0"/>
    <m/>
    <s v="0014-25"/>
    <n v="6949"/>
    <m/>
    <n v="44"/>
    <m/>
  </r>
  <r>
    <n v="110"/>
    <x v="7"/>
    <s v="Liliana Aldana"/>
    <s v="No tenemos información"/>
    <m/>
    <n v="966488772"/>
    <s v="No tenemos información"/>
    <x v="28"/>
    <s v="No tenemos información"/>
    <m/>
    <s v="No tenemos información"/>
    <s v="No tenemos información"/>
    <m/>
    <m/>
    <x v="1"/>
    <x v="64"/>
    <x v="1"/>
    <m/>
    <m/>
    <m/>
    <m/>
    <n v="44"/>
    <m/>
  </r>
  <r>
    <n v="111"/>
    <x v="7"/>
    <s v="Liliana Aldana"/>
    <s v="No tenemos información"/>
    <m/>
    <n v="932400450"/>
    <s v="No tenemos información"/>
    <x v="28"/>
    <s v="No tenemos información"/>
    <m/>
    <s v="No tenemos información"/>
    <s v="No tenemos información"/>
    <m/>
    <m/>
    <x v="1"/>
    <x v="85"/>
    <x v="1"/>
    <m/>
    <m/>
    <m/>
    <m/>
    <n v="44"/>
    <m/>
  </r>
  <r>
    <n v="112"/>
    <x v="7"/>
    <s v="Liliana Aldana"/>
    <m/>
    <m/>
    <n v="994894905"/>
    <s v="info@aroromero.com"/>
    <x v="14"/>
    <m/>
    <m/>
    <s v="Lima"/>
    <s v="Chosica"/>
    <s v="Hotelería"/>
    <m/>
    <x v="2"/>
    <x v="54"/>
    <x v="2"/>
    <m/>
    <m/>
    <m/>
    <m/>
    <n v="44"/>
    <m/>
  </r>
  <r>
    <n v="113"/>
    <x v="7"/>
    <s v="Liliana Aldana"/>
    <s v="Jorge Ramirez"/>
    <m/>
    <n v="987934854"/>
    <s v="informes@elangolochosica.com"/>
    <x v="15"/>
    <m/>
    <m/>
    <s v="Lima"/>
    <s v="Chosica"/>
    <s v="Hotelería"/>
    <m/>
    <x v="2"/>
    <x v="55"/>
    <x v="2"/>
    <m/>
    <m/>
    <m/>
    <n v="45960"/>
    <n v="44"/>
    <m/>
  </r>
  <r>
    <n v="114"/>
    <x v="7"/>
    <s v="Liliana Aldana"/>
    <s v="Herrera Carlos"/>
    <s v="Dueño"/>
    <n v="984755140"/>
    <s v="carlos.herrera.gonzaga@gmail.com"/>
    <x v="17"/>
    <n v="10720799494"/>
    <m/>
    <s v="Cerro de Pasco"/>
    <m/>
    <s v="Hotelería"/>
    <s v="Equipo"/>
    <x v="1"/>
    <x v="67"/>
    <x v="0"/>
    <m/>
    <m/>
    <m/>
    <m/>
    <n v="44"/>
    <m/>
  </r>
  <r>
    <n v="115"/>
    <x v="7"/>
    <s v="Liliana Aldana"/>
    <s v="Condori Ramos Marco Raul"/>
    <s v="Dueño"/>
    <n v="905824331"/>
    <s v="marco.condoriramos420@gmail.com"/>
    <x v="18"/>
    <s v="Lo va a sacar en esta semana"/>
    <m/>
    <s v="Arequipa"/>
    <m/>
    <s v="Lavandería Comercial"/>
    <s v="Equipo"/>
    <x v="1"/>
    <x v="86"/>
    <x v="4"/>
    <m/>
    <s v="0009-25"/>
    <n v="4340"/>
    <m/>
    <n v="44"/>
    <m/>
  </r>
  <r>
    <n v="116"/>
    <x v="7"/>
    <s v="Liliana Aldana"/>
    <s v="Joseph Anco"/>
    <s v="Dueño"/>
    <n v="927100074"/>
    <s v="angeles.comerciales.ventas@gmail.com"/>
    <x v="19"/>
    <n v="20609379821"/>
    <m/>
    <s v="Arequipa"/>
    <m/>
    <s v="Varios"/>
    <s v="Equipo"/>
    <x v="1"/>
    <x v="69"/>
    <x v="0"/>
    <m/>
    <s v="0005-25"/>
    <n v="4340"/>
    <m/>
    <n v="44"/>
    <m/>
  </r>
  <r>
    <n v="117"/>
    <x v="7"/>
    <s v="Liliana Aldana"/>
    <s v="Andia Zeballos Manuel Renatto"/>
    <s v="Dueño"/>
    <n v="950308250"/>
    <s v="valgutsac@gmail.com"/>
    <x v="20"/>
    <n v="20614800659"/>
    <m/>
    <s v="Arequipa"/>
    <m/>
    <s v="Lavandería Comercial"/>
    <s v="Equipo"/>
    <x v="1"/>
    <x v="69"/>
    <x v="0"/>
    <m/>
    <s v="0006-25"/>
    <n v="4340"/>
    <m/>
    <n v="44"/>
    <m/>
  </r>
  <r>
    <n v="118"/>
    <x v="7"/>
    <s v="Jenny Valdiviezo"/>
    <s v="Victor  Ureta"/>
    <s v="Dueño"/>
    <n v="949719738"/>
    <s v="lichiufb@gmail.com"/>
    <x v="22"/>
    <n v="20601646367"/>
    <m/>
    <s v="Cusco"/>
    <m/>
    <s v="Hotelería"/>
    <s v="Equipo"/>
    <x v="1"/>
    <x v="87"/>
    <x v="0"/>
    <m/>
    <s v="00012-25 "/>
    <n v="7999"/>
    <m/>
    <n v="44"/>
    <m/>
  </r>
  <r>
    <n v="119"/>
    <x v="7"/>
    <s v="Jenny Valdiviezo"/>
    <s v="Victor  Ureta"/>
    <s v="Dueño"/>
    <n v="949719738"/>
    <s v="lichiufb@gmail.com"/>
    <x v="22"/>
    <n v="20601646367"/>
    <m/>
    <s v="Cusco"/>
    <m/>
    <s v="Hotelería"/>
    <s v="Equipo"/>
    <x v="1"/>
    <x v="87"/>
    <x v="0"/>
    <m/>
    <s v="00015-25 "/>
    <n v="6500"/>
    <m/>
    <n v="44"/>
    <m/>
  </r>
  <r>
    <n v="120"/>
    <x v="7"/>
    <s v="Liliana Aldana"/>
    <s v="Jorge Alvarado"/>
    <s v="Dueño"/>
    <n v="961785460"/>
    <s v="jalvarado@barymas.com"/>
    <x v="23"/>
    <n v="20537054728"/>
    <m/>
    <s v="Lima"/>
    <s v="Chaclacayo"/>
    <s v="Otros: Marina/Ejército/Bomberos"/>
    <s v="Equipo"/>
    <x v="1"/>
    <x v="88"/>
    <x v="2"/>
    <m/>
    <s v="00010-25"/>
    <n v="4340"/>
    <m/>
    <n v="44"/>
    <m/>
  </r>
  <r>
    <n v="121"/>
    <x v="7"/>
    <s v="Liliana Aldana"/>
    <s v="Huamani Annie Lisbeth"/>
    <s v="Dueño"/>
    <n v="971763270"/>
    <s v="annie-lu-se@outlook.com"/>
    <x v="24"/>
    <s v="Es el Ruc de su mamá"/>
    <m/>
    <s v="Arequipa"/>
    <m/>
    <s v="Lavandería Comercial"/>
    <s v="Equipo"/>
    <x v="1"/>
    <x v="89"/>
    <x v="0"/>
    <m/>
    <s v="00011-25"/>
    <n v="6949"/>
    <m/>
    <n v="44"/>
    <m/>
  </r>
  <r>
    <n v="122"/>
    <x v="7"/>
    <s v="Liliana Aldana"/>
    <s v="Ortiz Luis Alberto"/>
    <m/>
    <n v="990216016"/>
    <s v="luis.alberto.ortiz.43@gmail.com"/>
    <x v="28"/>
    <m/>
    <m/>
    <m/>
    <m/>
    <s v="Lavandería Comercial"/>
    <s v="Equipo"/>
    <x v="1"/>
    <x v="90"/>
    <x v="1"/>
    <m/>
    <m/>
    <m/>
    <m/>
    <n v="44"/>
    <m/>
  </r>
  <r>
    <n v="123"/>
    <x v="7"/>
    <s v="Liliana Aldana"/>
    <s v="Mogollón Mauro"/>
    <m/>
    <n v="931055469"/>
    <s v="mauro0905m@gmail.com"/>
    <x v="1"/>
    <m/>
    <m/>
    <m/>
    <m/>
    <m/>
    <s v="Equipo"/>
    <x v="1"/>
    <x v="74"/>
    <x v="1"/>
    <m/>
    <m/>
    <m/>
    <m/>
    <n v="44"/>
    <m/>
  </r>
  <r>
    <n v="124"/>
    <x v="7"/>
    <s v="Liliana Aldana"/>
    <s v="Rodriguez Jenny"/>
    <m/>
    <n v="959916260"/>
    <s v="jenny13roes@gmail.com"/>
    <x v="40"/>
    <s v="sociu"/>
    <m/>
    <m/>
    <s v="Lurigancho Chosica"/>
    <s v="Lavandería Comercial"/>
    <s v="Equipo"/>
    <x v="1"/>
    <x v="91"/>
    <x v="0"/>
    <m/>
    <s v="00018-25"/>
    <n v="4340"/>
    <m/>
    <n v="44"/>
    <m/>
  </r>
  <r>
    <n v="125"/>
    <x v="7"/>
    <s v="Liliana Aldana"/>
    <s v="Katia Hernández"/>
    <s v="Jefa de Logistica y compras"/>
    <n v="989160343"/>
    <s v="khernandez@elbosque.org.pe"/>
    <x v="31"/>
    <m/>
    <m/>
    <s v="Lima"/>
    <s v="Chosica"/>
    <s v="Hotelería"/>
    <m/>
    <x v="2"/>
    <x v="92"/>
    <x v="2"/>
    <m/>
    <m/>
    <m/>
    <m/>
    <n v="44"/>
    <m/>
  </r>
  <r>
    <n v="126"/>
    <x v="7"/>
    <s v="Liliana Aldana"/>
    <s v="Rosario Carpena"/>
    <s v="Gerente"/>
    <m/>
    <s v="reservas@hotelyeyas.com"/>
    <x v="32"/>
    <m/>
    <m/>
    <m/>
    <m/>
    <s v="Hotelería"/>
    <m/>
    <x v="2"/>
    <x v="93"/>
    <x v="2"/>
    <m/>
    <m/>
    <m/>
    <m/>
    <n v="44"/>
    <m/>
  </r>
  <r>
    <n v="127"/>
    <x v="7"/>
    <s v="Liliana Aldana"/>
    <s v="Alexander Golac"/>
    <s v="Gerente de Compras"/>
    <s v="918337428/918337429/977129080"/>
    <s v="servicios@corporacionlavassa.pe"/>
    <x v="34"/>
    <n v="20608752766"/>
    <m/>
    <s v="Lima"/>
    <m/>
    <s v="Lavandería Comercial"/>
    <m/>
    <x v="2"/>
    <x v="94"/>
    <x v="2"/>
    <m/>
    <m/>
    <m/>
    <m/>
    <n v="44"/>
    <m/>
  </r>
  <r>
    <n v="128"/>
    <x v="7"/>
    <s v="Liliana Aldana"/>
    <m/>
    <m/>
    <n v="3483730"/>
    <s v="info@hotellamolina.com.pe"/>
    <x v="35"/>
    <m/>
    <m/>
    <s v="Lima"/>
    <s v="La  Molina"/>
    <s v="Hotelería"/>
    <m/>
    <x v="2"/>
    <x v="95"/>
    <x v="2"/>
    <m/>
    <m/>
    <m/>
    <m/>
    <n v="44"/>
    <m/>
  </r>
  <r>
    <n v="129"/>
    <x v="7"/>
    <s v="Liliana Aldana"/>
    <m/>
    <m/>
    <n v="4722685"/>
    <s v="invotel@gmail.com"/>
    <x v="36"/>
    <m/>
    <m/>
    <s v="Lima"/>
    <s v="La Victoria"/>
    <s v="Hotelería"/>
    <m/>
    <x v="2"/>
    <x v="95"/>
    <x v="2"/>
    <m/>
    <m/>
    <m/>
    <m/>
    <n v="44"/>
    <m/>
  </r>
  <r>
    <n v="130"/>
    <x v="7"/>
    <s v="Liliana Aldana"/>
    <s v="Rubenal Guevara/Liz Hurtado (Esposa a cargo del negocio)"/>
    <s v="Dueños"/>
    <s v="995550026/940186694"/>
    <s v="No quiso darlo"/>
    <x v="41"/>
    <s v="No quiso darlo"/>
    <m/>
    <s v="Cusco"/>
    <m/>
    <s v="Lavandería Comercial"/>
    <m/>
    <x v="2"/>
    <x v="96"/>
    <x v="2"/>
    <m/>
    <m/>
    <m/>
    <m/>
    <n v="44"/>
    <m/>
  </r>
  <r>
    <n v="131"/>
    <x v="7"/>
    <s v="Liliana Aldana"/>
    <m/>
    <s v="Recepción"/>
    <n v="2660155"/>
    <m/>
    <x v="42"/>
    <m/>
    <m/>
    <m/>
    <m/>
    <m/>
    <m/>
    <x v="2"/>
    <x v="97"/>
    <x v="2"/>
    <m/>
    <m/>
    <m/>
    <m/>
    <n v="44"/>
    <m/>
  </r>
  <r>
    <n v="132"/>
    <x v="7"/>
    <s v="Liliana Aldana"/>
    <s v="Poblet Hurtado Enrique"/>
    <m/>
    <n v="946686156"/>
    <m/>
    <x v="43"/>
    <m/>
    <m/>
    <s v="Lima"/>
    <m/>
    <s v="Hotelería"/>
    <m/>
    <x v="2"/>
    <x v="98"/>
    <x v="0"/>
    <m/>
    <s v="00017-25"/>
    <n v="6949"/>
    <m/>
    <n v="44"/>
    <m/>
  </r>
  <r>
    <n v="133"/>
    <x v="8"/>
    <s v="Liliana Aldana"/>
    <s v="Quiñones Angelo"/>
    <m/>
    <n v="915244218"/>
    <s v="angeloqa12@gmail.com"/>
    <x v="44"/>
    <s v="Todavía no tiene"/>
    <m/>
    <s v="Lima"/>
    <s v="Surco"/>
    <s v="Lavandería Comercial"/>
    <m/>
    <x v="1"/>
    <x v="99"/>
    <x v="4"/>
    <m/>
    <s v="0013-25"/>
    <n v="4340"/>
    <m/>
    <n v="44"/>
    <m/>
  </r>
  <r>
    <n v="134"/>
    <x v="8"/>
    <s v="Liliana Aldana"/>
    <s v="No tenemos información"/>
    <m/>
    <n v="960191115"/>
    <s v="No tenemos información"/>
    <x v="28"/>
    <s v="No tenemos información"/>
    <m/>
    <s v="No tenemos información"/>
    <s v="No tenemos información"/>
    <s v="Lavandería Comercial"/>
    <m/>
    <x v="1"/>
    <x v="100"/>
    <x v="1"/>
    <m/>
    <m/>
    <m/>
    <m/>
    <n v="44"/>
    <m/>
  </r>
  <r>
    <n v="135"/>
    <x v="8"/>
    <s v="Liliana Aldana"/>
    <s v="Carrasco Luis Miguel"/>
    <m/>
    <n v="931775092"/>
    <s v="sengu4lch@gmail.com"/>
    <x v="39"/>
    <s v="No tiene"/>
    <m/>
    <s v="Arequipa"/>
    <m/>
    <s v="Lavandería Comercial"/>
    <m/>
    <x v="1"/>
    <x v="101"/>
    <x v="0"/>
    <m/>
    <s v="0014-25"/>
    <n v="6949"/>
    <m/>
    <n v="44"/>
    <m/>
  </r>
  <r>
    <n v="136"/>
    <x v="8"/>
    <s v="Liliana Aldana"/>
    <s v="No tenemos información"/>
    <m/>
    <n v="966488772"/>
    <s v="No tenemos información"/>
    <x v="28"/>
    <s v="No tenemos información"/>
    <m/>
    <s v="No tenemos información"/>
    <s v="No tenemos información"/>
    <m/>
    <m/>
    <x v="1"/>
    <x v="102"/>
    <x v="1"/>
    <m/>
    <m/>
    <m/>
    <m/>
    <n v="44"/>
    <m/>
  </r>
  <r>
    <n v="137"/>
    <x v="8"/>
    <s v="Liliana Aldana"/>
    <s v="Sr Campos"/>
    <m/>
    <n v="932400450"/>
    <s v="No tenemos información"/>
    <x v="28"/>
    <s v="No tenemos información"/>
    <m/>
    <s v="No tenemos información"/>
    <s v="No tenemos información"/>
    <m/>
    <m/>
    <x v="1"/>
    <x v="103"/>
    <x v="1"/>
    <m/>
    <m/>
    <m/>
    <m/>
    <n v="44"/>
    <m/>
  </r>
  <r>
    <n v="138"/>
    <x v="8"/>
    <s v="Liliana Aldana"/>
    <m/>
    <m/>
    <n v="994894905"/>
    <s v="info@aroromero.com"/>
    <x v="14"/>
    <m/>
    <m/>
    <s v="Lima"/>
    <s v="Chosica"/>
    <s v="Hotelería"/>
    <m/>
    <x v="2"/>
    <x v="54"/>
    <x v="2"/>
    <m/>
    <m/>
    <m/>
    <m/>
    <n v="44"/>
    <m/>
  </r>
  <r>
    <n v="139"/>
    <x v="8"/>
    <s v="Liliana Aldana"/>
    <s v="Jorge Ramirez"/>
    <m/>
    <n v="987934854"/>
    <s v="informes@elangolochosica.com"/>
    <x v="15"/>
    <m/>
    <m/>
    <s v="Lima"/>
    <s v="Chosica"/>
    <s v="Hotelería"/>
    <m/>
    <x v="2"/>
    <x v="55"/>
    <x v="2"/>
    <m/>
    <m/>
    <m/>
    <n v="45960"/>
    <n v="44"/>
    <m/>
  </r>
  <r>
    <n v="140"/>
    <x v="8"/>
    <s v="Liliana Aldana"/>
    <s v="Herrera Carlos"/>
    <s v="Dueño"/>
    <n v="984755140"/>
    <s v="carlos.herrera.gonzaga@gmail.com"/>
    <x v="17"/>
    <n v="10720799494"/>
    <m/>
    <s v="Cerro de Pasco"/>
    <m/>
    <s v="Hotelería"/>
    <s v="Equipo"/>
    <x v="1"/>
    <x v="67"/>
    <x v="0"/>
    <m/>
    <m/>
    <m/>
    <m/>
    <n v="44"/>
    <m/>
  </r>
  <r>
    <n v="142"/>
    <x v="8"/>
    <s v="Liliana Aldana"/>
    <s v="Condori Ramos Marco Raul"/>
    <s v="Dueño"/>
    <n v="905824331"/>
    <s v="marco.condoriramos420@gmail.com"/>
    <x v="18"/>
    <s v="Lo va a sacar en esta semana"/>
    <m/>
    <s v="Arequipa"/>
    <m/>
    <s v="Lavandería Comercial"/>
    <s v="Equipo"/>
    <x v="1"/>
    <x v="86"/>
    <x v="4"/>
    <m/>
    <s v="0009-25"/>
    <n v="4340"/>
    <m/>
    <n v="44"/>
    <m/>
  </r>
  <r>
    <n v="143"/>
    <x v="8"/>
    <s v="Liliana Aldana"/>
    <s v="Joseph Anco"/>
    <s v="Dueño"/>
    <n v="927100074"/>
    <s v="angeles.comerciales.ventas@gmail.com"/>
    <x v="19"/>
    <n v="20609379821"/>
    <m/>
    <s v="Arequipa"/>
    <m/>
    <s v="Varios"/>
    <s v="Equipo"/>
    <x v="1"/>
    <x v="104"/>
    <x v="0"/>
    <m/>
    <s v="0005-25"/>
    <n v="4340"/>
    <m/>
    <n v="44"/>
    <m/>
  </r>
  <r>
    <n v="144"/>
    <x v="8"/>
    <s v="Liliana Aldana"/>
    <s v="Andia Zeballos Manuel Renatto"/>
    <s v="Dueño"/>
    <n v="950308250"/>
    <s v="valgutsac@gmail.com"/>
    <x v="20"/>
    <n v="20614800659"/>
    <m/>
    <s v="Arequipa"/>
    <m/>
    <s v="Lavandería Comercial"/>
    <s v="Equipo"/>
    <x v="1"/>
    <x v="105"/>
    <x v="0"/>
    <m/>
    <s v="0006-25"/>
    <n v="4340"/>
    <m/>
    <n v="44"/>
    <m/>
  </r>
  <r>
    <n v="145"/>
    <x v="8"/>
    <s v="Jenny Valdiviezo"/>
    <s v="Victor  Ureta"/>
    <s v="Dueño"/>
    <n v="949719738"/>
    <s v="lichiufb@gmail.com"/>
    <x v="22"/>
    <n v="20601646367"/>
    <m/>
    <s v="Cusco"/>
    <m/>
    <s v="Hotelería"/>
    <s v="Equipo"/>
    <x v="1"/>
    <x v="106"/>
    <x v="0"/>
    <m/>
    <s v="00012-25 "/>
    <n v="7999"/>
    <m/>
    <n v="44"/>
    <m/>
  </r>
  <r>
    <n v="146"/>
    <x v="8"/>
    <s v="Jenny Valdiviezo"/>
    <s v="Victor  Ureta"/>
    <s v="Dueño"/>
    <n v="949719738"/>
    <s v="lichiufb@gmail.com"/>
    <x v="22"/>
    <n v="20601646367"/>
    <m/>
    <s v="Cusco"/>
    <m/>
    <s v="Hotelería"/>
    <s v="Equipo"/>
    <x v="1"/>
    <x v="107"/>
    <x v="0"/>
    <m/>
    <s v="00015-25 "/>
    <n v="6500"/>
    <m/>
    <n v="44"/>
    <m/>
  </r>
  <r>
    <n v="147"/>
    <x v="8"/>
    <s v="Liliana Aldana"/>
    <s v="Jorge Alvarado"/>
    <s v="Dueño"/>
    <n v="961785460"/>
    <s v="jalvarado@barymas.com"/>
    <x v="23"/>
    <n v="20537054728"/>
    <m/>
    <s v="Lima"/>
    <s v="Chaclacayo"/>
    <s v="Otros: Marina/Ejército/Bomberos"/>
    <s v="Equipo"/>
    <x v="1"/>
    <x v="108"/>
    <x v="2"/>
    <m/>
    <s v="00010-25"/>
    <n v="4340"/>
    <m/>
    <n v="44"/>
    <m/>
  </r>
  <r>
    <n v="148"/>
    <x v="8"/>
    <s v="Liliana Aldana"/>
    <s v="Huamani Annie Lisbeth"/>
    <s v="Dueño"/>
    <n v="971763270"/>
    <s v="annie-lu-se@outlook.com"/>
    <x v="24"/>
    <s v="Es el Ruc de su mamá"/>
    <m/>
    <s v="Arequipa"/>
    <m/>
    <s v="Lavandería Comercial"/>
    <s v="Equipo"/>
    <x v="1"/>
    <x v="89"/>
    <x v="0"/>
    <m/>
    <s v="00011-25"/>
    <n v="6949"/>
    <m/>
    <n v="44"/>
    <m/>
  </r>
  <r>
    <n v="149"/>
    <x v="8"/>
    <s v="Liliana Aldana"/>
    <s v="Ortiz Luis Alberto"/>
    <m/>
    <n v="990216016"/>
    <s v="luis.alberto.ortiz.43@gmail.com"/>
    <x v="28"/>
    <m/>
    <m/>
    <m/>
    <m/>
    <s v="Lavandería Comercial"/>
    <s v="Equipo"/>
    <x v="1"/>
    <x v="109"/>
    <x v="1"/>
    <m/>
    <m/>
    <m/>
    <m/>
    <n v="44"/>
    <m/>
  </r>
  <r>
    <n v="150"/>
    <x v="8"/>
    <s v="Liliana Aldana"/>
    <s v="Mogollón Mauro"/>
    <m/>
    <n v="931055469"/>
    <s v="mauro0905m@gmail.com"/>
    <x v="28"/>
    <m/>
    <m/>
    <m/>
    <m/>
    <m/>
    <s v="Equipo"/>
    <x v="1"/>
    <x v="110"/>
    <x v="1"/>
    <m/>
    <m/>
    <m/>
    <m/>
    <n v="44"/>
    <m/>
  </r>
  <r>
    <n v="151"/>
    <x v="8"/>
    <s v="Liliana Aldana"/>
    <s v="Rodriguez Jenny"/>
    <m/>
    <n v="959916260"/>
    <s v="jenny13roes@gmail.com"/>
    <x v="40"/>
    <m/>
    <m/>
    <m/>
    <s v="Lurigancho Chosica"/>
    <s v="Lavandería Comercial"/>
    <s v="Equipo"/>
    <x v="1"/>
    <x v="111"/>
    <x v="0"/>
    <m/>
    <s v="00018-25"/>
    <n v="4340"/>
    <m/>
    <n v="44"/>
    <m/>
  </r>
  <r>
    <n v="152"/>
    <x v="8"/>
    <s v="Liliana Aldana"/>
    <s v="Katia Hernández"/>
    <s v="Jefa de Logistica y compras"/>
    <n v="989160343"/>
    <s v="khernandez@elbosque.org.pe"/>
    <x v="31"/>
    <m/>
    <m/>
    <s v="Lima"/>
    <s v="Chosica"/>
    <s v="Hotelería"/>
    <m/>
    <x v="2"/>
    <x v="112"/>
    <x v="2"/>
    <m/>
    <m/>
    <m/>
    <m/>
    <n v="44"/>
    <m/>
  </r>
  <r>
    <n v="153"/>
    <x v="8"/>
    <s v="Liliana Aldana"/>
    <s v="Rosario Carpena"/>
    <s v="Gerente"/>
    <n v="3487500"/>
    <s v="reservas@hotelyeyas.com"/>
    <x v="32"/>
    <m/>
    <m/>
    <m/>
    <m/>
    <s v="Hotelería"/>
    <m/>
    <x v="2"/>
    <x v="113"/>
    <x v="2"/>
    <m/>
    <m/>
    <m/>
    <m/>
    <n v="44"/>
    <m/>
  </r>
  <r>
    <n v="154"/>
    <x v="8"/>
    <s v="Liliana Aldana"/>
    <s v="Alexander Golac"/>
    <s v="Gerente de Compras"/>
    <s v="918337428/918337429/977129080"/>
    <s v="servicios@corporacionlavassa.pe"/>
    <x v="34"/>
    <n v="20608752766"/>
    <m/>
    <s v="Lima"/>
    <m/>
    <s v="Lavandería Comercial"/>
    <m/>
    <x v="1"/>
    <x v="114"/>
    <x v="2"/>
    <m/>
    <m/>
    <m/>
    <m/>
    <n v="44"/>
    <m/>
  </r>
  <r>
    <n v="155"/>
    <x v="8"/>
    <s v="Liliana Aldana"/>
    <s v="Rubenal Guevara/Liz Hurtado (Esposa a cargo del negocio)"/>
    <s v="Dueños"/>
    <s v="995550026/940186694"/>
    <s v="No quiso darlo"/>
    <x v="41"/>
    <s v="No quiso darlo"/>
    <m/>
    <s v="Cusco"/>
    <m/>
    <s v="Lavandería Comercial"/>
    <m/>
    <x v="2"/>
    <x v="115"/>
    <x v="2"/>
    <m/>
    <m/>
    <m/>
    <m/>
    <n v="44"/>
    <m/>
  </r>
  <r>
    <n v="156"/>
    <x v="8"/>
    <s v="Liliana Aldana"/>
    <m/>
    <s v="Recepción"/>
    <n v="2660155"/>
    <m/>
    <x v="42"/>
    <m/>
    <m/>
    <m/>
    <m/>
    <m/>
    <m/>
    <x v="2"/>
    <x v="116"/>
    <x v="2"/>
    <m/>
    <m/>
    <m/>
    <m/>
    <n v="44"/>
    <m/>
  </r>
  <r>
    <n v="157"/>
    <x v="8"/>
    <s v="Liliana Aldana"/>
    <s v="Poblet Hurtado Enrique"/>
    <m/>
    <n v="946686156"/>
    <m/>
    <x v="43"/>
    <m/>
    <m/>
    <s v="Lima"/>
    <m/>
    <s v="Hotelería"/>
    <m/>
    <x v="1"/>
    <x v="117"/>
    <x v="0"/>
    <m/>
    <s v="00017-25"/>
    <n v="6949"/>
    <m/>
    <n v="44"/>
    <m/>
  </r>
  <r>
    <n v="158"/>
    <x v="8"/>
    <s v="Liliana Aldana"/>
    <s v="Lorenzo Moreno"/>
    <s v="Jefe de Logistica"/>
    <n v="6516888"/>
    <s v="asistente@kingdomhotelperu.com"/>
    <x v="45"/>
    <m/>
    <m/>
    <s v="Lima"/>
    <s v="Lince"/>
    <s v="Hotelería"/>
    <m/>
    <x v="2"/>
    <x v="118"/>
    <x v="2"/>
    <m/>
    <m/>
    <m/>
    <m/>
    <n v="44"/>
    <m/>
  </r>
  <r>
    <n v="159"/>
    <x v="8"/>
    <s v="Liliana Aldana"/>
    <s v="Todavía no hay nombre"/>
    <s v="Area de Compras"/>
    <n v="6195200"/>
    <m/>
    <x v="46"/>
    <m/>
    <m/>
    <s v="Lima"/>
    <s v="Lince"/>
    <s v="Hotelería"/>
    <m/>
    <x v="2"/>
    <x v="119"/>
    <x v="2"/>
    <m/>
    <m/>
    <m/>
    <m/>
    <m/>
    <m/>
  </r>
  <r>
    <n v="160"/>
    <x v="8"/>
    <s v="Liliana Aldana"/>
    <s v="Javier  Gamarra"/>
    <s v="Logistica/Compras"/>
    <s v="2656691/944173301"/>
    <s v="reservas@hotelsanremoperu.com"/>
    <x v="47"/>
    <m/>
    <m/>
    <s v="Lima"/>
    <s v="Lince"/>
    <s v="Hotelería"/>
    <m/>
    <x v="2"/>
    <x v="120"/>
    <x v="2"/>
    <m/>
    <m/>
    <m/>
    <m/>
    <n v="44"/>
    <m/>
  </r>
  <r>
    <n v="161"/>
    <x v="8"/>
    <s v="Liliana Aldana"/>
    <s v="Antonio"/>
    <s v="Encargado del Hotel"/>
    <n v="930932772"/>
    <m/>
    <x v="48"/>
    <m/>
    <m/>
    <s v="Lima"/>
    <s v="Lince"/>
    <s v="Hotelería"/>
    <m/>
    <x v="2"/>
    <x v="121"/>
    <x v="2"/>
    <m/>
    <m/>
    <m/>
    <m/>
    <n v="44"/>
    <m/>
  </r>
  <r>
    <n v="162"/>
    <x v="8"/>
    <s v="Liliana Aldana"/>
    <m/>
    <s v="Recepción"/>
    <n v="914773118"/>
    <m/>
    <x v="49"/>
    <m/>
    <m/>
    <s v="Lima"/>
    <s v="Los Olivos"/>
    <s v="Hotelería"/>
    <m/>
    <x v="2"/>
    <x v="122"/>
    <x v="2"/>
    <m/>
    <m/>
    <m/>
    <m/>
    <n v="44"/>
    <m/>
  </r>
  <r>
    <n v="163"/>
    <x v="8"/>
    <s v="Liliana Aldana"/>
    <s v="Recepción"/>
    <s v="Hostal La Confianza"/>
    <n v="968213093"/>
    <m/>
    <x v="50"/>
    <m/>
    <m/>
    <s v="Cañete"/>
    <s v="Lunahuana"/>
    <s v="Hotelería"/>
    <m/>
    <x v="2"/>
    <x v="123"/>
    <x v="1"/>
    <m/>
    <m/>
    <m/>
    <m/>
    <n v="44"/>
    <m/>
  </r>
  <r>
    <n v="164"/>
    <x v="8"/>
    <s v="Liliana Aldana"/>
    <s v="Sara Quiroga"/>
    <s v="Administradora"/>
    <n v="2640884"/>
    <s v="adm.suites@hotelesinkari.com"/>
    <x v="51"/>
    <m/>
    <m/>
    <s v="Lima"/>
    <s v="Magdalena"/>
    <s v="Hotelería"/>
    <m/>
    <x v="2"/>
    <x v="124"/>
    <x v="2"/>
    <m/>
    <m/>
    <m/>
    <m/>
    <n v="44"/>
    <m/>
  </r>
  <r>
    <n v="165"/>
    <x v="8"/>
    <s v="Liliana Aldana"/>
    <m/>
    <s v="Logistica"/>
    <n v="2134300"/>
    <s v="logistica.comunica@casa-andino.com"/>
    <x v="52"/>
    <m/>
    <m/>
    <s v="Lima"/>
    <s v="Miraflores"/>
    <s v="Hotelería"/>
    <m/>
    <x v="2"/>
    <x v="125"/>
    <x v="2"/>
    <m/>
    <m/>
    <m/>
    <m/>
    <n v="44"/>
    <m/>
  </r>
  <r>
    <n v="166"/>
    <x v="8"/>
    <s v="Liliana Aldana"/>
    <s v="Sandro Valdez"/>
    <s v="Logistica"/>
    <n v="6100400"/>
    <s v="sandro.valdez@inkaterra.com"/>
    <x v="53"/>
    <m/>
    <m/>
    <s v="Lima"/>
    <s v="Miraflores"/>
    <s v="Hotelería"/>
    <m/>
    <x v="2"/>
    <x v="126"/>
    <x v="2"/>
    <m/>
    <m/>
    <m/>
    <m/>
    <n v="44"/>
    <m/>
  </r>
  <r>
    <n v="167"/>
    <x v="8"/>
    <s v="Liliana Aldana"/>
    <s v="Jhonatan Feijo"/>
    <s v="Logistica/Compras"/>
    <n v="4457743"/>
    <s v="compras@hotelesjoseantonio.com"/>
    <x v="54"/>
    <m/>
    <m/>
    <s v="Lima"/>
    <s v="Miraflores"/>
    <s v="Hotelería"/>
    <m/>
    <x v="2"/>
    <x v="127"/>
    <x v="2"/>
    <m/>
    <m/>
    <m/>
    <m/>
    <n v="44"/>
    <m/>
  </r>
  <r>
    <n v="168"/>
    <x v="9"/>
    <s v="Liliana Aldana"/>
    <s v="Ericka Armijo"/>
    <s v="Administradora del Edificio"/>
    <n v="975031155"/>
    <s v="administración.modo@proper.com.pe"/>
    <x v="55"/>
    <n v="20610091017"/>
    <m/>
    <s v="Lima"/>
    <s v="San Miguel"/>
    <s v="Hotelería"/>
    <m/>
    <x v="1"/>
    <x v="128"/>
    <x v="0"/>
    <m/>
    <s v="00019-25"/>
    <n v="4340"/>
    <m/>
    <n v="44"/>
    <m/>
  </r>
  <r>
    <n v="169"/>
    <x v="9"/>
    <s v="Liliana Aldana"/>
    <s v="Quiñones Angelo"/>
    <m/>
    <n v="915244218"/>
    <s v="angeloqa12@gmail.com"/>
    <x v="44"/>
    <s v="Todavía no tiene"/>
    <m/>
    <s v="Lima"/>
    <s v="Surco"/>
    <s v="Lavandería Comercial"/>
    <m/>
    <x v="1"/>
    <x v="99"/>
    <x v="4"/>
    <m/>
    <s v="0013-25"/>
    <n v="4340"/>
    <m/>
    <n v="44"/>
    <m/>
  </r>
  <r>
    <n v="170"/>
    <x v="9"/>
    <s v="Liliana Aldana"/>
    <s v="No tenemos información"/>
    <m/>
    <n v="960191115"/>
    <s v="No tenemos información"/>
    <x v="28"/>
    <s v="No tenemos información"/>
    <m/>
    <s v="No tenemos información"/>
    <s v="No tenemos información"/>
    <s v="Lavandería Comercial"/>
    <m/>
    <x v="1"/>
    <x v="129"/>
    <x v="1"/>
    <m/>
    <m/>
    <m/>
    <m/>
    <n v="44"/>
    <m/>
  </r>
  <r>
    <n v="171"/>
    <x v="9"/>
    <s v="Liliana Aldana"/>
    <s v="Carrasco Luis Miguel"/>
    <m/>
    <n v="931775092"/>
    <s v="sengu4lch@gmail.com"/>
    <x v="39"/>
    <s v="No tiene"/>
    <m/>
    <s v="Arequipa"/>
    <m/>
    <s v="Lavandería Comercial"/>
    <m/>
    <x v="1"/>
    <x v="130"/>
    <x v="0"/>
    <m/>
    <s v="0014-25"/>
    <n v="6949"/>
    <m/>
    <n v="44"/>
    <m/>
  </r>
  <r>
    <n v="172"/>
    <x v="9"/>
    <s v="Liliana Aldana"/>
    <s v="No tenemos información"/>
    <m/>
    <n v="966488772"/>
    <s v="No tenemos información"/>
    <x v="28"/>
    <s v="No tenemos información"/>
    <m/>
    <s v="No tenemos información"/>
    <s v="No tenemos información"/>
    <m/>
    <m/>
    <x v="1"/>
    <x v="129"/>
    <x v="1"/>
    <m/>
    <m/>
    <m/>
    <m/>
    <n v="44"/>
    <m/>
  </r>
  <r>
    <n v="173"/>
    <x v="9"/>
    <s v="Liliana Aldana"/>
    <s v="Sr Campos"/>
    <m/>
    <n v="932400450"/>
    <s v="No tenemos información"/>
    <x v="28"/>
    <s v="No tenemos información"/>
    <m/>
    <s v="No tenemos información"/>
    <s v="No tenemos información"/>
    <m/>
    <m/>
    <x v="1"/>
    <x v="131"/>
    <x v="2"/>
    <m/>
    <m/>
    <m/>
    <m/>
    <n v="44"/>
    <m/>
  </r>
  <r>
    <n v="174"/>
    <x v="9"/>
    <s v="Liliana Aldana"/>
    <m/>
    <m/>
    <n v="994894905"/>
    <s v="info@aroromero.com"/>
    <x v="14"/>
    <m/>
    <m/>
    <s v="Lima"/>
    <s v="Chosica"/>
    <s v="Hotelería"/>
    <m/>
    <x v="2"/>
    <x v="132"/>
    <x v="2"/>
    <m/>
    <m/>
    <m/>
    <m/>
    <n v="44"/>
    <m/>
  </r>
  <r>
    <n v="175"/>
    <x v="9"/>
    <s v="Liliana Aldana"/>
    <s v="Jorge Ramirez"/>
    <m/>
    <n v="987934854"/>
    <s v="informes@elangolochosica.com"/>
    <x v="15"/>
    <m/>
    <m/>
    <s v="Lima"/>
    <s v="Chosica"/>
    <s v="Hotelería"/>
    <m/>
    <x v="2"/>
    <x v="55"/>
    <x v="2"/>
    <m/>
    <m/>
    <m/>
    <n v="45960"/>
    <n v="44"/>
    <m/>
  </r>
  <r>
    <n v="176"/>
    <x v="9"/>
    <s v="Liliana Aldana"/>
    <s v="Herrera Carlos"/>
    <s v="Dueño"/>
    <n v="984755140"/>
    <s v="carlos.herrera.gonzaga@gmail.com"/>
    <x v="17"/>
    <n v="10720799494"/>
    <m/>
    <s v="Cerro de Pasco"/>
    <m/>
    <s v="Hotelería"/>
    <s v="Equipo"/>
    <x v="1"/>
    <x v="133"/>
    <x v="0"/>
    <m/>
    <m/>
    <m/>
    <m/>
    <n v="44"/>
    <m/>
  </r>
  <r>
    <n v="177"/>
    <x v="9"/>
    <s v="Liliana Aldana"/>
    <s v="Condori Ramos Marco Raul"/>
    <s v="Dueño"/>
    <n v="905824331"/>
    <s v="marco.condoriramos420@gmail.com"/>
    <x v="18"/>
    <s v="Lo va a sacar en esta semana"/>
    <m/>
    <s v="Arequipa"/>
    <m/>
    <s v="Lavandería Comercial"/>
    <s v="Equipo"/>
    <x v="1"/>
    <x v="86"/>
    <x v="4"/>
    <m/>
    <s v="0009-25"/>
    <n v="4340"/>
    <m/>
    <n v="44"/>
    <m/>
  </r>
  <r>
    <n v="178"/>
    <x v="9"/>
    <s v="Liliana Aldana"/>
    <s v="Joseph Anco"/>
    <s v="Dueño"/>
    <n v="927100074"/>
    <s v="angeles.comerciales.ventas@gmail.com"/>
    <x v="19"/>
    <n v="20609379821"/>
    <m/>
    <s v="Arequipa"/>
    <m/>
    <s v="Varios"/>
    <s v="Equipo"/>
    <x v="1"/>
    <x v="134"/>
    <x v="0"/>
    <m/>
    <s v="0005-25"/>
    <n v="4340"/>
    <m/>
    <n v="44"/>
    <m/>
  </r>
  <r>
    <n v="179"/>
    <x v="9"/>
    <s v="Liliana Aldana"/>
    <s v="Andia Zeballos Manuel Renatto"/>
    <s v="Dueño"/>
    <n v="950308250"/>
    <s v="valgutsac@gmail.com"/>
    <x v="20"/>
    <n v="20614800659"/>
    <m/>
    <s v="Arequipa"/>
    <m/>
    <s v="Lavandería Comercial"/>
    <s v="Equipo"/>
    <x v="1"/>
    <x v="135"/>
    <x v="0"/>
    <m/>
    <s v="0006-25"/>
    <n v="4340"/>
    <m/>
    <n v="44"/>
    <m/>
  </r>
  <r>
    <n v="180"/>
    <x v="9"/>
    <s v="Jenny Valdiviezo"/>
    <s v="Victor  Ureta"/>
    <s v="Dueño"/>
    <n v="949719738"/>
    <s v="lichiufb@gmail.com"/>
    <x v="22"/>
    <n v="20601646367"/>
    <m/>
    <s v="Cusco"/>
    <m/>
    <s v="Hotelería"/>
    <s v="Equipo"/>
    <x v="1"/>
    <x v="136"/>
    <x v="0"/>
    <m/>
    <s v="00012-25 "/>
    <n v="7999"/>
    <m/>
    <n v="44"/>
    <m/>
  </r>
  <r>
    <n v="181"/>
    <x v="9"/>
    <s v="Jenny Valdiviezo"/>
    <s v="Victor  Ureta"/>
    <s v="Dueño"/>
    <n v="949719738"/>
    <s v="lichiufb@gmail.com"/>
    <x v="22"/>
    <n v="20601646367"/>
    <m/>
    <s v="Cusco"/>
    <m/>
    <s v="Hotelería"/>
    <s v="Equipo"/>
    <x v="1"/>
    <x v="136"/>
    <x v="0"/>
    <m/>
    <s v="00015-25 "/>
    <n v="6500"/>
    <m/>
    <n v="44"/>
    <m/>
  </r>
  <r>
    <n v="182"/>
    <x v="9"/>
    <s v="Liliana Aldana"/>
    <s v="Huamani Annie Lisbeth"/>
    <s v="Dueño"/>
    <n v="971763270"/>
    <s v="annie-lu-se@outlook.com"/>
    <x v="24"/>
    <s v="Es el Ruc de su mamá"/>
    <m/>
    <s v="Arequipa"/>
    <m/>
    <s v="Lavandería Comercial"/>
    <s v="Equipo"/>
    <x v="1"/>
    <x v="89"/>
    <x v="0"/>
    <m/>
    <s v="00011-25"/>
    <n v="6949"/>
    <m/>
    <n v="44"/>
    <m/>
  </r>
  <r>
    <n v="183"/>
    <x v="9"/>
    <s v="Liliana Aldana"/>
    <s v="Ortiz Luis Alberto"/>
    <m/>
    <n v="990216016"/>
    <s v="luis.alberto.ortiz.43@gmail.com"/>
    <x v="28"/>
    <m/>
    <m/>
    <m/>
    <m/>
    <s v="Lavandería Comercial"/>
    <s v="Equipo"/>
    <x v="1"/>
    <x v="137"/>
    <x v="1"/>
    <m/>
    <m/>
    <m/>
    <m/>
    <n v="44"/>
    <m/>
  </r>
  <r>
    <n v="184"/>
    <x v="9"/>
    <s v="Liliana Aldana"/>
    <s v="Mogollón Mauro"/>
    <m/>
    <n v="931055469"/>
    <s v="mauro0905m@gmail.com"/>
    <x v="28"/>
    <m/>
    <m/>
    <m/>
    <m/>
    <m/>
    <s v="Equipo"/>
    <x v="1"/>
    <x v="138"/>
    <x v="1"/>
    <m/>
    <m/>
    <m/>
    <m/>
    <n v="44"/>
    <m/>
  </r>
  <r>
    <n v="185"/>
    <x v="9"/>
    <s v="Liliana Aldana"/>
    <s v="Rodriguez Jenny"/>
    <m/>
    <n v="959916260"/>
    <s v="jenny13roes@gmail.com"/>
    <x v="40"/>
    <m/>
    <m/>
    <m/>
    <s v="Lurigancho Chosica"/>
    <s v="Lavandería Comercial"/>
    <s v="Equipo"/>
    <x v="1"/>
    <x v="139"/>
    <x v="0"/>
    <m/>
    <s v="00018-25"/>
    <n v="4340"/>
    <m/>
    <n v="44"/>
    <m/>
  </r>
  <r>
    <n v="186"/>
    <x v="9"/>
    <s v="Liliana Aldana"/>
    <s v="Rosario Carpena"/>
    <s v="Gerente"/>
    <n v="3487500"/>
    <s v="reservas@hotelyeyas.com"/>
    <x v="32"/>
    <m/>
    <m/>
    <m/>
    <m/>
    <s v="Hotelería"/>
    <m/>
    <x v="2"/>
    <x v="140"/>
    <x v="2"/>
    <m/>
    <m/>
    <m/>
    <m/>
    <n v="44"/>
    <m/>
  </r>
  <r>
    <n v="187"/>
    <x v="9"/>
    <s v="Liliana Aldana"/>
    <s v="Rubenal Guevara/Liz Hurtado (Esposa a cargo del negocio)"/>
    <s v="Dueños"/>
    <s v="995550026/940186694"/>
    <s v="No quiso darlo"/>
    <x v="41"/>
    <s v="No quiso darlo"/>
    <m/>
    <s v="Cusco"/>
    <m/>
    <s v="Lavandería Comercial"/>
    <m/>
    <x v="2"/>
    <x v="141"/>
    <x v="2"/>
    <m/>
    <m/>
    <m/>
    <m/>
    <n v="44"/>
    <m/>
  </r>
  <r>
    <n v="188"/>
    <x v="9"/>
    <s v="Liliana Aldana"/>
    <m/>
    <s v="Recepción"/>
    <n v="2660155"/>
    <m/>
    <x v="42"/>
    <m/>
    <m/>
    <m/>
    <m/>
    <m/>
    <m/>
    <x v="2"/>
    <x v="116"/>
    <x v="2"/>
    <m/>
    <m/>
    <m/>
    <m/>
    <n v="44"/>
    <m/>
  </r>
  <r>
    <n v="189"/>
    <x v="9"/>
    <s v="Liliana Aldana"/>
    <s v="Poblet Hurtado Enrique"/>
    <m/>
    <n v="946686156"/>
    <m/>
    <x v="43"/>
    <m/>
    <m/>
    <s v="Lima"/>
    <m/>
    <s v="Hotelería"/>
    <m/>
    <x v="1"/>
    <x v="142"/>
    <x v="0"/>
    <m/>
    <s v="00017-25"/>
    <n v="6949"/>
    <m/>
    <n v="44"/>
    <m/>
  </r>
  <r>
    <n v="190"/>
    <x v="9"/>
    <s v="Liliana Aldana"/>
    <s v="Lorenzo Moreno"/>
    <s v="Jefe de Logistica"/>
    <n v="6516888"/>
    <s v="asistente@kingdomhotelperu.com"/>
    <x v="45"/>
    <m/>
    <m/>
    <s v="Lima"/>
    <s v="Lince"/>
    <s v="Hotelería"/>
    <m/>
    <x v="2"/>
    <x v="143"/>
    <x v="2"/>
    <m/>
    <m/>
    <m/>
    <m/>
    <n v="44"/>
    <m/>
  </r>
  <r>
    <n v="191"/>
    <x v="9"/>
    <s v="Liliana Aldana"/>
    <s v="Todavía no hay nombre"/>
    <s v="Area de Compras"/>
    <n v="6195200"/>
    <m/>
    <x v="46"/>
    <m/>
    <m/>
    <s v="Lima"/>
    <s v="Lince"/>
    <s v="Hotelería"/>
    <m/>
    <x v="2"/>
    <x v="119"/>
    <x v="2"/>
    <m/>
    <m/>
    <m/>
    <m/>
    <n v="44"/>
    <m/>
  </r>
  <r>
    <n v="192"/>
    <x v="9"/>
    <s v="Liliana Aldana"/>
    <s v="Javier  Gamarra"/>
    <s v="Logistica/Compras"/>
    <s v="2656691/944173301"/>
    <s v="reservas@hotelsanremoperu.com"/>
    <x v="47"/>
    <m/>
    <m/>
    <s v="Lima"/>
    <s v="Lince"/>
    <s v="Hotelería"/>
    <m/>
    <x v="2"/>
    <x v="144"/>
    <x v="2"/>
    <m/>
    <m/>
    <m/>
    <m/>
    <n v="44"/>
    <m/>
  </r>
  <r>
    <n v="193"/>
    <x v="9"/>
    <s v="Liliana Aldana"/>
    <s v="Sr. Antonio"/>
    <s v="Encargado del Hotel"/>
    <n v="930932772"/>
    <m/>
    <x v="48"/>
    <m/>
    <m/>
    <s v="Lima"/>
    <s v="Lince"/>
    <s v="Hotelería"/>
    <m/>
    <x v="2"/>
    <x v="145"/>
    <x v="2"/>
    <m/>
    <m/>
    <m/>
    <m/>
    <n v="44"/>
    <m/>
  </r>
  <r>
    <n v="194"/>
    <x v="9"/>
    <s v="Liliana Aldana"/>
    <m/>
    <s v="Recepción"/>
    <n v="914773118"/>
    <m/>
    <x v="49"/>
    <m/>
    <m/>
    <s v="Lima"/>
    <s v="Los Olivos"/>
    <s v="Hotelería"/>
    <m/>
    <x v="2"/>
    <x v="146"/>
    <x v="2"/>
    <m/>
    <m/>
    <m/>
    <m/>
    <n v="44"/>
    <m/>
  </r>
  <r>
    <n v="195"/>
    <x v="9"/>
    <s v="Liliana Aldana"/>
    <s v="Recepción"/>
    <s v="Hostal La Confianza"/>
    <n v="968213093"/>
    <m/>
    <x v="50"/>
    <m/>
    <m/>
    <s v="Cañete"/>
    <s v="Lunahuana"/>
    <s v="Hotelería"/>
    <m/>
    <x v="2"/>
    <x v="147"/>
    <x v="1"/>
    <m/>
    <m/>
    <m/>
    <m/>
    <n v="44"/>
    <m/>
  </r>
  <r>
    <n v="196"/>
    <x v="10"/>
    <s v="Liliana Aldana"/>
    <s v="Ericka Armijo"/>
    <s v="Administradora del Edificio"/>
    <n v="975031155"/>
    <s v="administración.modo@proper.com.pe"/>
    <x v="55"/>
    <n v="20610091017"/>
    <m/>
    <s v="Lima"/>
    <s v="San Miguel"/>
    <s v="Hotelería"/>
    <m/>
    <x v="1"/>
    <x v="148"/>
    <x v="0"/>
    <m/>
    <s v="00019-25"/>
    <n v="4340"/>
    <m/>
    <n v="44"/>
    <m/>
  </r>
  <r>
    <n v="197"/>
    <x v="10"/>
    <s v="Liliana Aldana"/>
    <s v="Quiñones Angelo"/>
    <m/>
    <n v="915244218"/>
    <s v="angeloqa12@gmail.com"/>
    <x v="44"/>
    <s v="Todavía no tiene"/>
    <m/>
    <s v="Lima"/>
    <s v="Surco"/>
    <s v="Lavandería Comercial"/>
    <m/>
    <x v="1"/>
    <x v="99"/>
    <x v="4"/>
    <m/>
    <s v="0013-25"/>
    <n v="4340"/>
    <m/>
    <n v="44"/>
    <m/>
  </r>
  <r>
    <n v="198"/>
    <x v="10"/>
    <s v="Liliana Aldana"/>
    <s v="No tenemos información"/>
    <m/>
    <n v="960191115"/>
    <s v="No tenemos información"/>
    <x v="28"/>
    <s v="No tenemos información"/>
    <m/>
    <s v="No tenemos información"/>
    <s v="No tenemos información"/>
    <s v="Lavandería Comercial"/>
    <m/>
    <x v="1"/>
    <x v="149"/>
    <x v="1"/>
    <m/>
    <m/>
    <m/>
    <m/>
    <n v="44"/>
    <m/>
  </r>
  <r>
    <n v="199"/>
    <x v="10"/>
    <s v="Liliana Aldana"/>
    <s v="Carrasco Luis Miguel"/>
    <m/>
    <n v="931775092"/>
    <s v="sengu4lch@gmail.com"/>
    <x v="39"/>
    <s v="No tiene"/>
    <m/>
    <s v="Arequipa"/>
    <m/>
    <s v="Lavandería Comercial"/>
    <m/>
    <x v="1"/>
    <x v="150"/>
    <x v="0"/>
    <m/>
    <s v="0014-25"/>
    <n v="6949"/>
    <m/>
    <n v="44"/>
    <m/>
  </r>
  <r>
    <n v="200"/>
    <x v="10"/>
    <s v="Liliana Aldana"/>
    <s v="No tenemos información"/>
    <m/>
    <n v="966488772"/>
    <s v="No tenemos información"/>
    <x v="28"/>
    <s v="No tenemos información"/>
    <m/>
    <s v="No tenemos información"/>
    <s v="No tenemos información"/>
    <m/>
    <m/>
    <x v="1"/>
    <x v="129"/>
    <x v="1"/>
    <m/>
    <m/>
    <m/>
    <m/>
    <n v="44"/>
    <m/>
  </r>
  <r>
    <n v="201"/>
    <x v="10"/>
    <s v="Liliana Aldana"/>
    <s v="Sr Campos"/>
    <m/>
    <n v="932400450"/>
    <s v="No tenemos información"/>
    <x v="28"/>
    <s v="No tenemos información"/>
    <m/>
    <s v="No tenemos información"/>
    <s v="No tenemos información"/>
    <m/>
    <m/>
    <x v="1"/>
    <x v="151"/>
    <x v="2"/>
    <m/>
    <m/>
    <m/>
    <m/>
    <n v="44"/>
    <m/>
  </r>
  <r>
    <n v="202"/>
    <x v="10"/>
    <s v="Liliana Aldana"/>
    <m/>
    <m/>
    <n v="994894905"/>
    <s v="info@aroromero.com"/>
    <x v="14"/>
    <m/>
    <m/>
    <s v="Lima"/>
    <s v="Chosica"/>
    <s v="Hotelería"/>
    <m/>
    <x v="2"/>
    <x v="152"/>
    <x v="6"/>
    <m/>
    <m/>
    <m/>
    <m/>
    <n v="44"/>
    <m/>
  </r>
  <r>
    <n v="203"/>
    <x v="10"/>
    <s v="Liliana Aldana"/>
    <s v="Sra Rosangela Rosales"/>
    <s v="Asistente del dueño"/>
    <n v="997556407"/>
    <s v="corporativo@hotelelangolo.com.pe"/>
    <x v="15"/>
    <m/>
    <m/>
    <s v="Lima"/>
    <s v="Chosica"/>
    <s v="Hotelería"/>
    <m/>
    <x v="2"/>
    <x v="153"/>
    <x v="2"/>
    <m/>
    <m/>
    <m/>
    <m/>
    <n v="44"/>
    <m/>
  </r>
  <r>
    <n v="204"/>
    <x v="10"/>
    <s v="Liliana Aldana"/>
    <s v="Herrera Carlos"/>
    <s v="Dueño"/>
    <n v="984755140"/>
    <s v="carlos.herrera.gonzaga@gmail.com"/>
    <x v="17"/>
    <n v="10720799494"/>
    <m/>
    <s v="Cerro de Pasco"/>
    <m/>
    <s v="Hotelería"/>
    <s v="Equipo"/>
    <x v="1"/>
    <x v="154"/>
    <x v="0"/>
    <m/>
    <m/>
    <m/>
    <m/>
    <n v="44"/>
    <m/>
  </r>
  <r>
    <n v="205"/>
    <x v="10"/>
    <s v="Liliana Aldana"/>
    <s v="Condori Ramos Marco Raul"/>
    <s v="Dueño"/>
    <n v="905824331"/>
    <s v="marco.condoriramos420@gmail.com"/>
    <x v="56"/>
    <s v="Lo va a sacar en esta semana"/>
    <m/>
    <s v="Arequipa"/>
    <m/>
    <s v="Lavandería Comercial"/>
    <s v="Equipo"/>
    <x v="1"/>
    <x v="155"/>
    <x v="4"/>
    <m/>
    <s v="0009-25"/>
    <n v="4340"/>
    <m/>
    <n v="44"/>
    <m/>
  </r>
  <r>
    <n v="206"/>
    <x v="10"/>
    <s v="Liliana Aldana"/>
    <s v="Joseph Anco"/>
    <s v="Dueño"/>
    <n v="927100074"/>
    <s v="angeles.comerciales.ventas@gmail.com"/>
    <x v="19"/>
    <n v="20609379821"/>
    <m/>
    <s v="Arequipa"/>
    <m/>
    <s v="Lavandería Comercial"/>
    <s v="Equipo"/>
    <x v="1"/>
    <x v="156"/>
    <x v="0"/>
    <m/>
    <s v="0005-25"/>
    <n v="4340"/>
    <m/>
    <n v="44"/>
    <m/>
  </r>
  <r>
    <n v="207"/>
    <x v="10"/>
    <s v="Liliana Aldana"/>
    <s v="Andia Zeballos Manuel Renatto"/>
    <s v="Dueño"/>
    <n v="950308250"/>
    <s v="valgutsac@gmail.com"/>
    <x v="20"/>
    <n v="20614800659"/>
    <m/>
    <s v="Arequipa"/>
    <m/>
    <s v="Lavandería Comercial"/>
    <s v="Equipo"/>
    <x v="1"/>
    <x v="157"/>
    <x v="0"/>
    <m/>
    <s v="00020-25"/>
    <n v="4340"/>
    <m/>
    <n v="44"/>
    <m/>
  </r>
  <r>
    <n v="208"/>
    <x v="10"/>
    <s v="Jenny Valdiviezo"/>
    <s v="Victor  Ureta"/>
    <s v="Dueño"/>
    <n v="949719738"/>
    <s v="lichiufb@gmail.com"/>
    <x v="22"/>
    <n v="20601646367"/>
    <m/>
    <s v="Cusco"/>
    <m/>
    <s v="Hotelería"/>
    <s v="Equipo"/>
    <x v="1"/>
    <x v="158"/>
    <x v="0"/>
    <m/>
    <s v="00021-25 "/>
    <n v="7999"/>
    <m/>
    <n v="44"/>
    <m/>
  </r>
  <r>
    <n v="209"/>
    <x v="10"/>
    <s v="Jenny Valdiviezo"/>
    <s v="Victor  Ureta"/>
    <s v="Dueño"/>
    <n v="949719738"/>
    <s v="lichiufb@gmail.com"/>
    <x v="22"/>
    <n v="20601646367"/>
    <m/>
    <s v="Cusco"/>
    <m/>
    <s v="Hotelería"/>
    <s v="Equipo"/>
    <x v="1"/>
    <x v="159"/>
    <x v="0"/>
    <m/>
    <s v="00022-25 "/>
    <n v="6500"/>
    <m/>
    <n v="44"/>
    <m/>
  </r>
  <r>
    <n v="210"/>
    <x v="10"/>
    <s v="Liliana Aldana"/>
    <s v="Huamani Annie Lisbeth"/>
    <s v="Dueño"/>
    <n v="971763270"/>
    <s v="annie-lu-se@outlook.com"/>
    <x v="24"/>
    <s v="Es el Ruc de su mamá"/>
    <m/>
    <s v="Arequipa"/>
    <m/>
    <s v="Lavandería Comercial"/>
    <s v="Equipo"/>
    <x v="1"/>
    <x v="160"/>
    <x v="0"/>
    <m/>
    <s v="00011-25"/>
    <n v="6949"/>
    <m/>
    <n v="44"/>
    <m/>
  </r>
  <r>
    <n v="211"/>
    <x v="10"/>
    <s v="Liliana Aldana"/>
    <s v="Ortiz Luis Alberto"/>
    <m/>
    <n v="990216016"/>
    <s v="luis.alberto.ortiz.43@gmail.com"/>
    <x v="28"/>
    <m/>
    <m/>
    <m/>
    <m/>
    <s v="Lavandería Comercial"/>
    <s v="Equipo"/>
    <x v="1"/>
    <x v="137"/>
    <x v="1"/>
    <m/>
    <m/>
    <m/>
    <m/>
    <n v="44"/>
    <m/>
  </r>
  <r>
    <n v="212"/>
    <x v="10"/>
    <s v="Liliana Aldana"/>
    <s v="Mogollón Mauro"/>
    <m/>
    <n v="931055469"/>
    <s v="mauro0905m@gmail.com"/>
    <x v="28"/>
    <m/>
    <m/>
    <m/>
    <m/>
    <m/>
    <s v="Equipo"/>
    <x v="1"/>
    <x v="138"/>
    <x v="1"/>
    <m/>
    <m/>
    <m/>
    <m/>
    <n v="44"/>
    <m/>
  </r>
  <r>
    <n v="213"/>
    <x v="10"/>
    <s v="Liliana Aldana"/>
    <s v="Rodriguez Jenny"/>
    <m/>
    <n v="959916260"/>
    <s v="jenny13roes@gmail.com"/>
    <x v="40"/>
    <m/>
    <m/>
    <m/>
    <s v="Lurigancho Chosica"/>
    <s v="Lavandería Comercial"/>
    <s v="Equipo"/>
    <x v="1"/>
    <x v="129"/>
    <x v="0"/>
    <m/>
    <s v="00018-25"/>
    <n v="4340"/>
    <m/>
    <n v="44"/>
    <m/>
  </r>
  <r>
    <n v="214"/>
    <x v="10"/>
    <s v="Liliana Aldana"/>
    <s v="Rosario Carpena"/>
    <s v="Gerente"/>
    <n v="3487500"/>
    <s v="reservas@hotelyeyas.com"/>
    <x v="32"/>
    <m/>
    <m/>
    <m/>
    <m/>
    <s v="Hotelería"/>
    <m/>
    <x v="2"/>
    <x v="161"/>
    <x v="2"/>
    <m/>
    <m/>
    <m/>
    <m/>
    <n v="44"/>
    <m/>
  </r>
  <r>
    <n v="215"/>
    <x v="10"/>
    <s v="Liliana Aldana"/>
    <s v="Rubenal Guevara/Liz Hurtado (Esposa a cargo del negocio)"/>
    <s v="Dueños"/>
    <s v="995550026/940186694"/>
    <s v="No quiso darlo"/>
    <x v="41"/>
    <s v="No quiso darlo"/>
    <m/>
    <s v="Cusco"/>
    <m/>
    <s v="Lavandería Comercial"/>
    <m/>
    <x v="2"/>
    <x v="162"/>
    <x v="2"/>
    <m/>
    <m/>
    <m/>
    <m/>
    <n v="44"/>
    <m/>
  </r>
  <r>
    <n v="216"/>
    <x v="10"/>
    <s v="Liliana Aldana"/>
    <m/>
    <s v="Recepción"/>
    <n v="2660155"/>
    <m/>
    <x v="42"/>
    <m/>
    <m/>
    <m/>
    <m/>
    <m/>
    <m/>
    <x v="2"/>
    <x v="163"/>
    <x v="6"/>
    <m/>
    <m/>
    <m/>
    <m/>
    <n v="44"/>
    <m/>
  </r>
  <r>
    <n v="217"/>
    <x v="10"/>
    <s v="Liliana Aldana"/>
    <s v="Poblet Hurtado Enrique"/>
    <m/>
    <n v="946686156"/>
    <m/>
    <x v="43"/>
    <m/>
    <m/>
    <s v="Lima"/>
    <m/>
    <s v="Hotelería"/>
    <m/>
    <x v="1"/>
    <x v="164"/>
    <x v="6"/>
    <m/>
    <s v="00017-25"/>
    <n v="6949"/>
    <m/>
    <n v="44"/>
    <m/>
  </r>
  <r>
    <n v="218"/>
    <x v="10"/>
    <s v="Liliana Aldana"/>
    <s v="Lorenzo Moreno"/>
    <s v="Jefe de Logistica"/>
    <n v="6516888"/>
    <s v="asistente@kingdomhotelperu.com"/>
    <x v="45"/>
    <m/>
    <m/>
    <s v="Lima"/>
    <s v="Lince"/>
    <s v="Hotelería"/>
    <m/>
    <x v="2"/>
    <x v="143"/>
    <x v="2"/>
    <m/>
    <m/>
    <m/>
    <m/>
    <n v="44"/>
    <m/>
  </r>
  <r>
    <n v="219"/>
    <x v="10"/>
    <s v="Liliana Aldana"/>
    <s v="Todavía no hay nombre"/>
    <s v="Area de Compras"/>
    <n v="6195200"/>
    <m/>
    <x v="46"/>
    <m/>
    <m/>
    <s v="Lima"/>
    <s v="Lince"/>
    <s v="Hotelería"/>
    <m/>
    <x v="2"/>
    <x v="119"/>
    <x v="2"/>
    <m/>
    <m/>
    <m/>
    <m/>
    <n v="44"/>
    <m/>
  </r>
  <r>
    <n v="220"/>
    <x v="10"/>
    <s v="Liliana Aldana"/>
    <s v="Javier  Gamarra"/>
    <s v="Logistica/Compras"/>
    <s v="2656691/944173301"/>
    <s v="reservas@hotelsanremoperu.com"/>
    <x v="47"/>
    <m/>
    <m/>
    <s v="Lima"/>
    <s v="Lince"/>
    <s v="Hotelería"/>
    <m/>
    <x v="2"/>
    <x v="165"/>
    <x v="2"/>
    <m/>
    <m/>
    <m/>
    <m/>
    <n v="44"/>
    <m/>
  </r>
  <r>
    <n v="221"/>
    <x v="10"/>
    <s v="Liliana Aldana"/>
    <s v="Sr. Antonio"/>
    <s v="Encargado del Hotel"/>
    <n v="930932772"/>
    <m/>
    <x v="48"/>
    <m/>
    <m/>
    <s v="Lima"/>
    <s v="Lince"/>
    <s v="Hotelería"/>
    <m/>
    <x v="2"/>
    <x v="145"/>
    <x v="2"/>
    <m/>
    <m/>
    <m/>
    <m/>
    <n v="44"/>
    <m/>
  </r>
  <r>
    <n v="222"/>
    <x v="10"/>
    <s v="Liliana Aldana"/>
    <s v="Recepción"/>
    <s v="Hostal La Confianza"/>
    <n v="968213093"/>
    <m/>
    <x v="50"/>
    <m/>
    <m/>
    <s v="Cañete"/>
    <s v="Lunahuana"/>
    <s v="Hotelería"/>
    <m/>
    <x v="2"/>
    <x v="166"/>
    <x v="1"/>
    <m/>
    <m/>
    <m/>
    <m/>
    <n v="44"/>
    <m/>
  </r>
  <r>
    <n v="223"/>
    <x v="10"/>
    <s v="Liliana Aldana"/>
    <s v="Janet Torpoco"/>
    <s v="Encargada del hotel"/>
    <n v="4249438"/>
    <s v="riviera@hotelessanagustin.com.pe"/>
    <x v="57"/>
    <m/>
    <m/>
    <s v="Lima"/>
    <s v="Miraflores"/>
    <s v="Hotelería"/>
    <m/>
    <x v="2"/>
    <x v="167"/>
    <x v="2"/>
    <m/>
    <m/>
    <m/>
    <m/>
    <n v="44"/>
    <m/>
  </r>
  <r>
    <n v="224"/>
    <x v="10"/>
    <s v="Liliana Aldana"/>
    <s v="Sr. Martin"/>
    <s v="Encargado de Operaciones"/>
    <n v="4442829"/>
    <s v="operaciones@mariel-hotel.com"/>
    <x v="58"/>
    <m/>
    <m/>
    <s v="Lima"/>
    <s v="Miraflores"/>
    <s v="Hotelería"/>
    <m/>
    <x v="2"/>
    <x v="168"/>
    <x v="2"/>
    <m/>
    <m/>
    <m/>
    <m/>
    <n v="44"/>
    <m/>
  </r>
  <r>
    <n v="225"/>
    <x v="10"/>
    <s v="Liliana Aldana"/>
    <s v="Beatriz Jibaja"/>
    <s v="Encargada del hotel"/>
    <n v="2719039"/>
    <s v="loscisnesdelmarsano@hotmail.com"/>
    <x v="59"/>
    <m/>
    <m/>
    <s v="Lima"/>
    <s v="Miraflores"/>
    <s v="Hotelería"/>
    <m/>
    <x v="2"/>
    <x v="168"/>
    <x v="2"/>
    <m/>
    <m/>
    <m/>
    <m/>
    <n v="44"/>
    <m/>
  </r>
  <r>
    <n v="226"/>
    <x v="10"/>
    <s v="Liliana Aldana"/>
    <s v="Santiago Quispe"/>
    <s v="Logistica/Compras"/>
    <n v="6100700"/>
    <s v="almacen.cp@otphoteles.com"/>
    <x v="60"/>
    <m/>
    <m/>
    <s v="Lima"/>
    <s v="Miraflores"/>
    <s v="Hotelería"/>
    <m/>
    <x v="2"/>
    <x v="168"/>
    <x v="2"/>
    <m/>
    <m/>
    <m/>
    <m/>
    <n v="44"/>
    <m/>
  </r>
  <r>
    <n v="227"/>
    <x v="10"/>
    <s v="Liliana Aldana"/>
    <s v="Sr. Vasquez"/>
    <s v="Encargado"/>
    <n v="2412942"/>
    <s v="elfarolito.hotel@gmail.com"/>
    <x v="61"/>
    <m/>
    <m/>
    <s v="Lima"/>
    <s v="Miraflores"/>
    <s v="Hotelería"/>
    <m/>
    <x v="2"/>
    <x v="168"/>
    <x v="2"/>
    <m/>
    <m/>
    <m/>
    <m/>
    <n v="44"/>
    <m/>
  </r>
  <r>
    <n v="228"/>
    <x v="10"/>
    <s v="Liliana Aldana"/>
    <s v="Srta. Maribel"/>
    <s v="Logistica/Compras"/>
    <n v="4446571"/>
    <s v="cuentas@hotelboulevard.com.pe"/>
    <x v="62"/>
    <m/>
    <m/>
    <s v="Lima"/>
    <s v="Miraflores"/>
    <s v="Hotelería"/>
    <m/>
    <x v="2"/>
    <x v="168"/>
    <x v="2"/>
    <m/>
    <m/>
    <m/>
    <m/>
    <n v="44"/>
    <m/>
  </r>
  <r>
    <n v="229"/>
    <x v="10"/>
    <s v="Liliana Aldana"/>
    <s v="Leonardo Rodriguez"/>
    <s v="Logistica/Compras"/>
    <n v="6251200"/>
    <s v="leonardo.rodriguez@decapolisperu.com"/>
    <x v="63"/>
    <m/>
    <m/>
    <s v="Lima"/>
    <s v="Miraflores"/>
    <s v="Hotelería"/>
    <m/>
    <x v="2"/>
    <x v="168"/>
    <x v="2"/>
    <m/>
    <m/>
    <m/>
    <m/>
    <n v="44"/>
    <m/>
  </r>
  <r>
    <n v="230"/>
    <x v="10"/>
    <s v="Liliana Aldana"/>
    <s v="Luis Maldonado"/>
    <s v="Administrador"/>
    <n v="6281040"/>
    <s v="luis_maldonado2000@hotmail.com"/>
    <x v="64"/>
    <m/>
    <m/>
    <s v="Lima"/>
    <s v="Miraflores"/>
    <s v="Hotelería"/>
    <m/>
    <x v="2"/>
    <x v="168"/>
    <x v="2"/>
    <m/>
    <m/>
    <m/>
    <m/>
    <n v="44"/>
    <m/>
  </r>
  <r>
    <n v="231"/>
    <x v="10"/>
    <s v="Liliana Aldana"/>
    <s v="Recepción"/>
    <m/>
    <n v="975478181"/>
    <m/>
    <x v="65"/>
    <m/>
    <m/>
    <s v="Lima"/>
    <s v="Miraflores"/>
    <s v="Hotelería"/>
    <m/>
    <x v="2"/>
    <x v="169"/>
    <x v="2"/>
    <m/>
    <m/>
    <m/>
    <m/>
    <n v="44"/>
    <m/>
  </r>
  <r>
    <n v="232"/>
    <x v="10"/>
    <s v="Liliana Aldana"/>
    <s v="Recepción"/>
    <m/>
    <n v="2664531"/>
    <s v="reservas@hotelvilasanta.com"/>
    <x v="66"/>
    <m/>
    <m/>
    <s v="Lima"/>
    <s v="Miraflores"/>
    <s v="Hotelería"/>
    <m/>
    <x v="2"/>
    <x v="168"/>
    <x v="2"/>
    <m/>
    <m/>
    <m/>
    <m/>
    <n v="44"/>
    <m/>
  </r>
  <r>
    <n v="233"/>
    <x v="10"/>
    <s v="Liliana Aldana"/>
    <s v="Recepción"/>
    <m/>
    <n v="2423492"/>
    <s v="kontiki.miraflores.peru@gmail.com"/>
    <x v="67"/>
    <m/>
    <m/>
    <s v="Lima"/>
    <s v="Miraflores"/>
    <s v="Hotelería"/>
    <m/>
    <x v="2"/>
    <x v="168"/>
    <x v="2"/>
    <m/>
    <m/>
    <m/>
    <m/>
    <n v="44"/>
    <m/>
  </r>
  <r>
    <n v="234"/>
    <x v="11"/>
    <s v="Jenny Valdiviezo"/>
    <s v="Condori Ramos Marco Raul"/>
    <s v="Dueño"/>
    <n v="905824331"/>
    <s v="marco.condoriramos420@gmail.com"/>
    <x v="56"/>
    <s v="Lo va a sacar en esta semana"/>
    <m/>
    <s v="Arequipa"/>
    <m/>
    <s v="Lavandería Comercial"/>
    <s v="Equipo"/>
    <x v="1"/>
    <x v="170"/>
    <x v="4"/>
    <m/>
    <s v="0009-25"/>
    <n v="4340"/>
    <m/>
    <n v="44"/>
    <m/>
  </r>
  <r>
    <n v="235"/>
    <x v="11"/>
    <s v="Jenny Valdiviezo"/>
    <s v="Andia Zeballos Manuel Renatto"/>
    <s v="Dueño"/>
    <n v="950308250"/>
    <s v="valgutsac@gmail.com"/>
    <x v="20"/>
    <n v="20614800659"/>
    <m/>
    <s v="Arequipa"/>
    <m/>
    <s v="Lavandería Comercial"/>
    <s v="Equipo"/>
    <x v="1"/>
    <x v="171"/>
    <x v="6"/>
    <m/>
    <m/>
    <n v="6898"/>
    <d v="2025-12-01T00:00:00"/>
    <n v="45"/>
    <m/>
  </r>
  <r>
    <n v="236"/>
    <x v="11"/>
    <s v="Jenny Valdiviezo"/>
    <s v="Quiñones Angelo"/>
    <s v="Dueño"/>
    <n v="915244218"/>
    <s v="angeloqa12@gmail.com"/>
    <x v="44"/>
    <s v="RUS"/>
    <m/>
    <s v="Lima"/>
    <s v="Surco"/>
    <s v="Lavandería Comercial"/>
    <m/>
    <x v="1"/>
    <x v="172"/>
    <x v="4"/>
    <m/>
    <s v="0013-25"/>
    <n v="4340"/>
    <d v="2025-11-07T00:00:00"/>
    <n v="4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C8ADBE-61B5-4C7E-9449-42411F58B4CB}" name="TablaDinámica3"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L3:N87" firstHeaderRow="1" firstDataRow="1" firstDataCol="3" rowPageCount="1" colPageCount="1"/>
  <pivotFields count="23">
    <pivotField compact="0" outline="0" showAll="0"/>
    <pivotField axis="axisRow" compact="0" outline="0" showAll="0" defaultSubtotal="0">
      <items count="16">
        <item m="1" x="15"/>
        <item x="0"/>
        <item x="1"/>
        <item x="2"/>
        <item m="1" x="13"/>
        <item m="1" x="14"/>
        <item x="3"/>
        <item x="4"/>
        <item x="5"/>
        <item m="1" x="12"/>
        <item x="6"/>
        <item x="7"/>
        <item x="8"/>
        <item x="9"/>
        <item x="10"/>
        <item x="11"/>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75">
        <item x="23"/>
        <item x="4"/>
        <item x="2"/>
        <item x="9"/>
        <item x="12"/>
        <item x="3"/>
        <item x="14"/>
        <item x="5"/>
        <item x="17"/>
        <item x="8"/>
        <item x="15"/>
        <item x="11"/>
        <item x="10"/>
        <item x="13"/>
        <item x="6"/>
        <item x="0"/>
        <item x="21"/>
        <item x="19"/>
        <item x="24"/>
        <item x="18"/>
        <item x="16"/>
        <item x="22"/>
        <item x="7"/>
        <item x="20"/>
        <item x="1"/>
        <item x="25"/>
        <item x="26"/>
        <item x="27"/>
        <item x="28"/>
        <item x="29"/>
        <item x="30"/>
        <item x="31"/>
        <item x="32"/>
        <item x="33"/>
        <item x="34"/>
        <item x="35"/>
        <item x="36"/>
        <item x="37"/>
        <item x="38"/>
        <item x="41"/>
        <item x="42"/>
        <item x="43"/>
        <item x="40"/>
        <item x="39"/>
        <item x="44"/>
        <item x="45"/>
        <item x="46"/>
        <item x="47"/>
        <item x="48"/>
        <item x="49"/>
        <item x="50"/>
        <item x="51"/>
        <item x="52"/>
        <item x="53"/>
        <item x="54"/>
        <item x="55"/>
        <item m="1" x="68"/>
        <item m="1" x="69"/>
        <item m="1" x="70"/>
        <item m="1" x="71"/>
        <item m="1" x="72"/>
        <item m="1" x="73"/>
        <item m="1" x="74"/>
        <item x="57"/>
        <item x="58"/>
        <item x="59"/>
        <item x="60"/>
        <item x="61"/>
        <item x="62"/>
        <item x="63"/>
        <item x="64"/>
        <item x="65"/>
        <item x="66"/>
        <item x="67"/>
        <item x="5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96">
        <item x="5"/>
        <item x="42"/>
        <item x="18"/>
        <item x="19"/>
        <item x="20"/>
        <item x="44"/>
        <item x="31"/>
        <item x="32"/>
        <item x="36"/>
        <item x="14"/>
        <item x="4"/>
        <item x="26"/>
        <item x="40"/>
        <item x="23"/>
        <item x="41"/>
        <item x="17"/>
        <item x="22"/>
        <item x="0"/>
        <item x="43"/>
        <item x="13"/>
        <item x="25"/>
        <item x="37"/>
        <item x="39"/>
        <item x="1"/>
        <item x="28"/>
        <item x="2"/>
        <item x="35"/>
        <item x="15"/>
        <item x="38"/>
        <item x="16"/>
        <item x="3"/>
        <item x="30"/>
        <item x="29"/>
        <item x="11"/>
        <item m="1" x="194"/>
        <item x="12"/>
        <item x="34"/>
        <item x="8"/>
        <item x="7"/>
        <item x="24"/>
        <item x="9"/>
        <item x="10"/>
        <item x="6"/>
        <item x="21"/>
        <item x="27"/>
        <item x="33"/>
        <item x="45"/>
        <item x="46"/>
        <item x="47"/>
        <item x="48"/>
        <item x="49"/>
        <item x="50"/>
        <item x="51"/>
        <item x="52"/>
        <item x="53"/>
        <item x="54"/>
        <item x="55"/>
        <item x="56"/>
        <item x="57"/>
        <item m="1" x="192"/>
        <item m="1" x="191"/>
        <item x="60"/>
        <item m="1" x="193"/>
        <item x="58"/>
        <item x="61"/>
        <item x="59"/>
        <item x="62"/>
        <item x="63"/>
        <item x="64"/>
        <item x="65"/>
        <item x="66"/>
        <item x="67"/>
        <item x="68"/>
        <item x="69"/>
        <item x="70"/>
        <item x="71"/>
        <item x="72"/>
        <item x="73"/>
        <item x="74"/>
        <item x="75"/>
        <item x="76"/>
        <item x="77"/>
        <item x="78"/>
        <item x="79"/>
        <item x="80"/>
        <item x="81"/>
        <item x="82"/>
        <item x="83"/>
        <item x="84"/>
        <item x="85"/>
        <item x="86"/>
        <item x="87"/>
        <item x="88"/>
        <item x="89"/>
        <item x="90"/>
        <item m="1" x="190"/>
        <item x="92"/>
        <item x="93"/>
        <item x="94"/>
        <item x="95"/>
        <item x="96"/>
        <item x="97"/>
        <item x="98"/>
        <item x="91"/>
        <item x="99"/>
        <item x="100"/>
        <item x="101"/>
        <item x="102"/>
        <item x="103"/>
        <item m="1" x="186"/>
        <item m="1" x="189"/>
        <item m="1" x="187"/>
        <item x="108"/>
        <item x="109"/>
        <item x="110"/>
        <item x="111"/>
        <item x="112"/>
        <item x="113"/>
        <item x="114"/>
        <item x="115"/>
        <item x="117"/>
        <item x="118"/>
        <item x="119"/>
        <item x="120"/>
        <item x="105"/>
        <item x="116"/>
        <item m="1" x="188"/>
        <item x="122"/>
        <item x="104"/>
        <item x="106"/>
        <item x="107"/>
        <item x="121"/>
        <item x="123"/>
        <item x="124"/>
        <item x="125"/>
        <item x="126"/>
        <item x="127"/>
        <item x="128"/>
        <item x="129"/>
        <item x="130"/>
        <item x="131"/>
        <item x="132"/>
        <item x="133"/>
        <item x="134"/>
        <item x="135"/>
        <item x="136"/>
        <item x="137"/>
        <item x="138"/>
        <item x="139"/>
        <item x="140"/>
        <item x="141"/>
        <item x="142"/>
        <item x="143"/>
        <item x="144"/>
        <item x="145"/>
        <item x="146"/>
        <item x="147"/>
        <item m="1" x="176"/>
        <item m="1" x="177"/>
        <item m="1" x="178"/>
        <item m="1" x="179"/>
        <item m="1" x="180"/>
        <item m="1" x="181"/>
        <item m="1" x="174"/>
        <item m="1" x="182"/>
        <item m="1" x="183"/>
        <item m="1" x="184"/>
        <item m="1" x="185"/>
        <item x="148"/>
        <item x="149"/>
        <item x="150"/>
        <item x="151"/>
        <item x="152"/>
        <item x="153"/>
        <item x="154"/>
        <item x="155"/>
        <item x="156"/>
        <item x="157"/>
        <item m="1" x="175"/>
        <item x="159"/>
        <item x="160"/>
        <item x="161"/>
        <item x="162"/>
        <item x="163"/>
        <item x="164"/>
        <item x="165"/>
        <item x="166"/>
        <item x="167"/>
        <item x="168"/>
        <item x="158"/>
        <item x="169"/>
        <item m="1" x="173"/>
        <item x="171"/>
        <item x="172"/>
        <item x="170"/>
        <item t="default"/>
      </items>
    </pivotField>
    <pivotField axis="axisPage" compact="0" outline="0" multipleItemSelectionAllowed="1" showAll="0">
      <items count="9">
        <item h="1" x="2"/>
        <item h="1" x="1"/>
        <item x="0"/>
        <item x="4"/>
        <item x="3"/>
        <item h="1" x="5"/>
        <item h="1" x="6"/>
        <item h="1" m="1" x="7"/>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3">
    <field x="7"/>
    <field x="1"/>
    <field x="15"/>
  </rowFields>
  <rowItems count="84">
    <i>
      <x/>
      <x v="7"/>
      <x v="1"/>
    </i>
    <i r="1">
      <x v="10"/>
      <x v="75"/>
    </i>
    <i>
      <x v="8"/>
      <x v="3"/>
      <x v="29"/>
    </i>
    <i r="1">
      <x v="7"/>
      <x v="28"/>
    </i>
    <i r="1">
      <x v="8"/>
      <x v="57"/>
    </i>
    <i r="1">
      <x v="10"/>
      <x v="71"/>
    </i>
    <i r="1">
      <x v="11"/>
      <x v="71"/>
    </i>
    <i r="1">
      <x v="12"/>
      <x v="71"/>
    </i>
    <i r="1">
      <x v="13"/>
      <x v="142"/>
    </i>
    <i r="1">
      <x v="14"/>
      <x v="174"/>
    </i>
    <i>
      <x v="15"/>
      <x v="1"/>
      <x v="17"/>
    </i>
    <i r="1">
      <x v="7"/>
      <x v="16"/>
    </i>
    <i r="1">
      <x v="8"/>
      <x v="51"/>
    </i>
    <i>
      <x v="16"/>
      <x v="6"/>
      <x v="4"/>
    </i>
    <i r="1">
      <x v="7"/>
      <x v="12"/>
    </i>
    <i r="1">
      <x v="8"/>
      <x v="61"/>
    </i>
    <i>
      <x v="17"/>
      <x v="3"/>
      <x v="2"/>
    </i>
    <i r="1">
      <x v="7"/>
      <x v="21"/>
    </i>
    <i r="1">
      <x v="8"/>
      <x v="63"/>
    </i>
    <i r="1">
      <x v="10"/>
      <x v="73"/>
    </i>
    <i r="1">
      <x v="11"/>
      <x v="73"/>
    </i>
    <i r="1">
      <x v="12"/>
      <x v="128"/>
    </i>
    <i r="1">
      <x v="13"/>
      <x v="143"/>
    </i>
    <i r="1">
      <x v="14"/>
      <x v="176"/>
    </i>
    <i>
      <x v="18"/>
      <x v="7"/>
      <x v="18"/>
    </i>
    <i r="1">
      <x v="10"/>
      <x v="76"/>
    </i>
    <i r="1">
      <x v="11"/>
      <x v="93"/>
    </i>
    <i r="1">
      <x v="12"/>
      <x v="93"/>
    </i>
    <i r="1">
      <x v="13"/>
      <x v="93"/>
    </i>
    <i r="1">
      <x v="14"/>
      <x v="180"/>
    </i>
    <i>
      <x v="19"/>
      <x v="3"/>
      <x v="15"/>
    </i>
    <i r="1">
      <x v="7"/>
      <x v="22"/>
    </i>
    <i r="1">
      <x v="8"/>
      <x v="58"/>
    </i>
    <i r="1">
      <x v="10"/>
      <x v="72"/>
    </i>
    <i r="1">
      <x v="11"/>
      <x v="90"/>
    </i>
    <i r="1">
      <x v="12"/>
      <x v="90"/>
    </i>
    <i r="1">
      <x v="13"/>
      <x v="90"/>
    </i>
    <i>
      <x v="20"/>
      <x v="3"/>
      <x v="27"/>
    </i>
    <i r="1">
      <x v="7"/>
      <x v="21"/>
    </i>
    <i r="1">
      <x v="8"/>
      <x v="51"/>
    </i>
    <i>
      <x v="21"/>
      <x v="6"/>
      <x v="43"/>
    </i>
    <i r="1">
      <x v="7"/>
      <x v="14"/>
    </i>
    <i r="1">
      <x v="8"/>
      <x v="64"/>
    </i>
    <i r="1">
      <x v="10"/>
      <x v="74"/>
    </i>
    <i r="1">
      <x v="11"/>
      <x v="91"/>
    </i>
    <i r="1">
      <x v="12"/>
      <x v="129"/>
    </i>
    <i r="2">
      <x v="130"/>
    </i>
    <i r="1">
      <x v="13"/>
      <x v="145"/>
    </i>
    <i r="1">
      <x v="14"/>
      <x v="179"/>
    </i>
    <i r="2">
      <x v="189"/>
    </i>
    <i>
      <x v="22"/>
      <x v="8"/>
      <x v="51"/>
    </i>
    <i>
      <x v="23"/>
      <x v="6"/>
      <x v="3"/>
    </i>
    <i r="1">
      <x v="7"/>
      <x v="21"/>
    </i>
    <i r="1">
      <x v="8"/>
      <x v="65"/>
    </i>
    <i r="1">
      <x v="10"/>
      <x v="73"/>
    </i>
    <i r="1">
      <x v="11"/>
      <x v="73"/>
    </i>
    <i r="1">
      <x v="12"/>
      <x v="124"/>
    </i>
    <i r="1">
      <x v="13"/>
      <x v="144"/>
    </i>
    <i r="1">
      <x v="14"/>
      <x v="177"/>
    </i>
    <i>
      <x v="25"/>
      <x v="8"/>
      <x v="46"/>
    </i>
    <i>
      <x v="26"/>
      <x v="8"/>
      <x v="48"/>
    </i>
    <i r="1">
      <x v="10"/>
      <x v="48"/>
    </i>
    <i>
      <x v="27"/>
      <x v="10"/>
      <x v="66"/>
    </i>
    <i>
      <x v="37"/>
      <x v="11"/>
      <x v="87"/>
    </i>
    <i>
      <x v="41"/>
      <x v="11"/>
      <x v="102"/>
    </i>
    <i r="1">
      <x v="12"/>
      <x v="120"/>
    </i>
    <i r="1">
      <x v="13"/>
      <x v="151"/>
    </i>
    <i>
      <x v="42"/>
      <x v="11"/>
      <x v="103"/>
    </i>
    <i r="1">
      <x v="12"/>
      <x v="115"/>
    </i>
    <i r="1">
      <x v="13"/>
      <x v="148"/>
    </i>
    <i r="1">
      <x v="14"/>
      <x v="138"/>
    </i>
    <i>
      <x v="43"/>
      <x v="11"/>
      <x v="88"/>
    </i>
    <i r="1">
      <x v="12"/>
      <x v="106"/>
    </i>
    <i r="1">
      <x v="13"/>
      <x v="139"/>
    </i>
    <i r="1">
      <x v="14"/>
      <x v="170"/>
    </i>
    <i>
      <x v="44"/>
      <x v="12"/>
      <x v="104"/>
    </i>
    <i r="1">
      <x v="13"/>
      <x v="104"/>
    </i>
    <i r="1">
      <x v="14"/>
      <x v="104"/>
    </i>
    <i r="1">
      <x v="15"/>
      <x v="193"/>
    </i>
    <i>
      <x v="55"/>
      <x v="13"/>
      <x v="137"/>
    </i>
    <i r="1">
      <x v="14"/>
      <x v="168"/>
    </i>
    <i>
      <x v="74"/>
      <x v="14"/>
      <x v="175"/>
    </i>
    <i r="1">
      <x v="15"/>
      <x v="194"/>
    </i>
    <i t="grand">
      <x/>
    </i>
  </rowItems>
  <colItems count="1">
    <i/>
  </colItems>
  <pageFields count="1">
    <pageField fld="16" hier="-1"/>
  </pageFields>
  <formats count="16">
    <format dxfId="21">
      <pivotArea dataOnly="0" labelOnly="1" outline="0" fieldPosition="0">
        <references count="1">
          <reference field="7" count="1" defaultSubtotal="1">
            <x v="0"/>
          </reference>
        </references>
      </pivotArea>
    </format>
    <format dxfId="20">
      <pivotArea dataOnly="0" labelOnly="1" outline="0" fieldPosition="0">
        <references count="1">
          <reference field="7" count="1" defaultSubtotal="1">
            <x v="21"/>
          </reference>
        </references>
      </pivotArea>
    </format>
    <format dxfId="19">
      <pivotArea dataOnly="0" labelOnly="1" outline="0" fieldPosition="0">
        <references count="3">
          <reference field="1" count="1" selected="0">
            <x v="7"/>
          </reference>
          <reference field="7" count="1" selected="0">
            <x v="0"/>
          </reference>
          <reference field="15" count="1">
            <x v="1"/>
          </reference>
        </references>
      </pivotArea>
    </format>
    <format dxfId="18">
      <pivotArea dataOnly="0" labelOnly="1" outline="0" fieldPosition="0">
        <references count="3">
          <reference field="1" count="1" selected="0">
            <x v="7"/>
          </reference>
          <reference field="7" count="1" selected="0">
            <x v="21"/>
          </reference>
          <reference field="15" count="1">
            <x v="14"/>
          </reference>
        </references>
      </pivotArea>
    </format>
    <format dxfId="17">
      <pivotArea dataOnly="0" labelOnly="1" outline="0" fieldPosition="0">
        <references count="3">
          <reference field="1" count="1" selected="0">
            <x v="11"/>
          </reference>
          <reference field="7" count="1" selected="0">
            <x v="19"/>
          </reference>
          <reference field="15" count="1">
            <x v="90"/>
          </reference>
        </references>
      </pivotArea>
    </format>
    <format dxfId="16">
      <pivotArea dataOnly="0" labelOnly="1" outline="0" fieldPosition="0">
        <references count="3">
          <reference field="1" count="1" selected="0">
            <x v="12"/>
          </reference>
          <reference field="7" count="1" selected="0">
            <x v="19"/>
          </reference>
          <reference field="15" count="1">
            <x v="90"/>
          </reference>
        </references>
      </pivotArea>
    </format>
    <format dxfId="15">
      <pivotArea dataOnly="0" labelOnly="1" outline="0" fieldPosition="0">
        <references count="3">
          <reference field="1" count="1" selected="0">
            <x v="13"/>
          </reference>
          <reference field="7" count="1" selected="0">
            <x v="19"/>
          </reference>
          <reference field="15" count="1">
            <x v="90"/>
          </reference>
        </references>
      </pivotArea>
    </format>
    <format dxfId="14">
      <pivotArea dataOnly="0" labelOnly="1" outline="0" fieldPosition="0">
        <references count="3">
          <reference field="1" count="1" selected="0">
            <x v="7"/>
          </reference>
          <reference field="7" count="1" selected="0">
            <x v="22"/>
          </reference>
          <reference field="15" count="1">
            <x v="32"/>
          </reference>
        </references>
      </pivotArea>
    </format>
    <format dxfId="13">
      <pivotArea dataOnly="0" labelOnly="1" outline="0" fieldPosition="0">
        <references count="3">
          <reference field="1" count="1" selected="0">
            <x v="8"/>
          </reference>
          <reference field="7" count="1" selected="0">
            <x v="22"/>
          </reference>
          <reference field="15" count="1">
            <x v="51"/>
          </reference>
        </references>
      </pivotArea>
    </format>
    <format dxfId="12">
      <pivotArea dataOnly="0" labelOnly="1" outline="0" fieldPosition="0">
        <references count="3">
          <reference field="1" count="1" selected="0">
            <x v="11"/>
          </reference>
          <reference field="7" count="1" selected="0">
            <x v="37"/>
          </reference>
          <reference field="15" count="1">
            <x v="87"/>
          </reference>
        </references>
      </pivotArea>
    </format>
    <format dxfId="11">
      <pivotArea dataOnly="0" labelOnly="1" outline="0" fieldPosition="0">
        <references count="3">
          <reference field="1" count="1" selected="0">
            <x v="12"/>
          </reference>
          <reference field="7" count="1" selected="0">
            <x v="44"/>
          </reference>
          <reference field="15" count="1">
            <x v="104"/>
          </reference>
        </references>
      </pivotArea>
    </format>
    <format dxfId="10">
      <pivotArea dataOnly="0" labelOnly="1" outline="0" fieldPosition="0">
        <references count="3">
          <reference field="1" count="1" selected="0">
            <x v="13"/>
          </reference>
          <reference field="7" count="1" selected="0">
            <x v="44"/>
          </reference>
          <reference field="15" count="1">
            <x v="104"/>
          </reference>
        </references>
      </pivotArea>
    </format>
    <format dxfId="9">
      <pivotArea dataOnly="0" labelOnly="1" outline="0" fieldPosition="0">
        <references count="3">
          <reference field="1" count="1" selected="0">
            <x v="14"/>
          </reference>
          <reference field="7" count="1" selected="0">
            <x v="44"/>
          </reference>
          <reference field="15" count="1">
            <x v="104"/>
          </reference>
        </references>
      </pivotArea>
    </format>
    <format dxfId="8">
      <pivotArea dataOnly="0" labelOnly="1" outline="0" fieldPosition="0">
        <references count="3">
          <reference field="1" count="1" selected="0">
            <x v="15"/>
          </reference>
          <reference field="7" count="1" selected="0">
            <x v="44"/>
          </reference>
          <reference field="15" count="1">
            <x v="193"/>
          </reference>
        </references>
      </pivotArea>
    </format>
    <format dxfId="7">
      <pivotArea dataOnly="0" labelOnly="1" outline="0" fieldPosition="0">
        <references count="3">
          <reference field="1" count="1" selected="0">
            <x v="14"/>
          </reference>
          <reference field="7" count="1" selected="0">
            <x v="74"/>
          </reference>
          <reference field="15" count="1">
            <x v="175"/>
          </reference>
        </references>
      </pivotArea>
    </format>
    <format dxfId="6">
      <pivotArea dataOnly="0" labelOnly="1" outline="0" fieldPosition="0">
        <references count="3">
          <reference field="1" count="1" selected="0">
            <x v="15"/>
          </reference>
          <reference field="7" count="1" selected="0">
            <x v="74"/>
          </reference>
          <reference field="15" count="1">
            <x v="19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DFF654-DFDA-4963-BE62-38176D9F93E8}" name="TablaDinámica2" cacheId="0" applyNumberFormats="0" applyBorderFormats="0" applyFontFormats="0" applyPatternFormats="0" applyAlignmentFormats="0" applyWidthHeightFormats="1" dataCaption="Valores" updatedVersion="8" minRefreshableVersion="5" useAutoFormatting="1" itemPrintTitles="1" createdVersion="8" indent="0" compact="0" compactData="0" multipleFieldFilters="0">
  <location ref="A21:D31" firstHeaderRow="1" firstDataRow="1" firstDataCol="3" rowPageCount="1" colPageCount="1"/>
  <pivotFields count="23">
    <pivotField compact="0" outline="0" showAll="0"/>
    <pivotField axis="axisRow" compact="0" outline="0" showAll="0" defaultSubtotal="0">
      <items count="16">
        <item m="1" x="15"/>
        <item x="0"/>
        <item x="1"/>
        <item x="2"/>
        <item m="1" x="13"/>
        <item m="1" x="14"/>
        <item x="3"/>
        <item x="4"/>
        <item x="5"/>
        <item m="1" x="12"/>
        <item x="6"/>
        <item x="7"/>
        <item x="8"/>
        <item x="9"/>
        <item x="10"/>
        <item x="11"/>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75">
        <item x="23"/>
        <item x="4"/>
        <item x="2"/>
        <item x="9"/>
        <item x="12"/>
        <item x="3"/>
        <item x="14"/>
        <item x="5"/>
        <item x="17"/>
        <item x="8"/>
        <item x="15"/>
        <item x="11"/>
        <item x="10"/>
        <item x="13"/>
        <item x="6"/>
        <item x="0"/>
        <item x="21"/>
        <item x="19"/>
        <item x="24"/>
        <item x="18"/>
        <item x="16"/>
        <item x="22"/>
        <item x="7"/>
        <item x="20"/>
        <item x="1"/>
        <item x="25"/>
        <item x="26"/>
        <item x="27"/>
        <item x="28"/>
        <item x="29"/>
        <item x="30"/>
        <item x="31"/>
        <item x="32"/>
        <item x="33"/>
        <item x="34"/>
        <item x="35"/>
        <item x="36"/>
        <item x="37"/>
        <item x="38"/>
        <item x="41"/>
        <item x="42"/>
        <item x="43"/>
        <item x="40"/>
        <item x="39"/>
        <item x="44"/>
        <item x="45"/>
        <item x="46"/>
        <item x="47"/>
        <item x="48"/>
        <item x="49"/>
        <item x="50"/>
        <item x="51"/>
        <item x="52"/>
        <item x="53"/>
        <item x="54"/>
        <item x="55"/>
        <item m="1" x="68"/>
        <item m="1" x="69"/>
        <item m="1" x="70"/>
        <item m="1" x="71"/>
        <item m="1" x="72"/>
        <item m="1" x="73"/>
        <item m="1" x="74"/>
        <item x="57"/>
        <item x="58"/>
        <item x="59"/>
        <item x="60"/>
        <item x="61"/>
        <item x="62"/>
        <item x="63"/>
        <item x="64"/>
        <item x="65"/>
        <item x="66"/>
        <item x="67"/>
        <item x="5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96">
        <item x="5"/>
        <item x="18"/>
        <item x="19"/>
        <item x="20"/>
        <item x="14"/>
        <item x="4"/>
        <item x="17"/>
        <item x="0"/>
        <item x="13"/>
        <item x="1"/>
        <item x="2"/>
        <item x="15"/>
        <item x="16"/>
        <item x="3"/>
        <item x="11"/>
        <item x="12"/>
        <item x="8"/>
        <item x="7"/>
        <item x="9"/>
        <item x="10"/>
        <item x="6"/>
        <item x="21"/>
        <item x="22"/>
        <item x="23"/>
        <item x="24"/>
        <item x="25"/>
        <item x="26"/>
        <item x="27"/>
        <item x="28"/>
        <item x="29"/>
        <item x="30"/>
        <item x="31"/>
        <item x="32"/>
        <item m="1" x="194"/>
        <item x="34"/>
        <item x="35"/>
        <item x="36"/>
        <item x="37"/>
        <item x="38"/>
        <item x="39"/>
        <item x="40"/>
        <item x="41"/>
        <item x="42"/>
        <item x="43"/>
        <item x="44"/>
        <item x="33"/>
        <item x="45"/>
        <item x="46"/>
        <item x="47"/>
        <item x="48"/>
        <item x="49"/>
        <item x="52"/>
        <item x="53"/>
        <item x="54"/>
        <item x="55"/>
        <item x="57"/>
        <item m="1" x="192"/>
        <item m="1" x="191"/>
        <item x="60"/>
        <item m="1" x="193"/>
        <item x="51"/>
        <item x="56"/>
        <item x="50"/>
        <item x="58"/>
        <item x="61"/>
        <item x="59"/>
        <item x="62"/>
        <item x="63"/>
        <item x="64"/>
        <item x="65"/>
        <item x="66"/>
        <item x="67"/>
        <item x="68"/>
        <item x="69"/>
        <item x="70"/>
        <item x="71"/>
        <item x="72"/>
        <item x="73"/>
        <item x="74"/>
        <item x="75"/>
        <item x="76"/>
        <item x="77"/>
        <item x="78"/>
        <item x="79"/>
        <item x="80"/>
        <item x="81"/>
        <item x="82"/>
        <item x="83"/>
        <item x="84"/>
        <item x="85"/>
        <item x="86"/>
        <item x="87"/>
        <item x="88"/>
        <item x="89"/>
        <item x="90"/>
        <item m="1" x="190"/>
        <item x="92"/>
        <item x="93"/>
        <item x="94"/>
        <item x="95"/>
        <item x="96"/>
        <item x="97"/>
        <item x="98"/>
        <item x="91"/>
        <item x="99"/>
        <item x="100"/>
        <item x="101"/>
        <item x="102"/>
        <item x="103"/>
        <item m="1" x="186"/>
        <item m="1" x="189"/>
        <item m="1" x="187"/>
        <item x="108"/>
        <item x="109"/>
        <item x="110"/>
        <item x="111"/>
        <item x="112"/>
        <item x="113"/>
        <item x="114"/>
        <item x="115"/>
        <item x="117"/>
        <item x="118"/>
        <item x="119"/>
        <item x="120"/>
        <item x="105"/>
        <item x="116"/>
        <item m="1" x="188"/>
        <item x="122"/>
        <item x="104"/>
        <item x="106"/>
        <item x="107"/>
        <item x="121"/>
        <item x="123"/>
        <item x="124"/>
        <item x="125"/>
        <item x="126"/>
        <item x="127"/>
        <item x="128"/>
        <item x="129"/>
        <item x="130"/>
        <item x="131"/>
        <item x="132"/>
        <item x="133"/>
        <item x="134"/>
        <item x="135"/>
        <item x="136"/>
        <item x="137"/>
        <item x="138"/>
        <item x="139"/>
        <item x="140"/>
        <item x="141"/>
        <item x="142"/>
        <item x="143"/>
        <item x="144"/>
        <item x="145"/>
        <item x="146"/>
        <item x="147"/>
        <item m="1" x="176"/>
        <item m="1" x="177"/>
        <item m="1" x="178"/>
        <item m="1" x="179"/>
        <item m="1" x="180"/>
        <item m="1" x="181"/>
        <item m="1" x="174"/>
        <item m="1" x="182"/>
        <item m="1" x="183"/>
        <item m="1" x="184"/>
        <item m="1" x="185"/>
        <item x="148"/>
        <item x="149"/>
        <item x="150"/>
        <item x="151"/>
        <item x="152"/>
        <item x="153"/>
        <item x="154"/>
        <item x="155"/>
        <item x="156"/>
        <item x="157"/>
        <item m="1" x="175"/>
        <item x="159"/>
        <item x="160"/>
        <item x="161"/>
        <item x="162"/>
        <item x="163"/>
        <item x="164"/>
        <item x="165"/>
        <item x="166"/>
        <item x="167"/>
        <item x="168"/>
        <item x="158"/>
        <item x="169"/>
        <item m="1" x="173"/>
        <item x="171"/>
        <item x="172"/>
        <item x="170"/>
        <item t="default"/>
      </items>
    </pivotField>
    <pivotField axis="axisPage" compact="0" outline="0" showAll="0">
      <items count="9">
        <item h="1" x="2"/>
        <item h="1" x="4"/>
        <item h="1" x="1"/>
        <item h="1" x="3"/>
        <item x="0"/>
        <item h="1" x="5"/>
        <item h="1" x="6"/>
        <item h="1" m="1" x="7"/>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s>
  <rowFields count="3">
    <field x="1"/>
    <field x="7"/>
    <field x="15"/>
  </rowFields>
  <rowItems count="10">
    <i>
      <x v="14"/>
      <x v="8"/>
      <x v="174"/>
    </i>
    <i r="1">
      <x v="17"/>
      <x v="176"/>
    </i>
    <i r="1">
      <x v="18"/>
      <x v="180"/>
    </i>
    <i r="1">
      <x v="21"/>
      <x v="179"/>
    </i>
    <i r="2">
      <x v="189"/>
    </i>
    <i r="1">
      <x v="23"/>
      <x v="177"/>
    </i>
    <i r="1">
      <x v="42"/>
      <x v="138"/>
    </i>
    <i r="1">
      <x v="43"/>
      <x v="170"/>
    </i>
    <i r="1">
      <x v="55"/>
      <x v="168"/>
    </i>
    <i t="grand">
      <x/>
    </i>
  </rowItems>
  <colItems count="1">
    <i/>
  </colItems>
  <pageFields count="1">
    <pageField fld="16" item="4" hier="-1"/>
  </pageFields>
  <dataFields count="1">
    <dataField name="Cuenta de No. Cotización" fld="18" subtotal="count" baseField="0" baseItem="0"/>
  </dataFields>
  <formats count="70">
    <format dxfId="91">
      <pivotArea dataOnly="0" labelOnly="1" outline="0" fieldPosition="0">
        <references count="2">
          <reference field="1" count="1" selected="0">
            <x v="6"/>
          </reference>
          <reference field="15" count="3">
            <x v="2"/>
            <x v="3"/>
            <x v="21"/>
          </reference>
        </references>
      </pivotArea>
    </format>
    <format dxfId="90">
      <pivotArea dataOnly="0" labelOnly="1" outline="0" fieldPosition="0">
        <references count="2">
          <reference field="1" count="1" selected="0">
            <x v="3"/>
          </reference>
          <reference field="15" count="10">
            <x v="1"/>
            <x v="4"/>
            <x v="6"/>
            <x v="8"/>
            <x v="11"/>
            <x v="12"/>
            <x v="14"/>
            <x v="15"/>
            <x v="18"/>
            <x v="19"/>
          </reference>
        </references>
      </pivotArea>
    </format>
    <format dxfId="89">
      <pivotArea dataOnly="0" labelOnly="1" outline="0" fieldPosition="0">
        <references count="2">
          <reference field="1" count="1" selected="0">
            <x v="7"/>
          </reference>
          <reference field="15" count="23">
            <x v="22"/>
            <x v="23"/>
            <x v="24"/>
            <x v="25"/>
            <x v="26"/>
            <x v="27"/>
            <x v="28"/>
            <x v="29"/>
            <x v="30"/>
            <x v="31"/>
            <x v="32"/>
            <x v="33"/>
            <x v="34"/>
            <x v="35"/>
            <x v="36"/>
            <x v="37"/>
            <x v="38"/>
            <x v="39"/>
            <x v="40"/>
            <x v="41"/>
            <x v="42"/>
            <x v="43"/>
            <x v="44"/>
          </reference>
        </references>
      </pivotArea>
    </format>
    <format dxfId="88">
      <pivotArea dataOnly="0" labelOnly="1" outline="0" axis="axisValues" fieldPosition="0"/>
    </format>
    <format dxfId="87">
      <pivotArea dataOnly="0" labelOnly="1" outline="0" fieldPosition="0">
        <references count="3">
          <reference field="1" count="1" selected="0">
            <x v="11"/>
          </reference>
          <reference field="7" count="1" selected="0">
            <x v="26"/>
          </reference>
          <reference field="15" count="1">
            <x v="88"/>
          </reference>
        </references>
      </pivotArea>
    </format>
    <format dxfId="86">
      <pivotArea dataOnly="0" labelOnly="1" outline="0" fieldPosition="0">
        <references count="3">
          <reference field="1" count="1" selected="0">
            <x v="1"/>
          </reference>
          <reference field="7" count="1" selected="0">
            <x v="15"/>
          </reference>
          <reference field="15" count="1">
            <x v="7"/>
          </reference>
        </references>
      </pivotArea>
    </format>
    <format dxfId="85">
      <pivotArea dataOnly="0" labelOnly="1" outline="0" fieldPosition="0">
        <references count="3">
          <reference field="1" count="1" selected="0">
            <x v="3"/>
          </reference>
          <reference field="7" count="1" selected="0">
            <x v="8"/>
          </reference>
          <reference field="15" count="1">
            <x v="12"/>
          </reference>
        </references>
      </pivotArea>
    </format>
    <format dxfId="84">
      <pivotArea dataOnly="0" labelOnly="1" outline="0" fieldPosition="0">
        <references count="3">
          <reference field="1" count="1" selected="0">
            <x v="3"/>
          </reference>
          <reference field="7" count="1" selected="0">
            <x v="17"/>
          </reference>
          <reference field="15" count="1">
            <x v="1"/>
          </reference>
        </references>
      </pivotArea>
    </format>
    <format dxfId="83">
      <pivotArea dataOnly="0" labelOnly="1" outline="0" fieldPosition="0">
        <references count="3">
          <reference field="1" count="1" selected="0">
            <x v="3"/>
          </reference>
          <reference field="7" count="1" selected="0">
            <x v="19"/>
          </reference>
          <reference field="15" count="1">
            <x v="6"/>
          </reference>
        </references>
      </pivotArea>
    </format>
    <format dxfId="82">
      <pivotArea dataOnly="0" labelOnly="1" outline="0" fieldPosition="0">
        <references count="3">
          <reference field="1" count="1" selected="0">
            <x v="3"/>
          </reference>
          <reference field="7" count="1" selected="0">
            <x v="20"/>
          </reference>
          <reference field="15" count="1">
            <x v="11"/>
          </reference>
        </references>
      </pivotArea>
    </format>
    <format dxfId="81">
      <pivotArea dataOnly="0" labelOnly="1" outline="0" fieldPosition="0">
        <references count="3">
          <reference field="1" count="1" selected="0">
            <x v="6"/>
          </reference>
          <reference field="7" count="1" selected="0">
            <x v="16"/>
          </reference>
          <reference field="15" count="1">
            <x v="3"/>
          </reference>
        </references>
      </pivotArea>
    </format>
    <format dxfId="80">
      <pivotArea dataOnly="0" labelOnly="1" outline="0" fieldPosition="0">
        <references count="3">
          <reference field="1" count="1" selected="0">
            <x v="6"/>
          </reference>
          <reference field="7" count="1" selected="0">
            <x v="21"/>
          </reference>
          <reference field="15" count="1">
            <x v="21"/>
          </reference>
        </references>
      </pivotArea>
    </format>
    <format dxfId="79">
      <pivotArea dataOnly="0" labelOnly="1" outline="0" fieldPosition="0">
        <references count="3">
          <reference field="1" count="1" selected="0">
            <x v="6"/>
          </reference>
          <reference field="7" count="1" selected="0">
            <x v="23"/>
          </reference>
          <reference field="15" count="1">
            <x v="2"/>
          </reference>
        </references>
      </pivotArea>
    </format>
    <format dxfId="78">
      <pivotArea dataOnly="0" labelOnly="1" outline="0" fieldPosition="0">
        <references count="3">
          <reference field="1" count="1" selected="0">
            <x v="7"/>
          </reference>
          <reference field="7" count="1" selected="0">
            <x v="8"/>
          </reference>
          <reference field="15" count="1">
            <x v="38"/>
          </reference>
        </references>
      </pivotArea>
    </format>
    <format dxfId="77">
      <pivotArea dataOnly="0" labelOnly="1" outline="0" fieldPosition="0">
        <references count="3">
          <reference field="1" count="1" selected="0">
            <x v="7"/>
          </reference>
          <reference field="7" count="1" selected="0">
            <x v="15"/>
          </reference>
          <reference field="15" count="1">
            <x v="22"/>
          </reference>
        </references>
      </pivotArea>
    </format>
    <format dxfId="76">
      <pivotArea dataOnly="0" labelOnly="1" outline="0" fieldPosition="0">
        <references count="3">
          <reference field="1" count="1" selected="0">
            <x v="7"/>
          </reference>
          <reference field="7" count="1" selected="0">
            <x v="16"/>
          </reference>
          <reference field="15" count="1">
            <x v="40"/>
          </reference>
        </references>
      </pivotArea>
    </format>
    <format dxfId="75">
      <pivotArea dataOnly="0" labelOnly="1" outline="0" fieldPosition="0">
        <references count="3">
          <reference field="1" count="1" selected="0">
            <x v="7"/>
          </reference>
          <reference field="7" count="1" selected="0">
            <x v="17"/>
          </reference>
          <reference field="15" count="1">
            <x v="37"/>
          </reference>
        </references>
      </pivotArea>
    </format>
    <format dxfId="74">
      <pivotArea dataOnly="0" labelOnly="1" outline="0" fieldPosition="0">
        <references count="3">
          <reference field="1" count="1" selected="0">
            <x v="7"/>
          </reference>
          <reference field="7" count="1" selected="0">
            <x v="18"/>
          </reference>
          <reference field="15" count="1">
            <x v="43"/>
          </reference>
        </references>
      </pivotArea>
    </format>
    <format dxfId="73">
      <pivotArea dataOnly="0" labelOnly="1" outline="0" fieldPosition="0">
        <references count="3">
          <reference field="1" count="1" selected="0">
            <x v="7"/>
          </reference>
          <reference field="7" count="1" selected="0">
            <x v="19"/>
          </reference>
          <reference field="15" count="1">
            <x v="39"/>
          </reference>
        </references>
      </pivotArea>
    </format>
    <format dxfId="72">
      <pivotArea dataOnly="0" labelOnly="1" outline="0" fieldPosition="0">
        <references count="3">
          <reference field="1" count="1" selected="0">
            <x v="7"/>
          </reference>
          <reference field="7" count="1" selected="0">
            <x v="20"/>
          </reference>
          <reference field="15" count="1">
            <x v="37"/>
          </reference>
        </references>
      </pivotArea>
    </format>
    <format dxfId="71">
      <pivotArea dataOnly="0" labelOnly="1" outline="0" fieldPosition="0">
        <references count="3">
          <reference field="1" count="1" selected="0">
            <x v="7"/>
          </reference>
          <reference field="7" count="1" selected="0">
            <x v="23"/>
          </reference>
          <reference field="15" count="1">
            <x v="37"/>
          </reference>
        </references>
      </pivotArea>
    </format>
    <format dxfId="70">
      <pivotArea dataOnly="0" labelOnly="1" outline="0" fieldPosition="0">
        <references count="3">
          <reference field="1" count="1" selected="0">
            <x v="8"/>
          </reference>
          <reference field="7" count="1" selected="0">
            <x v="8"/>
          </reference>
          <reference field="15" count="1">
            <x v="61"/>
          </reference>
        </references>
      </pivotArea>
    </format>
    <format dxfId="69">
      <pivotArea dataOnly="0" labelOnly="1" outline="0" fieldPosition="0">
        <references count="3">
          <reference field="1" count="1" selected="0">
            <x v="8"/>
          </reference>
          <reference field="7" count="1" selected="0">
            <x v="15"/>
          </reference>
          <reference field="15" count="1">
            <x v="62"/>
          </reference>
        </references>
      </pivotArea>
    </format>
    <format dxfId="68">
      <pivotArea dataOnly="0" labelOnly="1" outline="0" fieldPosition="0">
        <references count="3">
          <reference field="1" count="1" selected="0">
            <x v="8"/>
          </reference>
          <reference field="7" count="1" selected="0">
            <x v="16"/>
          </reference>
          <reference field="15" count="1">
            <x v="58"/>
          </reference>
        </references>
      </pivotArea>
    </format>
    <format dxfId="67">
      <pivotArea dataOnly="0" labelOnly="1" outline="0" fieldPosition="0">
        <references count="3">
          <reference field="1" count="1" selected="0">
            <x v="8"/>
          </reference>
          <reference field="7" count="1" selected="0">
            <x v="17"/>
          </reference>
          <reference field="15" count="1">
            <x v="63"/>
          </reference>
        </references>
      </pivotArea>
    </format>
    <format dxfId="66">
      <pivotArea dataOnly="0" labelOnly="1" outline="0" fieldPosition="0">
        <references count="3">
          <reference field="1" count="1" selected="0">
            <x v="8"/>
          </reference>
          <reference field="7" count="1" selected="0">
            <x v="19"/>
          </reference>
          <reference field="15" count="1">
            <x v="55"/>
          </reference>
        </references>
      </pivotArea>
    </format>
    <format dxfId="65">
      <pivotArea dataOnly="0" labelOnly="1" outline="0" fieldPosition="0">
        <references count="3">
          <reference field="1" count="1" selected="0">
            <x v="8"/>
          </reference>
          <reference field="7" count="1" selected="0">
            <x v="20"/>
          </reference>
          <reference field="15" count="1">
            <x v="62"/>
          </reference>
        </references>
      </pivotArea>
    </format>
    <format dxfId="64">
      <pivotArea dataOnly="0" labelOnly="1" outline="0" fieldPosition="0">
        <references count="3">
          <reference field="1" count="1" selected="0">
            <x v="8"/>
          </reference>
          <reference field="7" count="1" selected="0">
            <x v="23"/>
          </reference>
          <reference field="15" count="1">
            <x v="65"/>
          </reference>
        </references>
      </pivotArea>
    </format>
    <format dxfId="63">
      <pivotArea dataOnly="0" labelOnly="1" outline="0" fieldPosition="0">
        <references count="3">
          <reference field="1" count="1" selected="0">
            <x v="8"/>
          </reference>
          <reference field="7" count="1" selected="0">
            <x v="25"/>
          </reference>
          <reference field="15" count="1">
            <x v="46"/>
          </reference>
        </references>
      </pivotArea>
    </format>
    <format dxfId="62">
      <pivotArea dataOnly="0" labelOnly="1" outline="0" fieldPosition="0">
        <references count="3">
          <reference field="1" count="1" selected="0">
            <x v="8"/>
          </reference>
          <reference field="7" count="1" selected="0">
            <x v="26"/>
          </reference>
          <reference field="15" count="1">
            <x v="48"/>
          </reference>
        </references>
      </pivotArea>
    </format>
    <format dxfId="61">
      <pivotArea dataOnly="0" labelOnly="1" outline="0" fieldPosition="0">
        <references count="3">
          <reference field="1" count="1" selected="0">
            <x v="10"/>
          </reference>
          <reference field="7" count="1" selected="0">
            <x v="8"/>
          </reference>
          <reference field="15" count="1">
            <x v="71"/>
          </reference>
        </references>
      </pivotArea>
    </format>
    <format dxfId="60">
      <pivotArea dataOnly="0" labelOnly="1" outline="0" fieldPosition="0">
        <references count="3">
          <reference field="1" count="1" selected="0">
            <x v="10"/>
          </reference>
          <reference field="7" count="1" selected="0">
            <x v="17"/>
          </reference>
          <reference field="15" count="1">
            <x v="73"/>
          </reference>
        </references>
      </pivotArea>
    </format>
    <format dxfId="59">
      <pivotArea dataOnly="0" labelOnly="1" outline="0" fieldPosition="0">
        <references count="3">
          <reference field="1" count="1" selected="0">
            <x v="10"/>
          </reference>
          <reference field="7" count="1" selected="0">
            <x v="18"/>
          </reference>
          <reference field="15" count="1">
            <x v="76"/>
          </reference>
        </references>
      </pivotArea>
    </format>
    <format dxfId="58">
      <pivotArea dataOnly="0" labelOnly="1" outline="0" fieldPosition="0">
        <references count="3">
          <reference field="1" count="1" selected="0">
            <x v="10"/>
          </reference>
          <reference field="7" count="1" selected="0">
            <x v="19"/>
          </reference>
          <reference field="15" count="1">
            <x v="72"/>
          </reference>
        </references>
      </pivotArea>
    </format>
    <format dxfId="57">
      <pivotArea dataOnly="0" labelOnly="1" outline="0" fieldPosition="0">
        <references count="3">
          <reference field="1" count="1" selected="0">
            <x v="10"/>
          </reference>
          <reference field="7" count="1" selected="0">
            <x v="23"/>
          </reference>
          <reference field="15" count="1">
            <x v="73"/>
          </reference>
        </references>
      </pivotArea>
    </format>
    <format dxfId="56">
      <pivotArea dataOnly="0" labelOnly="1" outline="0" fieldPosition="0">
        <references count="3">
          <reference field="1" count="1" selected="0">
            <x v="10"/>
          </reference>
          <reference field="7" count="1" selected="0">
            <x v="26"/>
          </reference>
          <reference field="15" count="1">
            <x v="48"/>
          </reference>
        </references>
      </pivotArea>
    </format>
    <format dxfId="55">
      <pivotArea dataOnly="0" labelOnly="1" outline="0" fieldPosition="0">
        <references count="3">
          <reference field="1" count="1" selected="0">
            <x v="10"/>
          </reference>
          <reference field="7" count="1" selected="0">
            <x v="27"/>
          </reference>
          <reference field="15" count="1">
            <x v="66"/>
          </reference>
        </references>
      </pivotArea>
    </format>
    <format dxfId="54">
      <pivotArea dataOnly="0" labelOnly="1" outline="0" fieldPosition="0">
        <references count="3">
          <reference field="1" count="1" selected="0">
            <x v="11"/>
          </reference>
          <reference field="7" count="1" selected="0">
            <x v="8"/>
          </reference>
          <reference field="15" count="1">
            <x v="71"/>
          </reference>
        </references>
      </pivotArea>
    </format>
    <format dxfId="53">
      <pivotArea dataOnly="0" labelOnly="1" outline="0" fieldPosition="0">
        <references count="3">
          <reference field="1" count="1" selected="0">
            <x v="11"/>
          </reference>
          <reference field="7" count="1" selected="0">
            <x v="17"/>
          </reference>
          <reference field="15" count="1">
            <x v="73"/>
          </reference>
        </references>
      </pivotArea>
    </format>
    <format dxfId="52">
      <pivotArea dataOnly="0" labelOnly="1" outline="0" fieldPosition="0">
        <references count="3">
          <reference field="1" count="1" selected="0">
            <x v="11"/>
          </reference>
          <reference field="7" count="1" selected="0">
            <x v="18"/>
          </reference>
          <reference field="15" count="1">
            <x v="93"/>
          </reference>
        </references>
      </pivotArea>
    </format>
    <format dxfId="51">
      <pivotArea dataOnly="0" labelOnly="1" outline="0" fieldPosition="0">
        <references count="3">
          <reference field="1" count="1" selected="0">
            <x v="11"/>
          </reference>
          <reference field="7" count="1" selected="0">
            <x v="21"/>
          </reference>
          <reference field="15" count="1">
            <x v="91"/>
          </reference>
        </references>
      </pivotArea>
    </format>
    <format dxfId="50">
      <pivotArea dataOnly="0" labelOnly="1" outline="0" fieldPosition="0">
        <references count="3">
          <reference field="1" count="1" selected="0">
            <x v="11"/>
          </reference>
          <reference field="7" count="1" selected="0">
            <x v="23"/>
          </reference>
          <reference field="15" count="1">
            <x v="73"/>
          </reference>
        </references>
      </pivotArea>
    </format>
    <format dxfId="49">
      <pivotArea dataOnly="0" labelOnly="1" outline="0" fieldPosition="0">
        <references count="3">
          <reference field="1" count="1" selected="0">
            <x v="11"/>
          </reference>
          <reference field="7" count="1" selected="0">
            <x v="41"/>
          </reference>
          <reference field="15" count="1">
            <x v="102"/>
          </reference>
        </references>
      </pivotArea>
    </format>
    <format dxfId="48">
      <pivotArea dataOnly="0" labelOnly="1" outline="0" fieldPosition="0">
        <references count="3">
          <reference field="1" count="1" selected="0">
            <x v="11"/>
          </reference>
          <reference field="7" count="1" selected="0">
            <x v="42"/>
          </reference>
          <reference field="15" count="1">
            <x v="103"/>
          </reference>
        </references>
      </pivotArea>
    </format>
    <format dxfId="47">
      <pivotArea dataOnly="0" labelOnly="1" outline="0" fieldPosition="0">
        <references count="3">
          <reference field="1" count="1" selected="0">
            <x v="11"/>
          </reference>
          <reference field="7" count="1" selected="0">
            <x v="43"/>
          </reference>
          <reference field="15" count="1">
            <x v="88"/>
          </reference>
        </references>
      </pivotArea>
    </format>
    <format dxfId="46">
      <pivotArea dataOnly="0" labelOnly="1" outline="0" fieldPosition="0">
        <references count="3">
          <reference field="1" count="1" selected="0">
            <x v="12"/>
          </reference>
          <reference field="7" count="1" selected="0">
            <x v="8"/>
          </reference>
          <reference field="15" count="1">
            <x v="71"/>
          </reference>
        </references>
      </pivotArea>
    </format>
    <format dxfId="45">
      <pivotArea dataOnly="0" labelOnly="1" outline="0" fieldPosition="0">
        <references count="3">
          <reference field="1" count="1" selected="0">
            <x v="12"/>
          </reference>
          <reference field="7" count="1" selected="0">
            <x v="17"/>
          </reference>
          <reference field="15" count="1">
            <x v="128"/>
          </reference>
        </references>
      </pivotArea>
    </format>
    <format dxfId="44">
      <pivotArea dataOnly="0" labelOnly="1" outline="0" fieldPosition="0">
        <references count="3">
          <reference field="1" count="1" selected="0">
            <x v="12"/>
          </reference>
          <reference field="7" count="1" selected="0">
            <x v="18"/>
          </reference>
          <reference field="15" count="1">
            <x v="93"/>
          </reference>
        </references>
      </pivotArea>
    </format>
    <format dxfId="43">
      <pivotArea dataOnly="0" labelOnly="1" outline="0" fieldPosition="0">
        <references count="3">
          <reference field="1" count="1" selected="0">
            <x v="12"/>
          </reference>
          <reference field="7" count="1" selected="0">
            <x v="21"/>
          </reference>
          <reference field="15" count="2">
            <x v="129"/>
            <x v="130"/>
          </reference>
        </references>
      </pivotArea>
    </format>
    <format dxfId="42">
      <pivotArea dataOnly="0" labelOnly="1" outline="0" fieldPosition="0">
        <references count="3">
          <reference field="1" count="1" selected="0">
            <x v="12"/>
          </reference>
          <reference field="7" count="1" selected="0">
            <x v="23"/>
          </reference>
          <reference field="15" count="1">
            <x v="124"/>
          </reference>
        </references>
      </pivotArea>
    </format>
    <format dxfId="41">
      <pivotArea dataOnly="0" labelOnly="1" outline="0" fieldPosition="0">
        <references count="3">
          <reference field="1" count="1" selected="0">
            <x v="12"/>
          </reference>
          <reference field="7" count="1" selected="0">
            <x v="41"/>
          </reference>
          <reference field="15" count="1">
            <x v="120"/>
          </reference>
        </references>
      </pivotArea>
    </format>
    <format dxfId="40">
      <pivotArea dataOnly="0" labelOnly="1" outline="0" fieldPosition="0">
        <references count="3">
          <reference field="1" count="1" selected="0">
            <x v="12"/>
          </reference>
          <reference field="7" count="1" selected="0">
            <x v="42"/>
          </reference>
          <reference field="15" count="1">
            <x v="115"/>
          </reference>
        </references>
      </pivotArea>
    </format>
    <format dxfId="39">
      <pivotArea dataOnly="0" labelOnly="1" outline="0" fieldPosition="0">
        <references count="3">
          <reference field="1" count="1" selected="0">
            <x v="12"/>
          </reference>
          <reference field="7" count="1" selected="0">
            <x v="43"/>
          </reference>
          <reference field="15" count="1">
            <x v="106"/>
          </reference>
        </references>
      </pivotArea>
    </format>
    <format dxfId="38">
      <pivotArea dataOnly="0" labelOnly="1" outline="0" fieldPosition="0">
        <references count="3">
          <reference field="1" count="1" selected="0">
            <x v="13"/>
          </reference>
          <reference field="7" count="1" selected="0">
            <x v="8"/>
          </reference>
          <reference field="15" count="1">
            <x v="142"/>
          </reference>
        </references>
      </pivotArea>
    </format>
    <format dxfId="37">
      <pivotArea dataOnly="0" labelOnly="1" outline="0" fieldPosition="0">
        <references count="3">
          <reference field="1" count="1" selected="0">
            <x v="13"/>
          </reference>
          <reference field="7" count="1" selected="0">
            <x v="17"/>
          </reference>
          <reference field="15" count="1">
            <x v="143"/>
          </reference>
        </references>
      </pivotArea>
    </format>
    <format dxfId="36">
      <pivotArea dataOnly="0" labelOnly="1" outline="0" fieldPosition="0">
        <references count="3">
          <reference field="1" count="1" selected="0">
            <x v="13"/>
          </reference>
          <reference field="7" count="1" selected="0">
            <x v="18"/>
          </reference>
          <reference field="15" count="1">
            <x v="93"/>
          </reference>
        </references>
      </pivotArea>
    </format>
    <format dxfId="35">
      <pivotArea dataOnly="0" labelOnly="1" outline="0" fieldPosition="0">
        <references count="3">
          <reference field="1" count="1" selected="0">
            <x v="13"/>
          </reference>
          <reference field="7" count="1" selected="0">
            <x v="21"/>
          </reference>
          <reference field="15" count="1">
            <x v="145"/>
          </reference>
        </references>
      </pivotArea>
    </format>
    <format dxfId="34">
      <pivotArea dataOnly="0" labelOnly="1" outline="0" fieldPosition="0">
        <references count="3">
          <reference field="1" count="1" selected="0">
            <x v="13"/>
          </reference>
          <reference field="7" count="1" selected="0">
            <x v="23"/>
          </reference>
          <reference field="15" count="1">
            <x v="144"/>
          </reference>
        </references>
      </pivotArea>
    </format>
    <format dxfId="33">
      <pivotArea dataOnly="0" labelOnly="1" outline="0" fieldPosition="0">
        <references count="3">
          <reference field="1" count="1" selected="0">
            <x v="13"/>
          </reference>
          <reference field="7" count="1" selected="0">
            <x v="41"/>
          </reference>
          <reference field="15" count="1">
            <x v="151"/>
          </reference>
        </references>
      </pivotArea>
    </format>
    <format dxfId="32">
      <pivotArea dataOnly="0" labelOnly="1" outline="0" fieldPosition="0">
        <references count="3">
          <reference field="1" count="1" selected="0">
            <x v="13"/>
          </reference>
          <reference field="7" count="1" selected="0">
            <x v="42"/>
          </reference>
          <reference field="15" count="1">
            <x v="148"/>
          </reference>
        </references>
      </pivotArea>
    </format>
    <format dxfId="31">
      <pivotArea dataOnly="0" labelOnly="1" outline="0" fieldPosition="0">
        <references count="3">
          <reference field="1" count="1" selected="0">
            <x v="13"/>
          </reference>
          <reference field="7" count="1" selected="0">
            <x v="43"/>
          </reference>
          <reference field="15" count="1">
            <x v="139"/>
          </reference>
        </references>
      </pivotArea>
    </format>
    <format dxfId="30">
      <pivotArea dataOnly="0" labelOnly="1" outline="0" fieldPosition="0">
        <references count="3">
          <reference field="1" count="1" selected="0">
            <x v="13"/>
          </reference>
          <reference field="7" count="1" selected="0">
            <x v="55"/>
          </reference>
          <reference field="15" count="1">
            <x v="137"/>
          </reference>
        </references>
      </pivotArea>
    </format>
    <format dxfId="29">
      <pivotArea dataOnly="0" labelOnly="1" outline="0" fieldPosition="0">
        <references count="3">
          <reference field="1" count="1" selected="0">
            <x v="14"/>
          </reference>
          <reference field="7" count="1" selected="0">
            <x v="8"/>
          </reference>
          <reference field="15" count="1">
            <x v="174"/>
          </reference>
        </references>
      </pivotArea>
    </format>
    <format dxfId="28">
      <pivotArea dataOnly="0" labelOnly="1" outline="0" fieldPosition="0">
        <references count="3">
          <reference field="1" count="1" selected="0">
            <x v="14"/>
          </reference>
          <reference field="7" count="1" selected="0">
            <x v="17"/>
          </reference>
          <reference field="15" count="1">
            <x v="176"/>
          </reference>
        </references>
      </pivotArea>
    </format>
    <format dxfId="27">
      <pivotArea dataOnly="0" labelOnly="1" outline="0" fieldPosition="0">
        <references count="3">
          <reference field="1" count="1" selected="0">
            <x v="14"/>
          </reference>
          <reference field="7" count="1" selected="0">
            <x v="18"/>
          </reference>
          <reference field="15" count="1">
            <x v="180"/>
          </reference>
        </references>
      </pivotArea>
    </format>
    <format dxfId="26">
      <pivotArea dataOnly="0" labelOnly="1" outline="0" fieldPosition="0">
        <references count="3">
          <reference field="1" count="1" selected="0">
            <x v="14"/>
          </reference>
          <reference field="7" count="1" selected="0">
            <x v="21"/>
          </reference>
          <reference field="15" count="2">
            <x v="179"/>
            <x v="189"/>
          </reference>
        </references>
      </pivotArea>
    </format>
    <format dxfId="25">
      <pivotArea dataOnly="0" labelOnly="1" outline="0" fieldPosition="0">
        <references count="3">
          <reference field="1" count="1" selected="0">
            <x v="14"/>
          </reference>
          <reference field="7" count="1" selected="0">
            <x v="23"/>
          </reference>
          <reference field="15" count="1">
            <x v="177"/>
          </reference>
        </references>
      </pivotArea>
    </format>
    <format dxfId="24">
      <pivotArea dataOnly="0" labelOnly="1" outline="0" fieldPosition="0">
        <references count="3">
          <reference field="1" count="1" selected="0">
            <x v="14"/>
          </reference>
          <reference field="7" count="1" selected="0">
            <x v="42"/>
          </reference>
          <reference field="15" count="1">
            <x v="138"/>
          </reference>
        </references>
      </pivotArea>
    </format>
    <format dxfId="23">
      <pivotArea dataOnly="0" labelOnly="1" outline="0" fieldPosition="0">
        <references count="3">
          <reference field="1" count="1" selected="0">
            <x v="14"/>
          </reference>
          <reference field="7" count="1" selected="0">
            <x v="43"/>
          </reference>
          <reference field="15" count="1">
            <x v="170"/>
          </reference>
        </references>
      </pivotArea>
    </format>
    <format dxfId="22">
      <pivotArea dataOnly="0" labelOnly="1" outline="0" fieldPosition="0">
        <references count="3">
          <reference field="1" count="1" selected="0">
            <x v="14"/>
          </reference>
          <reference field="7" count="1" selected="0">
            <x v="55"/>
          </reference>
          <reference field="15" count="1">
            <x v="168"/>
          </reference>
        </references>
      </pivotArea>
    </format>
  </formats>
  <pivotTableStyleInfo name="PivotStyleLight16" showRowHeaders="1" showColHeaders="1" showRowStripes="0" showColStripes="0" showLastColumn="1"/>
  <filters count="1">
    <filter fld="1" type="dateEqual" evalOrder="-1" id="15" name="Fecha">
      <autoFilter ref="A1">
        <filterColumn colId="0">
          <customFilters>
            <customFilter val="459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2E7DA4-F7ED-4D29-9F95-075C91A84093}" name="TablaDinámica4" cacheId="0" applyNumberFormats="0" applyBorderFormats="0" applyFontFormats="0" applyPatternFormats="0" applyAlignmentFormats="0" applyWidthHeightFormats="1" dataCaption="Valores" updatedVersion="8" minRefreshableVersion="5" useAutoFormatting="1" itemPrintTitles="1" createdVersion="8" indent="0" compact="0" compactData="0" multipleFieldFilters="0">
  <location ref="A37:D55" firstHeaderRow="1" firstDataRow="1" firstDataCol="3" rowPageCount="1" colPageCount="1"/>
  <pivotFields count="23">
    <pivotField compact="0" outline="0" showAll="0"/>
    <pivotField axis="axisRow" compact="0" outline="0" showAll="0" defaultSubtotal="0">
      <items count="16">
        <item m="1" x="15"/>
        <item x="0"/>
        <item x="1"/>
        <item x="2"/>
        <item m="1" x="13"/>
        <item m="1" x="14"/>
        <item x="3"/>
        <item x="4"/>
        <item x="5"/>
        <item m="1" x="12"/>
        <item x="6"/>
        <item x="7"/>
        <item x="8"/>
        <item x="9"/>
        <item x="10"/>
        <item x="11"/>
      </items>
    </pivotField>
    <pivotField compact="0" outline="0" showAll="0"/>
    <pivotField compact="0" outline="0" showAll="0"/>
    <pivotField compact="0" outline="0" showAll="0"/>
    <pivotField compact="0" outline="0" showAll="0"/>
    <pivotField compact="0" outline="0" showAll="0"/>
    <pivotField axis="axisRow" compact="0" outline="0" showAll="0" defaultSubtotal="0">
      <items count="75">
        <item x="23"/>
        <item x="4"/>
        <item x="2"/>
        <item x="9"/>
        <item x="12"/>
        <item x="3"/>
        <item x="14"/>
        <item x="5"/>
        <item x="17"/>
        <item x="8"/>
        <item x="15"/>
        <item x="11"/>
        <item x="10"/>
        <item x="13"/>
        <item x="6"/>
        <item x="0"/>
        <item x="21"/>
        <item x="19"/>
        <item x="24"/>
        <item x="18"/>
        <item x="16"/>
        <item x="22"/>
        <item x="7"/>
        <item x="20"/>
        <item x="1"/>
        <item x="25"/>
        <item x="26"/>
        <item x="27"/>
        <item x="28"/>
        <item x="29"/>
        <item x="30"/>
        <item x="31"/>
        <item x="32"/>
        <item x="33"/>
        <item x="34"/>
        <item x="35"/>
        <item x="36"/>
        <item x="37"/>
        <item x="38"/>
        <item x="41"/>
        <item x="42"/>
        <item x="43"/>
        <item x="40"/>
        <item x="39"/>
        <item x="44"/>
        <item x="45"/>
        <item x="46"/>
        <item x="47"/>
        <item x="48"/>
        <item x="49"/>
        <item x="50"/>
        <item x="51"/>
        <item x="52"/>
        <item x="53"/>
        <item x="54"/>
        <item x="55"/>
        <item m="1" x="68"/>
        <item m="1" x="69"/>
        <item m="1" x="70"/>
        <item m="1" x="71"/>
        <item m="1" x="72"/>
        <item m="1" x="73"/>
        <item m="1" x="74"/>
        <item x="57"/>
        <item x="58"/>
        <item x="59"/>
        <item x="60"/>
        <item x="61"/>
        <item x="62"/>
        <item x="63"/>
        <item x="64"/>
        <item x="65"/>
        <item x="66"/>
        <item x="67"/>
        <item x="56"/>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h="1" x="2"/>
        <item x="1"/>
        <item h="1" x="0"/>
        <item t="default"/>
      </items>
    </pivotField>
    <pivotField axis="axisRow" compact="0" outline="0" showAll="0">
      <items count="196">
        <item x="5"/>
        <item x="18"/>
        <item x="19"/>
        <item x="20"/>
        <item x="14"/>
        <item x="4"/>
        <item x="17"/>
        <item x="0"/>
        <item x="13"/>
        <item x="1"/>
        <item x="2"/>
        <item x="15"/>
        <item x="16"/>
        <item x="3"/>
        <item x="11"/>
        <item x="12"/>
        <item x="8"/>
        <item x="7"/>
        <item x="9"/>
        <item x="10"/>
        <item x="6"/>
        <item x="21"/>
        <item x="22"/>
        <item x="23"/>
        <item x="24"/>
        <item x="25"/>
        <item x="26"/>
        <item x="27"/>
        <item x="28"/>
        <item x="29"/>
        <item x="30"/>
        <item x="31"/>
        <item x="32"/>
        <item m="1" x="194"/>
        <item x="34"/>
        <item x="35"/>
        <item x="36"/>
        <item x="37"/>
        <item x="38"/>
        <item x="39"/>
        <item x="40"/>
        <item x="41"/>
        <item x="42"/>
        <item x="43"/>
        <item x="44"/>
        <item x="33"/>
        <item x="45"/>
        <item x="46"/>
        <item x="47"/>
        <item x="48"/>
        <item x="49"/>
        <item x="52"/>
        <item x="53"/>
        <item x="54"/>
        <item x="55"/>
        <item x="57"/>
        <item m="1" x="192"/>
        <item m="1" x="191"/>
        <item x="60"/>
        <item m="1" x="193"/>
        <item x="51"/>
        <item x="56"/>
        <item x="50"/>
        <item x="58"/>
        <item x="61"/>
        <item x="59"/>
        <item x="62"/>
        <item x="63"/>
        <item x="64"/>
        <item x="65"/>
        <item x="66"/>
        <item x="67"/>
        <item x="68"/>
        <item x="69"/>
        <item x="70"/>
        <item x="71"/>
        <item x="72"/>
        <item x="73"/>
        <item x="74"/>
        <item x="75"/>
        <item x="76"/>
        <item x="77"/>
        <item x="78"/>
        <item x="79"/>
        <item x="80"/>
        <item x="81"/>
        <item x="82"/>
        <item x="83"/>
        <item x="84"/>
        <item x="85"/>
        <item x="86"/>
        <item x="87"/>
        <item x="88"/>
        <item x="89"/>
        <item x="90"/>
        <item m="1" x="190"/>
        <item x="92"/>
        <item x="93"/>
        <item x="94"/>
        <item x="95"/>
        <item x="96"/>
        <item x="97"/>
        <item x="98"/>
        <item x="91"/>
        <item x="99"/>
        <item x="100"/>
        <item x="101"/>
        <item x="102"/>
        <item x="103"/>
        <item m="1" x="186"/>
        <item m="1" x="189"/>
        <item m="1" x="187"/>
        <item x="108"/>
        <item x="109"/>
        <item x="110"/>
        <item x="111"/>
        <item x="112"/>
        <item x="113"/>
        <item x="114"/>
        <item x="115"/>
        <item x="117"/>
        <item x="118"/>
        <item x="119"/>
        <item x="120"/>
        <item x="105"/>
        <item x="116"/>
        <item m="1" x="188"/>
        <item x="122"/>
        <item x="104"/>
        <item x="106"/>
        <item x="107"/>
        <item x="121"/>
        <item x="123"/>
        <item x="124"/>
        <item x="125"/>
        <item x="126"/>
        <item x="127"/>
        <item x="128"/>
        <item x="129"/>
        <item x="130"/>
        <item x="131"/>
        <item x="132"/>
        <item x="133"/>
        <item x="134"/>
        <item x="135"/>
        <item x="136"/>
        <item x="137"/>
        <item x="138"/>
        <item x="139"/>
        <item x="140"/>
        <item x="141"/>
        <item x="142"/>
        <item x="143"/>
        <item x="144"/>
        <item x="145"/>
        <item x="146"/>
        <item x="147"/>
        <item m="1" x="176"/>
        <item m="1" x="177"/>
        <item m="1" x="178"/>
        <item m="1" x="179"/>
        <item m="1" x="180"/>
        <item m="1" x="181"/>
        <item m="1" x="174"/>
        <item m="1" x="182"/>
        <item m="1" x="183"/>
        <item m="1" x="184"/>
        <item m="1" x="185"/>
        <item x="148"/>
        <item x="149"/>
        <item x="150"/>
        <item x="151"/>
        <item x="152"/>
        <item x="153"/>
        <item x="154"/>
        <item x="155"/>
        <item x="156"/>
        <item x="157"/>
        <item m="1" x="175"/>
        <item x="159"/>
        <item x="160"/>
        <item x="161"/>
        <item x="162"/>
        <item x="163"/>
        <item x="164"/>
        <item x="165"/>
        <item x="166"/>
        <item x="167"/>
        <item x="168"/>
        <item x="158"/>
        <item x="169"/>
        <item m="1" x="173"/>
        <item x="171"/>
        <item x="172"/>
        <item x="170"/>
        <item t="default"/>
      </items>
    </pivotField>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s>
  <rowFields count="3">
    <field x="1"/>
    <field x="7"/>
    <field x="15"/>
  </rowFields>
  <rowItems count="18">
    <i>
      <x v="14"/>
      <x v="8"/>
      <x v="174"/>
    </i>
    <i r="1">
      <x v="17"/>
      <x v="176"/>
    </i>
    <i r="1">
      <x v="18"/>
      <x v="180"/>
    </i>
    <i r="1">
      <x v="21"/>
      <x v="179"/>
    </i>
    <i r="2">
      <x v="189"/>
    </i>
    <i r="1">
      <x v="23"/>
      <x v="177"/>
    </i>
    <i r="1">
      <x v="28"/>
      <x v="138"/>
    </i>
    <i r="2">
      <x v="146"/>
    </i>
    <i r="2">
      <x v="147"/>
    </i>
    <i r="2">
      <x v="169"/>
    </i>
    <i r="2">
      <x v="171"/>
    </i>
    <i r="1">
      <x v="41"/>
      <x v="184"/>
    </i>
    <i r="1">
      <x v="42"/>
      <x v="138"/>
    </i>
    <i r="1">
      <x v="43"/>
      <x v="170"/>
    </i>
    <i r="1">
      <x v="44"/>
      <x v="104"/>
    </i>
    <i r="1">
      <x v="55"/>
      <x v="168"/>
    </i>
    <i r="1">
      <x v="74"/>
      <x v="175"/>
    </i>
    <i t="grand">
      <x/>
    </i>
  </rowItems>
  <colItems count="1">
    <i/>
  </colItems>
  <pageFields count="1">
    <pageField fld="14" hier="-1"/>
  </pageFields>
  <dataFields count="1">
    <dataField name="Cuenta de No. Cotización" fld="18" subtotal="count" baseField="0" baseItem="0"/>
  </dataFields>
  <formats count="72">
    <format dxfId="163">
      <pivotArea dataOnly="0" labelOnly="1" outline="0" fieldPosition="0">
        <references count="2">
          <reference field="1" count="1" selected="0">
            <x v="6"/>
          </reference>
          <reference field="15" count="3">
            <x v="2"/>
            <x v="3"/>
            <x v="21"/>
          </reference>
        </references>
      </pivotArea>
    </format>
    <format dxfId="162">
      <pivotArea dataOnly="0" labelOnly="1" outline="0" fieldPosition="0">
        <references count="2">
          <reference field="1" count="1" selected="0">
            <x v="3"/>
          </reference>
          <reference field="15" count="10">
            <x v="1"/>
            <x v="4"/>
            <x v="6"/>
            <x v="8"/>
            <x v="11"/>
            <x v="12"/>
            <x v="14"/>
            <x v="15"/>
            <x v="18"/>
            <x v="19"/>
          </reference>
        </references>
      </pivotArea>
    </format>
    <format dxfId="161">
      <pivotArea dataOnly="0" labelOnly="1" outline="0" fieldPosition="0">
        <references count="2">
          <reference field="1" count="1" selected="0">
            <x v="7"/>
          </reference>
          <reference field="15" count="23">
            <x v="22"/>
            <x v="23"/>
            <x v="24"/>
            <x v="25"/>
            <x v="26"/>
            <x v="27"/>
            <x v="28"/>
            <x v="29"/>
            <x v="30"/>
            <x v="31"/>
            <x v="32"/>
            <x v="33"/>
            <x v="34"/>
            <x v="35"/>
            <x v="36"/>
            <x v="37"/>
            <x v="38"/>
            <x v="39"/>
            <x v="40"/>
            <x v="41"/>
            <x v="42"/>
            <x v="43"/>
            <x v="44"/>
          </reference>
        </references>
      </pivotArea>
    </format>
    <format dxfId="160">
      <pivotArea dataOnly="0" labelOnly="1" outline="0" axis="axisValues" fieldPosition="0"/>
    </format>
    <format dxfId="159">
      <pivotArea dataOnly="0" labelOnly="1" outline="0" fieldPosition="0">
        <references count="3">
          <reference field="1" count="1" selected="0">
            <x v="11"/>
          </reference>
          <reference field="7" count="1" selected="0">
            <x v="26"/>
          </reference>
          <reference field="15" count="1">
            <x v="88"/>
          </reference>
        </references>
      </pivotArea>
    </format>
    <format dxfId="158">
      <pivotArea dataOnly="0" labelOnly="1" outline="0" fieldPosition="0">
        <references count="3">
          <reference field="1" count="1" selected="0">
            <x v="1"/>
          </reference>
          <reference field="7" count="1" selected="0">
            <x v="15"/>
          </reference>
          <reference field="15" count="1">
            <x v="7"/>
          </reference>
        </references>
      </pivotArea>
    </format>
    <format dxfId="157">
      <pivotArea dataOnly="0" labelOnly="1" outline="0" fieldPosition="0">
        <references count="3">
          <reference field="1" count="1" selected="0">
            <x v="3"/>
          </reference>
          <reference field="7" count="1" selected="0">
            <x v="8"/>
          </reference>
          <reference field="15" count="1">
            <x v="12"/>
          </reference>
        </references>
      </pivotArea>
    </format>
    <format dxfId="156">
      <pivotArea dataOnly="0" labelOnly="1" outline="0" fieldPosition="0">
        <references count="3">
          <reference field="1" count="1" selected="0">
            <x v="3"/>
          </reference>
          <reference field="7" count="1" selected="0">
            <x v="17"/>
          </reference>
          <reference field="15" count="1">
            <x v="1"/>
          </reference>
        </references>
      </pivotArea>
    </format>
    <format dxfId="155">
      <pivotArea dataOnly="0" labelOnly="1" outline="0" fieldPosition="0">
        <references count="3">
          <reference field="1" count="1" selected="0">
            <x v="3"/>
          </reference>
          <reference field="7" count="1" selected="0">
            <x v="19"/>
          </reference>
          <reference field="15" count="1">
            <x v="6"/>
          </reference>
        </references>
      </pivotArea>
    </format>
    <format dxfId="154">
      <pivotArea dataOnly="0" labelOnly="1" outline="0" fieldPosition="0">
        <references count="3">
          <reference field="1" count="1" selected="0">
            <x v="3"/>
          </reference>
          <reference field="7" count="1" selected="0">
            <x v="20"/>
          </reference>
          <reference field="15" count="1">
            <x v="11"/>
          </reference>
        </references>
      </pivotArea>
    </format>
    <format dxfId="153">
      <pivotArea dataOnly="0" labelOnly="1" outline="0" fieldPosition="0">
        <references count="3">
          <reference field="1" count="1" selected="0">
            <x v="6"/>
          </reference>
          <reference field="7" count="1" selected="0">
            <x v="16"/>
          </reference>
          <reference field="15" count="1">
            <x v="3"/>
          </reference>
        </references>
      </pivotArea>
    </format>
    <format dxfId="152">
      <pivotArea dataOnly="0" labelOnly="1" outline="0" fieldPosition="0">
        <references count="3">
          <reference field="1" count="1" selected="0">
            <x v="6"/>
          </reference>
          <reference field="7" count="1" selected="0">
            <x v="21"/>
          </reference>
          <reference field="15" count="1">
            <x v="21"/>
          </reference>
        </references>
      </pivotArea>
    </format>
    <format dxfId="151">
      <pivotArea dataOnly="0" labelOnly="1" outline="0" fieldPosition="0">
        <references count="3">
          <reference field="1" count="1" selected="0">
            <x v="6"/>
          </reference>
          <reference field="7" count="1" selected="0">
            <x v="23"/>
          </reference>
          <reference field="15" count="1">
            <x v="2"/>
          </reference>
        </references>
      </pivotArea>
    </format>
    <format dxfId="150">
      <pivotArea dataOnly="0" labelOnly="1" outline="0" fieldPosition="0">
        <references count="3">
          <reference field="1" count="1" selected="0">
            <x v="7"/>
          </reference>
          <reference field="7" count="1" selected="0">
            <x v="8"/>
          </reference>
          <reference field="15" count="1">
            <x v="38"/>
          </reference>
        </references>
      </pivotArea>
    </format>
    <format dxfId="149">
      <pivotArea dataOnly="0" labelOnly="1" outline="0" fieldPosition="0">
        <references count="3">
          <reference field="1" count="1" selected="0">
            <x v="7"/>
          </reference>
          <reference field="7" count="1" selected="0">
            <x v="15"/>
          </reference>
          <reference field="15" count="1">
            <x v="22"/>
          </reference>
        </references>
      </pivotArea>
    </format>
    <format dxfId="148">
      <pivotArea dataOnly="0" labelOnly="1" outline="0" fieldPosition="0">
        <references count="3">
          <reference field="1" count="1" selected="0">
            <x v="7"/>
          </reference>
          <reference field="7" count="1" selected="0">
            <x v="16"/>
          </reference>
          <reference field="15" count="1">
            <x v="40"/>
          </reference>
        </references>
      </pivotArea>
    </format>
    <format dxfId="147">
      <pivotArea dataOnly="0" labelOnly="1" outline="0" fieldPosition="0">
        <references count="3">
          <reference field="1" count="1" selected="0">
            <x v="7"/>
          </reference>
          <reference field="7" count="1" selected="0">
            <x v="17"/>
          </reference>
          <reference field="15" count="1">
            <x v="37"/>
          </reference>
        </references>
      </pivotArea>
    </format>
    <format dxfId="146">
      <pivotArea dataOnly="0" labelOnly="1" outline="0" fieldPosition="0">
        <references count="3">
          <reference field="1" count="1" selected="0">
            <x v="7"/>
          </reference>
          <reference field="7" count="1" selected="0">
            <x v="18"/>
          </reference>
          <reference field="15" count="1">
            <x v="43"/>
          </reference>
        </references>
      </pivotArea>
    </format>
    <format dxfId="145">
      <pivotArea dataOnly="0" labelOnly="1" outline="0" fieldPosition="0">
        <references count="3">
          <reference field="1" count="1" selected="0">
            <x v="7"/>
          </reference>
          <reference field="7" count="1" selected="0">
            <x v="19"/>
          </reference>
          <reference field="15" count="1">
            <x v="39"/>
          </reference>
        </references>
      </pivotArea>
    </format>
    <format dxfId="144">
      <pivotArea dataOnly="0" labelOnly="1" outline="0" fieldPosition="0">
        <references count="3">
          <reference field="1" count="1" selected="0">
            <x v="7"/>
          </reference>
          <reference field="7" count="1" selected="0">
            <x v="20"/>
          </reference>
          <reference field="15" count="1">
            <x v="37"/>
          </reference>
        </references>
      </pivotArea>
    </format>
    <format dxfId="143">
      <pivotArea dataOnly="0" labelOnly="1" outline="0" fieldPosition="0">
        <references count="3">
          <reference field="1" count="1" selected="0">
            <x v="7"/>
          </reference>
          <reference field="7" count="1" selected="0">
            <x v="23"/>
          </reference>
          <reference field="15" count="1">
            <x v="37"/>
          </reference>
        </references>
      </pivotArea>
    </format>
    <format dxfId="142">
      <pivotArea dataOnly="0" labelOnly="1" outline="0" fieldPosition="0">
        <references count="3">
          <reference field="1" count="1" selected="0">
            <x v="8"/>
          </reference>
          <reference field="7" count="1" selected="0">
            <x v="8"/>
          </reference>
          <reference field="15" count="1">
            <x v="61"/>
          </reference>
        </references>
      </pivotArea>
    </format>
    <format dxfId="141">
      <pivotArea dataOnly="0" labelOnly="1" outline="0" fieldPosition="0">
        <references count="3">
          <reference field="1" count="1" selected="0">
            <x v="8"/>
          </reference>
          <reference field="7" count="1" selected="0">
            <x v="15"/>
          </reference>
          <reference field="15" count="1">
            <x v="62"/>
          </reference>
        </references>
      </pivotArea>
    </format>
    <format dxfId="140">
      <pivotArea dataOnly="0" labelOnly="1" outline="0" fieldPosition="0">
        <references count="3">
          <reference field="1" count="1" selected="0">
            <x v="8"/>
          </reference>
          <reference field="7" count="1" selected="0">
            <x v="16"/>
          </reference>
          <reference field="15" count="1">
            <x v="58"/>
          </reference>
        </references>
      </pivotArea>
    </format>
    <format dxfId="139">
      <pivotArea dataOnly="0" labelOnly="1" outline="0" fieldPosition="0">
        <references count="3">
          <reference field="1" count="1" selected="0">
            <x v="8"/>
          </reference>
          <reference field="7" count="1" selected="0">
            <x v="17"/>
          </reference>
          <reference field="15" count="1">
            <x v="63"/>
          </reference>
        </references>
      </pivotArea>
    </format>
    <format dxfId="138">
      <pivotArea dataOnly="0" labelOnly="1" outline="0" fieldPosition="0">
        <references count="3">
          <reference field="1" count="1" selected="0">
            <x v="8"/>
          </reference>
          <reference field="7" count="1" selected="0">
            <x v="19"/>
          </reference>
          <reference field="15" count="1">
            <x v="55"/>
          </reference>
        </references>
      </pivotArea>
    </format>
    <format dxfId="137">
      <pivotArea dataOnly="0" labelOnly="1" outline="0" fieldPosition="0">
        <references count="3">
          <reference field="1" count="1" selected="0">
            <x v="8"/>
          </reference>
          <reference field="7" count="1" selected="0">
            <x v="20"/>
          </reference>
          <reference field="15" count="1">
            <x v="62"/>
          </reference>
        </references>
      </pivotArea>
    </format>
    <format dxfId="136">
      <pivotArea dataOnly="0" labelOnly="1" outline="0" fieldPosition="0">
        <references count="3">
          <reference field="1" count="1" selected="0">
            <x v="8"/>
          </reference>
          <reference field="7" count="1" selected="0">
            <x v="23"/>
          </reference>
          <reference field="15" count="1">
            <x v="65"/>
          </reference>
        </references>
      </pivotArea>
    </format>
    <format dxfId="135">
      <pivotArea dataOnly="0" labelOnly="1" outline="0" fieldPosition="0">
        <references count="3">
          <reference field="1" count="1" selected="0">
            <x v="8"/>
          </reference>
          <reference field="7" count="1" selected="0">
            <x v="25"/>
          </reference>
          <reference field="15" count="1">
            <x v="46"/>
          </reference>
        </references>
      </pivotArea>
    </format>
    <format dxfId="134">
      <pivotArea dataOnly="0" labelOnly="1" outline="0" fieldPosition="0">
        <references count="3">
          <reference field="1" count="1" selected="0">
            <x v="8"/>
          </reference>
          <reference field="7" count="1" selected="0">
            <x v="26"/>
          </reference>
          <reference field="15" count="1">
            <x v="48"/>
          </reference>
        </references>
      </pivotArea>
    </format>
    <format dxfId="133">
      <pivotArea dataOnly="0" labelOnly="1" outline="0" fieldPosition="0">
        <references count="3">
          <reference field="1" count="1" selected="0">
            <x v="10"/>
          </reference>
          <reference field="7" count="1" selected="0">
            <x v="8"/>
          </reference>
          <reference field="15" count="1">
            <x v="71"/>
          </reference>
        </references>
      </pivotArea>
    </format>
    <format dxfId="132">
      <pivotArea dataOnly="0" labelOnly="1" outline="0" fieldPosition="0">
        <references count="3">
          <reference field="1" count="1" selected="0">
            <x v="10"/>
          </reference>
          <reference field="7" count="1" selected="0">
            <x v="17"/>
          </reference>
          <reference field="15" count="1">
            <x v="73"/>
          </reference>
        </references>
      </pivotArea>
    </format>
    <format dxfId="131">
      <pivotArea dataOnly="0" labelOnly="1" outline="0" fieldPosition="0">
        <references count="3">
          <reference field="1" count="1" selected="0">
            <x v="10"/>
          </reference>
          <reference field="7" count="1" selected="0">
            <x v="18"/>
          </reference>
          <reference field="15" count="1">
            <x v="76"/>
          </reference>
        </references>
      </pivotArea>
    </format>
    <format dxfId="130">
      <pivotArea dataOnly="0" labelOnly="1" outline="0" fieldPosition="0">
        <references count="3">
          <reference field="1" count="1" selected="0">
            <x v="10"/>
          </reference>
          <reference field="7" count="1" selected="0">
            <x v="19"/>
          </reference>
          <reference field="15" count="1">
            <x v="72"/>
          </reference>
        </references>
      </pivotArea>
    </format>
    <format dxfId="129">
      <pivotArea dataOnly="0" labelOnly="1" outline="0" fieldPosition="0">
        <references count="3">
          <reference field="1" count="1" selected="0">
            <x v="10"/>
          </reference>
          <reference field="7" count="1" selected="0">
            <x v="23"/>
          </reference>
          <reference field="15" count="1">
            <x v="73"/>
          </reference>
        </references>
      </pivotArea>
    </format>
    <format dxfId="128">
      <pivotArea dataOnly="0" labelOnly="1" outline="0" fieldPosition="0">
        <references count="3">
          <reference field="1" count="1" selected="0">
            <x v="10"/>
          </reference>
          <reference field="7" count="1" selected="0">
            <x v="26"/>
          </reference>
          <reference field="15" count="1">
            <x v="48"/>
          </reference>
        </references>
      </pivotArea>
    </format>
    <format dxfId="127">
      <pivotArea dataOnly="0" labelOnly="1" outline="0" fieldPosition="0">
        <references count="3">
          <reference field="1" count="1" selected="0">
            <x v="10"/>
          </reference>
          <reference field="7" count="1" selected="0">
            <x v="27"/>
          </reference>
          <reference field="15" count="1">
            <x v="66"/>
          </reference>
        </references>
      </pivotArea>
    </format>
    <format dxfId="126">
      <pivotArea dataOnly="0" labelOnly="1" outline="0" fieldPosition="0">
        <references count="3">
          <reference field="1" count="1" selected="0">
            <x v="11"/>
          </reference>
          <reference field="7" count="1" selected="0">
            <x v="8"/>
          </reference>
          <reference field="15" count="1">
            <x v="71"/>
          </reference>
        </references>
      </pivotArea>
    </format>
    <format dxfId="125">
      <pivotArea dataOnly="0" labelOnly="1" outline="0" fieldPosition="0">
        <references count="3">
          <reference field="1" count="1" selected="0">
            <x v="11"/>
          </reference>
          <reference field="7" count="1" selected="0">
            <x v="17"/>
          </reference>
          <reference field="15" count="1">
            <x v="73"/>
          </reference>
        </references>
      </pivotArea>
    </format>
    <format dxfId="124">
      <pivotArea dataOnly="0" labelOnly="1" outline="0" fieldPosition="0">
        <references count="3">
          <reference field="1" count="1" selected="0">
            <x v="11"/>
          </reference>
          <reference field="7" count="1" selected="0">
            <x v="18"/>
          </reference>
          <reference field="15" count="1">
            <x v="93"/>
          </reference>
        </references>
      </pivotArea>
    </format>
    <format dxfId="123">
      <pivotArea dataOnly="0" labelOnly="1" outline="0" fieldPosition="0">
        <references count="3">
          <reference field="1" count="1" selected="0">
            <x v="11"/>
          </reference>
          <reference field="7" count="1" selected="0">
            <x v="21"/>
          </reference>
          <reference field="15" count="1">
            <x v="91"/>
          </reference>
        </references>
      </pivotArea>
    </format>
    <format dxfId="122">
      <pivotArea dataOnly="0" labelOnly="1" outline="0" fieldPosition="0">
        <references count="3">
          <reference field="1" count="1" selected="0">
            <x v="11"/>
          </reference>
          <reference field="7" count="1" selected="0">
            <x v="23"/>
          </reference>
          <reference field="15" count="1">
            <x v="73"/>
          </reference>
        </references>
      </pivotArea>
    </format>
    <format dxfId="121">
      <pivotArea dataOnly="0" labelOnly="1" outline="0" fieldPosition="0">
        <references count="3">
          <reference field="1" count="1" selected="0">
            <x v="11"/>
          </reference>
          <reference field="7" count="1" selected="0">
            <x v="41"/>
          </reference>
          <reference field="15" count="1">
            <x v="102"/>
          </reference>
        </references>
      </pivotArea>
    </format>
    <format dxfId="120">
      <pivotArea dataOnly="0" labelOnly="1" outline="0" fieldPosition="0">
        <references count="3">
          <reference field="1" count="1" selected="0">
            <x v="11"/>
          </reference>
          <reference field="7" count="1" selected="0">
            <x v="42"/>
          </reference>
          <reference field="15" count="1">
            <x v="103"/>
          </reference>
        </references>
      </pivotArea>
    </format>
    <format dxfId="119">
      <pivotArea dataOnly="0" labelOnly="1" outline="0" fieldPosition="0">
        <references count="3">
          <reference field="1" count="1" selected="0">
            <x v="11"/>
          </reference>
          <reference field="7" count="1" selected="0">
            <x v="43"/>
          </reference>
          <reference field="15" count="1">
            <x v="88"/>
          </reference>
        </references>
      </pivotArea>
    </format>
    <format dxfId="118">
      <pivotArea dataOnly="0" labelOnly="1" outline="0" fieldPosition="0">
        <references count="3">
          <reference field="1" count="1" selected="0">
            <x v="12"/>
          </reference>
          <reference field="7" count="1" selected="0">
            <x v="8"/>
          </reference>
          <reference field="15" count="1">
            <x v="71"/>
          </reference>
        </references>
      </pivotArea>
    </format>
    <format dxfId="117">
      <pivotArea dataOnly="0" labelOnly="1" outline="0" fieldPosition="0">
        <references count="3">
          <reference field="1" count="1" selected="0">
            <x v="12"/>
          </reference>
          <reference field="7" count="1" selected="0">
            <x v="17"/>
          </reference>
          <reference field="15" count="1">
            <x v="128"/>
          </reference>
        </references>
      </pivotArea>
    </format>
    <format dxfId="116">
      <pivotArea dataOnly="0" labelOnly="1" outline="0" fieldPosition="0">
        <references count="3">
          <reference field="1" count="1" selected="0">
            <x v="12"/>
          </reference>
          <reference field="7" count="1" selected="0">
            <x v="18"/>
          </reference>
          <reference field="15" count="1">
            <x v="93"/>
          </reference>
        </references>
      </pivotArea>
    </format>
    <format dxfId="115">
      <pivotArea dataOnly="0" labelOnly="1" outline="0" fieldPosition="0">
        <references count="3">
          <reference field="1" count="1" selected="0">
            <x v="12"/>
          </reference>
          <reference field="7" count="1" selected="0">
            <x v="21"/>
          </reference>
          <reference field="15" count="2">
            <x v="129"/>
            <x v="130"/>
          </reference>
        </references>
      </pivotArea>
    </format>
    <format dxfId="114">
      <pivotArea dataOnly="0" labelOnly="1" outline="0" fieldPosition="0">
        <references count="3">
          <reference field="1" count="1" selected="0">
            <x v="12"/>
          </reference>
          <reference field="7" count="1" selected="0">
            <x v="23"/>
          </reference>
          <reference field="15" count="1">
            <x v="124"/>
          </reference>
        </references>
      </pivotArea>
    </format>
    <format dxfId="113">
      <pivotArea dataOnly="0" labelOnly="1" outline="0" fieldPosition="0">
        <references count="3">
          <reference field="1" count="1" selected="0">
            <x v="12"/>
          </reference>
          <reference field="7" count="1" selected="0">
            <x v="41"/>
          </reference>
          <reference field="15" count="1">
            <x v="120"/>
          </reference>
        </references>
      </pivotArea>
    </format>
    <format dxfId="112">
      <pivotArea dataOnly="0" labelOnly="1" outline="0" fieldPosition="0">
        <references count="3">
          <reference field="1" count="1" selected="0">
            <x v="12"/>
          </reference>
          <reference field="7" count="1" selected="0">
            <x v="42"/>
          </reference>
          <reference field="15" count="1">
            <x v="115"/>
          </reference>
        </references>
      </pivotArea>
    </format>
    <format dxfId="111">
      <pivotArea dataOnly="0" labelOnly="1" outline="0" fieldPosition="0">
        <references count="3">
          <reference field="1" count="1" selected="0">
            <x v="12"/>
          </reference>
          <reference field="7" count="1" selected="0">
            <x v="43"/>
          </reference>
          <reference field="15" count="1">
            <x v="106"/>
          </reference>
        </references>
      </pivotArea>
    </format>
    <format dxfId="110">
      <pivotArea dataOnly="0" labelOnly="1" outline="0" fieldPosition="0">
        <references count="3">
          <reference field="1" count="1" selected="0">
            <x v="13"/>
          </reference>
          <reference field="7" count="1" selected="0">
            <x v="8"/>
          </reference>
          <reference field="15" count="1">
            <x v="142"/>
          </reference>
        </references>
      </pivotArea>
    </format>
    <format dxfId="109">
      <pivotArea dataOnly="0" labelOnly="1" outline="0" fieldPosition="0">
        <references count="3">
          <reference field="1" count="1" selected="0">
            <x v="13"/>
          </reference>
          <reference field="7" count="1" selected="0">
            <x v="17"/>
          </reference>
          <reference field="15" count="1">
            <x v="143"/>
          </reference>
        </references>
      </pivotArea>
    </format>
    <format dxfId="108">
      <pivotArea dataOnly="0" labelOnly="1" outline="0" fieldPosition="0">
        <references count="3">
          <reference field="1" count="1" selected="0">
            <x v="13"/>
          </reference>
          <reference field="7" count="1" selected="0">
            <x v="18"/>
          </reference>
          <reference field="15" count="1">
            <x v="93"/>
          </reference>
        </references>
      </pivotArea>
    </format>
    <format dxfId="107">
      <pivotArea dataOnly="0" labelOnly="1" outline="0" fieldPosition="0">
        <references count="3">
          <reference field="1" count="1" selected="0">
            <x v="13"/>
          </reference>
          <reference field="7" count="1" selected="0">
            <x v="21"/>
          </reference>
          <reference field="15" count="1">
            <x v="145"/>
          </reference>
        </references>
      </pivotArea>
    </format>
    <format dxfId="106">
      <pivotArea dataOnly="0" labelOnly="1" outline="0" fieldPosition="0">
        <references count="3">
          <reference field="1" count="1" selected="0">
            <x v="13"/>
          </reference>
          <reference field="7" count="1" selected="0">
            <x v="23"/>
          </reference>
          <reference field="15" count="1">
            <x v="144"/>
          </reference>
        </references>
      </pivotArea>
    </format>
    <format dxfId="105">
      <pivotArea dataOnly="0" labelOnly="1" outline="0" fieldPosition="0">
        <references count="3">
          <reference field="1" count="1" selected="0">
            <x v="13"/>
          </reference>
          <reference field="7" count="1" selected="0">
            <x v="41"/>
          </reference>
          <reference field="15" count="1">
            <x v="151"/>
          </reference>
        </references>
      </pivotArea>
    </format>
    <format dxfId="104">
      <pivotArea dataOnly="0" labelOnly="1" outline="0" fieldPosition="0">
        <references count="3">
          <reference field="1" count="1" selected="0">
            <x v="13"/>
          </reference>
          <reference field="7" count="1" selected="0">
            <x v="42"/>
          </reference>
          <reference field="15" count="1">
            <x v="148"/>
          </reference>
        </references>
      </pivotArea>
    </format>
    <format dxfId="103">
      <pivotArea dataOnly="0" labelOnly="1" outline="0" fieldPosition="0">
        <references count="3">
          <reference field="1" count="1" selected="0">
            <x v="13"/>
          </reference>
          <reference field="7" count="1" selected="0">
            <x v="43"/>
          </reference>
          <reference field="15" count="1">
            <x v="139"/>
          </reference>
        </references>
      </pivotArea>
    </format>
    <format dxfId="102">
      <pivotArea dataOnly="0" labelOnly="1" outline="0" fieldPosition="0">
        <references count="3">
          <reference field="1" count="1" selected="0">
            <x v="13"/>
          </reference>
          <reference field="7" count="1" selected="0">
            <x v="55"/>
          </reference>
          <reference field="15" count="1">
            <x v="137"/>
          </reference>
        </references>
      </pivotArea>
    </format>
    <format dxfId="101">
      <pivotArea dataOnly="0" labelOnly="1" outline="0" fieldPosition="0">
        <references count="3">
          <reference field="1" count="1" selected="0">
            <x v="14"/>
          </reference>
          <reference field="7" count="1" selected="0">
            <x v="8"/>
          </reference>
          <reference field="15" count="1">
            <x v="174"/>
          </reference>
        </references>
      </pivotArea>
    </format>
    <format dxfId="100">
      <pivotArea dataOnly="0" labelOnly="1" outline="0" fieldPosition="0">
        <references count="3">
          <reference field="1" count="1" selected="0">
            <x v="14"/>
          </reference>
          <reference field="7" count="1" selected="0">
            <x v="17"/>
          </reference>
          <reference field="15" count="1">
            <x v="176"/>
          </reference>
        </references>
      </pivotArea>
    </format>
    <format dxfId="99">
      <pivotArea dataOnly="0" labelOnly="1" outline="0" fieldPosition="0">
        <references count="3">
          <reference field="1" count="1" selected="0">
            <x v="14"/>
          </reference>
          <reference field="7" count="1" selected="0">
            <x v="18"/>
          </reference>
          <reference field="15" count="1">
            <x v="180"/>
          </reference>
        </references>
      </pivotArea>
    </format>
    <format dxfId="98">
      <pivotArea dataOnly="0" labelOnly="1" outline="0" fieldPosition="0">
        <references count="3">
          <reference field="1" count="1" selected="0">
            <x v="14"/>
          </reference>
          <reference field="7" count="1" selected="0">
            <x v="21"/>
          </reference>
          <reference field="15" count="2">
            <x v="179"/>
            <x v="189"/>
          </reference>
        </references>
      </pivotArea>
    </format>
    <format dxfId="97">
      <pivotArea dataOnly="0" labelOnly="1" outline="0" fieldPosition="0">
        <references count="3">
          <reference field="1" count="1" selected="0">
            <x v="14"/>
          </reference>
          <reference field="7" count="1" selected="0">
            <x v="23"/>
          </reference>
          <reference field="15" count="1">
            <x v="177"/>
          </reference>
        </references>
      </pivotArea>
    </format>
    <format dxfId="96">
      <pivotArea dataOnly="0" labelOnly="1" outline="0" fieldPosition="0">
        <references count="3">
          <reference field="1" count="1" selected="0">
            <x v="14"/>
          </reference>
          <reference field="7" count="1" selected="0">
            <x v="42"/>
          </reference>
          <reference field="15" count="1">
            <x v="138"/>
          </reference>
        </references>
      </pivotArea>
    </format>
    <format dxfId="95">
      <pivotArea dataOnly="0" labelOnly="1" outline="0" fieldPosition="0">
        <references count="3">
          <reference field="1" count="1" selected="0">
            <x v="14"/>
          </reference>
          <reference field="7" count="1" selected="0">
            <x v="43"/>
          </reference>
          <reference field="15" count="1">
            <x v="170"/>
          </reference>
        </references>
      </pivotArea>
    </format>
    <format dxfId="94">
      <pivotArea dataOnly="0" labelOnly="1" outline="0" fieldPosition="0">
        <references count="3">
          <reference field="1" count="1" selected="0">
            <x v="14"/>
          </reference>
          <reference field="7" count="1" selected="0">
            <x v="55"/>
          </reference>
          <reference field="15" count="1">
            <x v="168"/>
          </reference>
        </references>
      </pivotArea>
    </format>
    <format dxfId="93">
      <pivotArea field="14" type="button" dataOnly="0" labelOnly="1" outline="0" axis="axisPage" fieldPosition="0"/>
    </format>
    <format dxfId="92">
      <pivotArea dataOnly="0" labelOnly="1" outline="0" fieldPosition="0">
        <references count="1">
          <reference field="14" count="0"/>
        </references>
      </pivotArea>
    </format>
  </formats>
  <pivotTableStyleInfo name="PivotStyleLight16" showRowHeaders="1" showColHeaders="1" showRowStripes="0" showColStripes="0" showLastColumn="1"/>
  <filters count="1">
    <filter fld="1" type="dateEqual" evalOrder="-1" id="15" name="Fecha">
      <autoFilter ref="A1">
        <filterColumn colId="0">
          <customFilters>
            <customFilter val="45961"/>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53C9B9-40D6-4A13-8F0B-4E53CD89A103}"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B16" firstHeaderRow="1" firstDataRow="1" firstDataCol="1"/>
  <pivotFields count="23">
    <pivotField compact="0" outline="0" showAll="0"/>
    <pivotField axis="axisRow" dataField="1" compact="0" outline="0" showAll="0">
      <items count="17">
        <item m="1" x="15"/>
        <item x="0"/>
        <item x="1"/>
        <item x="2"/>
        <item m="1" x="13"/>
        <item m="1" x="14"/>
        <item x="3"/>
        <item x="4"/>
        <item x="5"/>
        <item m="1" x="12"/>
        <item x="6"/>
        <item x="7"/>
        <item x="8"/>
        <item x="9"/>
        <item x="10"/>
        <item x="1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
  </rowFields>
  <rowItems count="13">
    <i>
      <x v="1"/>
    </i>
    <i>
      <x v="2"/>
    </i>
    <i>
      <x v="3"/>
    </i>
    <i>
      <x v="6"/>
    </i>
    <i>
      <x v="7"/>
    </i>
    <i>
      <x v="8"/>
    </i>
    <i>
      <x v="10"/>
    </i>
    <i>
      <x v="11"/>
    </i>
    <i>
      <x v="12"/>
    </i>
    <i>
      <x v="13"/>
    </i>
    <i>
      <x v="14"/>
    </i>
    <i>
      <x v="15"/>
    </i>
    <i t="grand">
      <x/>
    </i>
  </rowItems>
  <colItems count="1">
    <i/>
  </colItems>
  <dataFields count="1">
    <dataField name="Cuenta de Fecha"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6D22DC-945E-4422-9109-0FACA69C53FB}" name="CRM" displayName="CRM" ref="A2:V237" totalsRowShown="0" headerRowDxfId="5" headerRowBorderDxfId="4" tableBorderDxfId="3">
  <autoFilter ref="A2:V237" xr:uid="{316D22DC-945E-4422-9109-0FACA69C53FB}"/>
  <tableColumns count="22">
    <tableColumn id="1" xr3:uid="{9F7BD3E7-9D8B-43DD-8A09-80782607F3FD}" name="No."/>
    <tableColumn id="3" xr3:uid="{918C7001-FF10-4E61-8371-7DA2308E83CF}" name="Fecha"/>
    <tableColumn id="4" xr3:uid="{0546BA07-5885-4D75-8063-08485248C69A}" name="Asesor"/>
    <tableColumn id="5" xr3:uid="{82F56FA6-C27F-4059-8CEB-61FC463B1EBB}" name="Contacto"/>
    <tableColumn id="6" xr3:uid="{726A969D-30A5-4360-8EE7-11FE40969B5A}" name="Cargo"/>
    <tableColumn id="7" xr3:uid="{7407339D-FE7A-43DC-8868-86862C76F45E}" name="teléfono"/>
    <tableColumn id="8" xr3:uid="{272479BC-873F-4BB6-9C9C-53F02BF5260D}" name="Mail"/>
    <tableColumn id="9" xr3:uid="{51C94EB7-797D-4572-825D-46562C6259FE}" name="Razón Social"/>
    <tableColumn id="10" xr3:uid="{8A1A6035-DAD9-4A8E-8A9F-D5513BC82BC8}" name="RUC"/>
    <tableColumn id="2" xr3:uid="{22E8D976-51CC-114E-A447-62AC0980CDBB}" name="Web"/>
    <tableColumn id="11" xr3:uid="{6446EDEC-68EE-4E10-805A-BEE4019E6D93}" name="Departamento"/>
    <tableColumn id="12" xr3:uid="{6EE5F2FA-BCD1-4A7A-AE1F-747817516559}" name="Distrito"/>
    <tableColumn id="13" xr3:uid="{21792762-BC9D-4BEC-BAB6-4FC84C490385}" name="Rubro"/>
    <tableColumn id="22" xr3:uid="{C86DD3C1-4653-4043-AE66-DBBB9832613E}" name="Tipo de producto"/>
    <tableColumn id="14" xr3:uid="{ACCFEF3F-8430-446F-8960-BDD2AD697669}" name="Origen del lead"/>
    <tableColumn id="15" xr3:uid="{F9F9467E-20C6-41C5-AD53-5CC51A0D27A4}" name="Descripción"/>
    <tableColumn id="16" xr3:uid="{2D774AF0-9708-4ADB-B352-087A8912FF27}" name="Estado"/>
    <tableColumn id="21" xr3:uid="{49353322-6FAA-4192-BE45-4A6F45F91E06}" name="Monto de la oportunidad" dataDxfId="2"/>
    <tableColumn id="17" xr3:uid="{2DAC1E58-17ED-4E6F-B35F-8466D7D4A69C}" name="No. Cotización"/>
    <tableColumn id="18" xr3:uid="{F8EA6CCC-6236-48F0-8DFC-A71CCCD508B7}" name="Valor Cotización" dataDxfId="1"/>
    <tableColumn id="19" xr3:uid="{995F9AE6-3950-42C7-BC21-D585E6D7CFDF}" name="Fecha seguimiento"/>
    <tableColumn id="23" xr3:uid="{907CCCFB-DAD3-4EAD-851C-D2D3E396E90A}" name="Semana" dataDxfId="0">
      <calculatedColumnFormula>WEEKNUM(CRM[[#This Row],[Fecha]])</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Fecha" xr10:uid="{9E695418-AF64-4562-9A67-9CEB3C95CA35}" sourceName="Fecha">
  <pivotTables>
    <pivotTable tabId="5" name="TablaDinámica2"/>
    <pivotTable tabId="5" name="TablaDinámica4"/>
  </pivotTables>
  <state minimalRefreshVersion="6" lastRefreshVersion="6" pivotCacheId="691441998" filterType="dateEqual">
    <selection startDate="2025-10-31T00:00:00" endDate="2025-10-31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Fecha" xr10:uid="{0C3758F8-2E7E-4158-9D29-B914E6A995AC}" cache="NativeTimeline_Fecha" caption="Fecha" level="2" selectionLevel="3" scrollPosition="2025-05-09T00:00:00"/>
  <timeline name="Fecha 1" xr10:uid="{B86C5A8A-5561-4F33-BE10-A7BAC65BE4A2}" cache="NativeTimeline_Fecha" caption="Fecha" level="3" selectionLevel="3" scrollPosition="2025-10-22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6" Type="http://schemas.openxmlformats.org/officeDocument/2006/relationships/hyperlink" Target="mailto:angeles.comerciales.ventas@gmail.com" TargetMode="External"/><Relationship Id="rId21" Type="http://schemas.openxmlformats.org/officeDocument/2006/relationships/hyperlink" Target="mailto:administraci&#243;n@hotelolaya.com.pe/gerencia@hotelolaya.com.pe" TargetMode="External"/><Relationship Id="rId42" Type="http://schemas.openxmlformats.org/officeDocument/2006/relationships/hyperlink" Target="mailto:informes@elangolochosica.com" TargetMode="External"/><Relationship Id="rId47" Type="http://schemas.openxmlformats.org/officeDocument/2006/relationships/hyperlink" Target="mailto:marco.condoriramos420@gmail.com" TargetMode="External"/><Relationship Id="rId63" Type="http://schemas.openxmlformats.org/officeDocument/2006/relationships/hyperlink" Target="mailto:mauro0905m@gmail.com" TargetMode="External"/><Relationship Id="rId68" Type="http://schemas.openxmlformats.org/officeDocument/2006/relationships/hyperlink" Target="mailto:info@hotellamolina.com.pe" TargetMode="External"/><Relationship Id="rId84" Type="http://schemas.openxmlformats.org/officeDocument/2006/relationships/hyperlink" Target="mailto:sandro.valdez@inkaterra.com" TargetMode="External"/><Relationship Id="rId89" Type="http://schemas.openxmlformats.org/officeDocument/2006/relationships/hyperlink" Target="mailto:info@hotellamolina.com.pe" TargetMode="External"/><Relationship Id="rId16" Type="http://schemas.openxmlformats.org/officeDocument/2006/relationships/hyperlink" Target="mailto:hotelcontinentalperu@gmail.com" TargetMode="External"/><Relationship Id="rId11" Type="http://schemas.openxmlformats.org/officeDocument/2006/relationships/hyperlink" Target="mailto:angeles.comerciales.ventas@gmail.com" TargetMode="External"/><Relationship Id="rId32" Type="http://schemas.openxmlformats.org/officeDocument/2006/relationships/hyperlink" Target="mailto:luis.alberto.ortiz.43@gmail.com" TargetMode="External"/><Relationship Id="rId37" Type="http://schemas.openxmlformats.org/officeDocument/2006/relationships/hyperlink" Target="mailto:hotel-palacio@hotmail.com" TargetMode="External"/><Relationship Id="rId53" Type="http://schemas.openxmlformats.org/officeDocument/2006/relationships/hyperlink" Target="mailto:info@aroromero.com" TargetMode="External"/><Relationship Id="rId58" Type="http://schemas.openxmlformats.org/officeDocument/2006/relationships/hyperlink" Target="mailto:lichiufb@gmail.com" TargetMode="External"/><Relationship Id="rId74" Type="http://schemas.openxmlformats.org/officeDocument/2006/relationships/hyperlink" Target="mailto:invotel@gmail.com" TargetMode="External"/><Relationship Id="rId79" Type="http://schemas.openxmlformats.org/officeDocument/2006/relationships/hyperlink" Target="mailto:asistente@kingdomhotelperu.com" TargetMode="External"/><Relationship Id="rId5" Type="http://schemas.openxmlformats.org/officeDocument/2006/relationships/hyperlink" Target="mailto:reservas@hotelanthonys.com" TargetMode="External"/><Relationship Id="rId90" Type="http://schemas.openxmlformats.org/officeDocument/2006/relationships/hyperlink" Target="mailto:invotel@gmail.com" TargetMode="External"/><Relationship Id="rId95" Type="http://schemas.openxmlformats.org/officeDocument/2006/relationships/hyperlink" Target="mailto:kontiki.miraflores.peru@gmail.com" TargetMode="External"/><Relationship Id="rId22" Type="http://schemas.openxmlformats.org/officeDocument/2006/relationships/hyperlink" Target="mailto:info@aroromero.com" TargetMode="External"/><Relationship Id="rId27" Type="http://schemas.openxmlformats.org/officeDocument/2006/relationships/hyperlink" Target="mailto:valgutsac@gmail.com" TargetMode="External"/><Relationship Id="rId43" Type="http://schemas.openxmlformats.org/officeDocument/2006/relationships/hyperlink" Target="mailto:fiorella22303@gmail.com" TargetMode="External"/><Relationship Id="rId48" Type="http://schemas.openxmlformats.org/officeDocument/2006/relationships/hyperlink" Target="mailto:lichiufb@gmail.com" TargetMode="External"/><Relationship Id="rId64" Type="http://schemas.openxmlformats.org/officeDocument/2006/relationships/hyperlink" Target="mailto:jenny13roes@gmail.com" TargetMode="External"/><Relationship Id="rId69" Type="http://schemas.openxmlformats.org/officeDocument/2006/relationships/hyperlink" Target="mailto:invotel@gmail.com" TargetMode="External"/><Relationship Id="rId80" Type="http://schemas.openxmlformats.org/officeDocument/2006/relationships/hyperlink" Target="mailto:reservas@hotelsanremoperu.com" TargetMode="External"/><Relationship Id="rId85" Type="http://schemas.openxmlformats.org/officeDocument/2006/relationships/hyperlink" Target="mailto:compras@hotelesjoseantonio.com" TargetMode="External"/><Relationship Id="rId3" Type="http://schemas.openxmlformats.org/officeDocument/2006/relationships/hyperlink" Target="mailto:hotelinternacional763@hotmail.com" TargetMode="External"/><Relationship Id="rId12" Type="http://schemas.openxmlformats.org/officeDocument/2006/relationships/hyperlink" Target="mailto:valgutsac@gmail.com" TargetMode="External"/><Relationship Id="rId17" Type="http://schemas.openxmlformats.org/officeDocument/2006/relationships/hyperlink" Target="mailto:hotel-palacio@hotmail.com" TargetMode="External"/><Relationship Id="rId25" Type="http://schemas.openxmlformats.org/officeDocument/2006/relationships/hyperlink" Target="mailto:carlos.herrera.gonzaga@gmail.com" TargetMode="External"/><Relationship Id="rId33" Type="http://schemas.openxmlformats.org/officeDocument/2006/relationships/hyperlink" Target="mailto:angeloqa12@gmail.com" TargetMode="External"/><Relationship Id="rId38" Type="http://schemas.openxmlformats.org/officeDocument/2006/relationships/hyperlink" Target="mailto:hotelinternacional763@hotmail.com" TargetMode="External"/><Relationship Id="rId46" Type="http://schemas.openxmlformats.org/officeDocument/2006/relationships/hyperlink" Target="mailto:valgutsac@gmail.com" TargetMode="External"/><Relationship Id="rId59" Type="http://schemas.openxmlformats.org/officeDocument/2006/relationships/hyperlink" Target="mailto:lichiufb@gmail.com" TargetMode="External"/><Relationship Id="rId67" Type="http://schemas.openxmlformats.org/officeDocument/2006/relationships/hyperlink" Target="mailto:reservas@hotelyeyas.com" TargetMode="External"/><Relationship Id="rId20" Type="http://schemas.openxmlformats.org/officeDocument/2006/relationships/hyperlink" Target="mailto:reservas@hotelanthonys.com" TargetMode="External"/><Relationship Id="rId41" Type="http://schemas.openxmlformats.org/officeDocument/2006/relationships/hyperlink" Target="mailto:info@aroromero.com" TargetMode="External"/><Relationship Id="rId54" Type="http://schemas.openxmlformats.org/officeDocument/2006/relationships/hyperlink" Target="mailto:informes@elangolochosica.com" TargetMode="External"/><Relationship Id="rId62" Type="http://schemas.openxmlformats.org/officeDocument/2006/relationships/hyperlink" Target="mailto:luis.alberto.ortiz.43@gmail.com" TargetMode="External"/><Relationship Id="rId70" Type="http://schemas.openxmlformats.org/officeDocument/2006/relationships/hyperlink" Target="mailto:servicios@corporacionlavassa.pe" TargetMode="External"/><Relationship Id="rId75" Type="http://schemas.openxmlformats.org/officeDocument/2006/relationships/hyperlink" Target="mailto:angeloqa12@gmail.com" TargetMode="External"/><Relationship Id="rId83" Type="http://schemas.openxmlformats.org/officeDocument/2006/relationships/hyperlink" Target="mailto:logistica.comunica@casa-andino.com" TargetMode="External"/><Relationship Id="rId88" Type="http://schemas.openxmlformats.org/officeDocument/2006/relationships/hyperlink" Target="mailto:sengu4lch@gmail.com" TargetMode="External"/><Relationship Id="rId91" Type="http://schemas.openxmlformats.org/officeDocument/2006/relationships/hyperlink" Target="mailto:cuentas@hotelboulevard.com.pe" TargetMode="External"/><Relationship Id="rId96" Type="http://schemas.openxmlformats.org/officeDocument/2006/relationships/hyperlink" Target="mailto:valgutsac@gmail.com" TargetMode="External"/><Relationship Id="rId1" Type="http://schemas.openxmlformats.org/officeDocument/2006/relationships/hyperlink" Target="mailto:hotelcontinentalperu@gmail.com" TargetMode="External"/><Relationship Id="rId6" Type="http://schemas.openxmlformats.org/officeDocument/2006/relationships/hyperlink" Target="mailto:administraci&#243;n@hotelolaya.com.pe/gerencia@hotelolaya.com.pe" TargetMode="External"/><Relationship Id="rId15" Type="http://schemas.openxmlformats.org/officeDocument/2006/relationships/hyperlink" Target="mailto:reservas@hotelanthonys.com" TargetMode="External"/><Relationship Id="rId23" Type="http://schemas.openxmlformats.org/officeDocument/2006/relationships/hyperlink" Target="mailto:informes@elangolochosica.com" TargetMode="External"/><Relationship Id="rId28" Type="http://schemas.openxmlformats.org/officeDocument/2006/relationships/hyperlink" Target="mailto:marco.condoriramos420@gmail.com" TargetMode="External"/><Relationship Id="rId36" Type="http://schemas.openxmlformats.org/officeDocument/2006/relationships/hyperlink" Target="mailto:hotelcontinentalperu@gmail.com" TargetMode="External"/><Relationship Id="rId49" Type="http://schemas.openxmlformats.org/officeDocument/2006/relationships/hyperlink" Target="mailto:lichiufb@gmail.com" TargetMode="External"/><Relationship Id="rId57" Type="http://schemas.openxmlformats.org/officeDocument/2006/relationships/hyperlink" Target="mailto:valgutsac@gmail.com" TargetMode="External"/><Relationship Id="rId10" Type="http://schemas.openxmlformats.org/officeDocument/2006/relationships/hyperlink" Target="mailto:carlos.herrera.gonzaga@gmail.com" TargetMode="External"/><Relationship Id="rId31" Type="http://schemas.openxmlformats.org/officeDocument/2006/relationships/hyperlink" Target="mailto:annie-lu-se@outlook.com" TargetMode="External"/><Relationship Id="rId44" Type="http://schemas.openxmlformats.org/officeDocument/2006/relationships/hyperlink" Target="mailto:carlos.herrera.gonzaga@gmail.com" TargetMode="External"/><Relationship Id="rId52" Type="http://schemas.openxmlformats.org/officeDocument/2006/relationships/hyperlink" Target="mailto:administraci&#243;n@hotelolaya.com.pe/gerencia@hotelolaya.com.pe" TargetMode="External"/><Relationship Id="rId60" Type="http://schemas.openxmlformats.org/officeDocument/2006/relationships/hyperlink" Target="mailto:jalvarado@barymas.com" TargetMode="External"/><Relationship Id="rId65" Type="http://schemas.openxmlformats.org/officeDocument/2006/relationships/hyperlink" Target="mailto:marco.condoriramos420@gmail.com" TargetMode="External"/><Relationship Id="rId73" Type="http://schemas.openxmlformats.org/officeDocument/2006/relationships/hyperlink" Target="mailto:info@hotellamolina.com.pe" TargetMode="External"/><Relationship Id="rId78" Type="http://schemas.openxmlformats.org/officeDocument/2006/relationships/hyperlink" Target="mailto:invotel@gmail.com" TargetMode="External"/><Relationship Id="rId81" Type="http://schemas.openxmlformats.org/officeDocument/2006/relationships/hyperlink" Target="mailto:annie-lu-se@outlook.com" TargetMode="External"/><Relationship Id="rId86" Type="http://schemas.openxmlformats.org/officeDocument/2006/relationships/hyperlink" Target="mailto:administraci&#243;n.modo@proper.com.pe" TargetMode="External"/><Relationship Id="rId94" Type="http://schemas.openxmlformats.org/officeDocument/2006/relationships/hyperlink" Target="mailto:reservas@hotelvilasanta.com" TargetMode="External"/><Relationship Id="rId4" Type="http://schemas.openxmlformats.org/officeDocument/2006/relationships/hyperlink" Target="mailto:gerencia@inkapath.com" TargetMode="External"/><Relationship Id="rId9" Type="http://schemas.openxmlformats.org/officeDocument/2006/relationships/hyperlink" Target="mailto:fiorella22303@gmail.com" TargetMode="External"/><Relationship Id="rId13" Type="http://schemas.openxmlformats.org/officeDocument/2006/relationships/hyperlink" Target="mailto:marco.condoriramos420@gmail.com" TargetMode="External"/><Relationship Id="rId18" Type="http://schemas.openxmlformats.org/officeDocument/2006/relationships/hyperlink" Target="mailto:hotelinternacional763@hotmail.com" TargetMode="External"/><Relationship Id="rId39" Type="http://schemas.openxmlformats.org/officeDocument/2006/relationships/hyperlink" Target="mailto:gerencia@inkapath.com" TargetMode="External"/><Relationship Id="rId34" Type="http://schemas.openxmlformats.org/officeDocument/2006/relationships/hyperlink" Target="mailto:sengu4lch@gmail.com" TargetMode="External"/><Relationship Id="rId50" Type="http://schemas.openxmlformats.org/officeDocument/2006/relationships/hyperlink" Target="mailto:angeloqa12@gmail.com" TargetMode="External"/><Relationship Id="rId55" Type="http://schemas.openxmlformats.org/officeDocument/2006/relationships/hyperlink" Target="mailto:carlos.herrera.gonzaga@gmail.com" TargetMode="External"/><Relationship Id="rId76" Type="http://schemas.openxmlformats.org/officeDocument/2006/relationships/hyperlink" Target="mailto:sengu4lch@gmail.com" TargetMode="External"/><Relationship Id="rId97" Type="http://schemas.openxmlformats.org/officeDocument/2006/relationships/hyperlink" Target="mailto:leonardo.rodriguez@decapolisperu.com" TargetMode="External"/><Relationship Id="rId7" Type="http://schemas.openxmlformats.org/officeDocument/2006/relationships/hyperlink" Target="mailto:info@aroromero.com" TargetMode="External"/><Relationship Id="rId71" Type="http://schemas.openxmlformats.org/officeDocument/2006/relationships/hyperlink" Target="mailto:angeloqa12@gmail.com" TargetMode="External"/><Relationship Id="rId92" Type="http://schemas.openxmlformats.org/officeDocument/2006/relationships/hyperlink" Target="mailto:leonardo.rodriguez@decapolisperu.com" TargetMode="External"/><Relationship Id="rId2" Type="http://schemas.openxmlformats.org/officeDocument/2006/relationships/hyperlink" Target="mailto:hotel-palacio@hotmail.com" TargetMode="External"/><Relationship Id="rId29" Type="http://schemas.openxmlformats.org/officeDocument/2006/relationships/hyperlink" Target="mailto:lichiufb@gmail.com" TargetMode="External"/><Relationship Id="rId24" Type="http://schemas.openxmlformats.org/officeDocument/2006/relationships/hyperlink" Target="mailto:fiorella22303@gmail.com" TargetMode="External"/><Relationship Id="rId40" Type="http://schemas.openxmlformats.org/officeDocument/2006/relationships/hyperlink" Target="mailto:administraci&#243;n@hotelolaya.com.pe/gerencia@hotelolaya.com.pe" TargetMode="External"/><Relationship Id="rId45" Type="http://schemas.openxmlformats.org/officeDocument/2006/relationships/hyperlink" Target="mailto:angeles.comerciales.ventas@gmail.com" TargetMode="External"/><Relationship Id="rId66" Type="http://schemas.openxmlformats.org/officeDocument/2006/relationships/hyperlink" Target="mailto:khernandez@elbosque.org.pe" TargetMode="External"/><Relationship Id="rId87" Type="http://schemas.openxmlformats.org/officeDocument/2006/relationships/hyperlink" Target="mailto:angeloqa12@gmail.com" TargetMode="External"/><Relationship Id="rId61" Type="http://schemas.openxmlformats.org/officeDocument/2006/relationships/hyperlink" Target="mailto:annie-lu-se@outlook.com" TargetMode="External"/><Relationship Id="rId82" Type="http://schemas.openxmlformats.org/officeDocument/2006/relationships/hyperlink" Target="mailto:adm.suites@hotelesinkari.com" TargetMode="External"/><Relationship Id="rId19" Type="http://schemas.openxmlformats.org/officeDocument/2006/relationships/hyperlink" Target="mailto:gerencia@inkapath.com" TargetMode="External"/><Relationship Id="rId14" Type="http://schemas.openxmlformats.org/officeDocument/2006/relationships/hyperlink" Target="mailto:lichiufb@gmail.com" TargetMode="External"/><Relationship Id="rId30" Type="http://schemas.openxmlformats.org/officeDocument/2006/relationships/hyperlink" Target="mailto:jalvarado@barymas.com" TargetMode="External"/><Relationship Id="rId35" Type="http://schemas.openxmlformats.org/officeDocument/2006/relationships/hyperlink" Target="mailto:reservas@hotelanthonys.com" TargetMode="External"/><Relationship Id="rId56" Type="http://schemas.openxmlformats.org/officeDocument/2006/relationships/hyperlink" Target="mailto:angeles.comerciales.ventas@gmail.com" TargetMode="External"/><Relationship Id="rId77" Type="http://schemas.openxmlformats.org/officeDocument/2006/relationships/hyperlink" Target="mailto:info@hotellamolina.com.pe" TargetMode="External"/><Relationship Id="rId8" Type="http://schemas.openxmlformats.org/officeDocument/2006/relationships/hyperlink" Target="mailto:informes@elangolochosica.com" TargetMode="External"/><Relationship Id="rId51" Type="http://schemas.openxmlformats.org/officeDocument/2006/relationships/hyperlink" Target="mailto:sengu4lch@gmail.com" TargetMode="External"/><Relationship Id="rId72" Type="http://schemas.openxmlformats.org/officeDocument/2006/relationships/hyperlink" Target="mailto:sengu4lch@gmail.com" TargetMode="External"/><Relationship Id="rId93" Type="http://schemas.openxmlformats.org/officeDocument/2006/relationships/hyperlink" Target="mailto:luis_maldonado2000@hotmail.com" TargetMode="External"/><Relationship Id="rId9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FFE8B-B2D4-4E74-91BA-CF19C4E83D98}">
  <dimension ref="A1:N87"/>
  <sheetViews>
    <sheetView zoomScale="54" workbookViewId="0">
      <selection activeCell="B4" sqref="B4"/>
    </sheetView>
  </sheetViews>
  <sheetFormatPr baseColWidth="10" defaultColWidth="8.7109375" defaultRowHeight="15" x14ac:dyDescent="0.25"/>
  <cols>
    <col min="1" max="1" width="14.7109375" customWidth="1"/>
    <col min="2" max="2" width="15.140625" bestFit="1" customWidth="1"/>
    <col min="3" max="3" width="240.5703125" bestFit="1" customWidth="1"/>
    <col min="4" max="4" width="22.140625" bestFit="1" customWidth="1"/>
    <col min="5" max="5" width="11" bestFit="1" customWidth="1"/>
    <col min="6" max="6" width="12.28515625" bestFit="1" customWidth="1"/>
    <col min="12" max="12" width="25.42578125" customWidth="1"/>
    <col min="13" max="13" width="20.5703125" customWidth="1"/>
    <col min="14" max="15" width="255.5703125" bestFit="1" customWidth="1"/>
    <col min="16" max="16" width="11.42578125" bestFit="1" customWidth="1"/>
  </cols>
  <sheetData>
    <row r="1" spans="1:14" x14ac:dyDescent="0.25">
      <c r="L1" s="5" t="s">
        <v>0</v>
      </c>
      <c r="M1" t="s">
        <v>470</v>
      </c>
    </row>
    <row r="2" spans="1:14" x14ac:dyDescent="0.25">
      <c r="A2" s="8" t="s">
        <v>2</v>
      </c>
      <c r="B2" s="8"/>
    </row>
    <row r="3" spans="1:14" x14ac:dyDescent="0.25">
      <c r="A3" s="5" t="s">
        <v>3</v>
      </c>
      <c r="B3" t="s">
        <v>4</v>
      </c>
      <c r="L3" s="5" t="s">
        <v>5</v>
      </c>
      <c r="M3" s="5" t="s">
        <v>3</v>
      </c>
      <c r="N3" s="5" t="s">
        <v>6</v>
      </c>
    </row>
    <row r="4" spans="1:14" ht="30" x14ac:dyDescent="0.25">
      <c r="A4" s="22">
        <v>45950</v>
      </c>
      <c r="B4">
        <v>2</v>
      </c>
      <c r="L4" t="s">
        <v>185</v>
      </c>
      <c r="M4" s="22">
        <v>45954</v>
      </c>
      <c r="N4" s="1" t="s">
        <v>188</v>
      </c>
    </row>
    <row r="5" spans="1:14" x14ac:dyDescent="0.25">
      <c r="A5" s="22">
        <v>45951</v>
      </c>
      <c r="B5">
        <v>7</v>
      </c>
      <c r="M5" s="22">
        <v>45957</v>
      </c>
      <c r="N5" t="s">
        <v>237</v>
      </c>
    </row>
    <row r="6" spans="1:14" x14ac:dyDescent="0.25">
      <c r="A6" s="22">
        <v>45952</v>
      </c>
      <c r="B6">
        <v>11</v>
      </c>
      <c r="L6" t="s">
        <v>15</v>
      </c>
      <c r="M6" s="22">
        <v>45952</v>
      </c>
      <c r="N6" t="s">
        <v>131</v>
      </c>
    </row>
    <row r="7" spans="1:14" x14ac:dyDescent="0.25">
      <c r="A7" s="22">
        <v>45953</v>
      </c>
      <c r="B7">
        <v>3</v>
      </c>
      <c r="M7" s="22">
        <v>45954</v>
      </c>
      <c r="N7" t="s">
        <v>177</v>
      </c>
    </row>
    <row r="8" spans="1:14" x14ac:dyDescent="0.25">
      <c r="A8" s="22">
        <v>45954</v>
      </c>
      <c r="B8">
        <v>26</v>
      </c>
      <c r="M8" s="22">
        <v>45955</v>
      </c>
      <c r="N8" t="s">
        <v>218</v>
      </c>
    </row>
    <row r="9" spans="1:14" x14ac:dyDescent="0.25">
      <c r="A9" s="22">
        <v>45955</v>
      </c>
      <c r="B9">
        <v>28</v>
      </c>
      <c r="M9" s="22">
        <v>45957</v>
      </c>
      <c r="N9" t="s">
        <v>233</v>
      </c>
    </row>
    <row r="10" spans="1:14" x14ac:dyDescent="0.25">
      <c r="A10" s="22">
        <v>45957</v>
      </c>
      <c r="B10">
        <v>28</v>
      </c>
      <c r="M10" s="22">
        <v>45958</v>
      </c>
      <c r="N10" t="s">
        <v>233</v>
      </c>
    </row>
    <row r="11" spans="1:14" x14ac:dyDescent="0.25">
      <c r="A11" s="22">
        <v>45958</v>
      </c>
      <c r="B11">
        <v>26</v>
      </c>
      <c r="M11" s="22">
        <v>45959</v>
      </c>
      <c r="N11" t="s">
        <v>233</v>
      </c>
    </row>
    <row r="12" spans="1:14" x14ac:dyDescent="0.25">
      <c r="A12" s="22">
        <v>45959</v>
      </c>
      <c r="B12">
        <v>34</v>
      </c>
      <c r="M12" s="22">
        <v>45960</v>
      </c>
      <c r="N12" t="s">
        <v>380</v>
      </c>
    </row>
    <row r="13" spans="1:14" x14ac:dyDescent="0.25">
      <c r="A13" s="22">
        <v>45960</v>
      </c>
      <c r="B13">
        <v>28</v>
      </c>
      <c r="M13" s="22">
        <v>45961</v>
      </c>
      <c r="N13" t="s">
        <v>16</v>
      </c>
    </row>
    <row r="14" spans="1:14" x14ac:dyDescent="0.25">
      <c r="A14" s="22">
        <v>45961</v>
      </c>
      <c r="B14">
        <v>38</v>
      </c>
      <c r="L14" t="s">
        <v>53</v>
      </c>
      <c r="M14" s="22">
        <v>45950</v>
      </c>
      <c r="N14" t="s">
        <v>60</v>
      </c>
    </row>
    <row r="15" spans="1:14" x14ac:dyDescent="0.25">
      <c r="A15" s="22">
        <v>45965</v>
      </c>
      <c r="B15">
        <v>3</v>
      </c>
      <c r="M15" s="22">
        <v>45954</v>
      </c>
      <c r="N15" t="s">
        <v>160</v>
      </c>
    </row>
    <row r="16" spans="1:14" x14ac:dyDescent="0.25">
      <c r="A16" t="s">
        <v>11</v>
      </c>
      <c r="B16">
        <v>234</v>
      </c>
      <c r="M16" s="22">
        <v>45955</v>
      </c>
      <c r="N16" t="s">
        <v>213</v>
      </c>
    </row>
    <row r="17" spans="1:14" x14ac:dyDescent="0.25">
      <c r="L17" t="s">
        <v>150</v>
      </c>
      <c r="M17" s="22">
        <v>45953</v>
      </c>
      <c r="N17" t="s">
        <v>152</v>
      </c>
    </row>
    <row r="18" spans="1:14" x14ac:dyDescent="0.25">
      <c r="M18" s="22">
        <v>45954</v>
      </c>
      <c r="N18" t="s">
        <v>179</v>
      </c>
    </row>
    <row r="19" spans="1:14" x14ac:dyDescent="0.25">
      <c r="A19" s="5" t="s">
        <v>0</v>
      </c>
      <c r="B19" t="s">
        <v>12</v>
      </c>
      <c r="M19" s="22">
        <v>45955</v>
      </c>
      <c r="N19" t="s">
        <v>222</v>
      </c>
    </row>
    <row r="20" spans="1:14" x14ac:dyDescent="0.25">
      <c r="A20" s="8" t="s">
        <v>13</v>
      </c>
      <c r="L20" t="s">
        <v>17</v>
      </c>
      <c r="M20" s="22">
        <v>45952</v>
      </c>
      <c r="N20" t="s">
        <v>142</v>
      </c>
    </row>
    <row r="21" spans="1:14" ht="30" x14ac:dyDescent="0.25">
      <c r="A21" s="5" t="s">
        <v>3</v>
      </c>
      <c r="B21" s="5" t="s">
        <v>5</v>
      </c>
      <c r="C21" s="5" t="s">
        <v>6</v>
      </c>
      <c r="D21" s="1" t="s">
        <v>14</v>
      </c>
      <c r="M21" s="22">
        <v>45954</v>
      </c>
      <c r="N21" t="s">
        <v>176</v>
      </c>
    </row>
    <row r="22" spans="1:14" x14ac:dyDescent="0.25">
      <c r="A22" s="22">
        <v>45961</v>
      </c>
      <c r="B22" t="s">
        <v>15</v>
      </c>
      <c r="C22" s="1" t="s">
        <v>16</v>
      </c>
      <c r="M22" s="22">
        <v>45955</v>
      </c>
      <c r="N22" t="s">
        <v>220</v>
      </c>
    </row>
    <row r="23" spans="1:14" x14ac:dyDescent="0.25">
      <c r="B23" t="s">
        <v>17</v>
      </c>
      <c r="C23" s="1" t="s">
        <v>18</v>
      </c>
      <c r="D23">
        <v>1</v>
      </c>
      <c r="M23" s="22">
        <v>45957</v>
      </c>
      <c r="N23" t="s">
        <v>235</v>
      </c>
    </row>
    <row r="24" spans="1:14" x14ac:dyDescent="0.25">
      <c r="B24" t="s">
        <v>19</v>
      </c>
      <c r="C24" s="1" t="s">
        <v>20</v>
      </c>
      <c r="D24">
        <v>1</v>
      </c>
      <c r="M24" s="22">
        <v>45958</v>
      </c>
      <c r="N24" t="s">
        <v>235</v>
      </c>
    </row>
    <row r="25" spans="1:14" x14ac:dyDescent="0.25">
      <c r="B25" t="s">
        <v>21</v>
      </c>
      <c r="C25" s="1" t="s">
        <v>22</v>
      </c>
      <c r="D25">
        <v>1</v>
      </c>
      <c r="M25" s="22">
        <v>45959</v>
      </c>
      <c r="N25" t="s">
        <v>314</v>
      </c>
    </row>
    <row r="26" spans="1:14" x14ac:dyDescent="0.25">
      <c r="C26" s="1" t="s">
        <v>23</v>
      </c>
      <c r="D26">
        <v>1</v>
      </c>
      <c r="M26" s="22">
        <v>45960</v>
      </c>
      <c r="N26" t="s">
        <v>381</v>
      </c>
    </row>
    <row r="27" spans="1:14" x14ac:dyDescent="0.25">
      <c r="B27" t="s">
        <v>24</v>
      </c>
      <c r="C27" s="1" t="s">
        <v>25</v>
      </c>
      <c r="D27">
        <v>1</v>
      </c>
      <c r="M27" s="22">
        <v>45961</v>
      </c>
      <c r="N27" t="s">
        <v>18</v>
      </c>
    </row>
    <row r="28" spans="1:14" x14ac:dyDescent="0.25">
      <c r="B28" t="s">
        <v>26</v>
      </c>
      <c r="C28" s="1" t="s">
        <v>27</v>
      </c>
      <c r="D28">
        <v>1</v>
      </c>
      <c r="L28" t="s">
        <v>19</v>
      </c>
      <c r="M28" s="22">
        <v>45954</v>
      </c>
      <c r="N28" t="s">
        <v>193</v>
      </c>
    </row>
    <row r="29" spans="1:14" x14ac:dyDescent="0.25">
      <c r="B29" t="s">
        <v>28</v>
      </c>
      <c r="C29" s="1" t="s">
        <v>29</v>
      </c>
      <c r="D29">
        <v>1</v>
      </c>
      <c r="M29" s="22">
        <v>45957</v>
      </c>
      <c r="N29" t="s">
        <v>238</v>
      </c>
    </row>
    <row r="30" spans="1:14" x14ac:dyDescent="0.25">
      <c r="B30" t="s">
        <v>30</v>
      </c>
      <c r="C30" s="1" t="s">
        <v>31</v>
      </c>
      <c r="D30">
        <v>1</v>
      </c>
      <c r="M30" s="22">
        <v>45958</v>
      </c>
      <c r="N30" t="s">
        <v>286</v>
      </c>
    </row>
    <row r="31" spans="1:14" x14ac:dyDescent="0.25">
      <c r="A31" t="s">
        <v>11</v>
      </c>
      <c r="D31">
        <v>8</v>
      </c>
      <c r="M31" s="22">
        <v>45959</v>
      </c>
      <c r="N31" t="s">
        <v>286</v>
      </c>
    </row>
    <row r="32" spans="1:14" x14ac:dyDescent="0.25">
      <c r="M32" s="22">
        <v>45960</v>
      </c>
      <c r="N32" t="s">
        <v>286</v>
      </c>
    </row>
    <row r="33" spans="1:14" x14ac:dyDescent="0.25">
      <c r="M33" s="22">
        <v>45961</v>
      </c>
      <c r="N33" t="s">
        <v>20</v>
      </c>
    </row>
    <row r="34" spans="1:14" x14ac:dyDescent="0.25">
      <c r="L34" t="s">
        <v>7</v>
      </c>
      <c r="M34" s="22">
        <v>45952</v>
      </c>
      <c r="N34" t="s">
        <v>136</v>
      </c>
    </row>
    <row r="35" spans="1:14" x14ac:dyDescent="0.25">
      <c r="A35" s="35" t="s">
        <v>43</v>
      </c>
      <c r="B35" s="8" t="s">
        <v>38</v>
      </c>
      <c r="M35" s="22">
        <v>45954</v>
      </c>
      <c r="N35" t="s">
        <v>178</v>
      </c>
    </row>
    <row r="36" spans="1:14" x14ac:dyDescent="0.25">
      <c r="A36" s="8" t="s">
        <v>13</v>
      </c>
      <c r="M36" s="22">
        <v>45955</v>
      </c>
      <c r="N36" t="s">
        <v>219</v>
      </c>
    </row>
    <row r="37" spans="1:14" ht="30" x14ac:dyDescent="0.25">
      <c r="A37" s="5" t="s">
        <v>3</v>
      </c>
      <c r="B37" s="5" t="s">
        <v>5</v>
      </c>
      <c r="C37" s="5" t="s">
        <v>6</v>
      </c>
      <c r="D37" s="1" t="s">
        <v>14</v>
      </c>
      <c r="M37" s="22">
        <v>45957</v>
      </c>
      <c r="N37" t="s">
        <v>234</v>
      </c>
    </row>
    <row r="38" spans="1:14" x14ac:dyDescent="0.25">
      <c r="A38" s="22">
        <v>45961</v>
      </c>
      <c r="B38" t="s">
        <v>15</v>
      </c>
      <c r="C38" s="1" t="s">
        <v>16</v>
      </c>
      <c r="M38" s="22">
        <v>45958</v>
      </c>
      <c r="N38" s="1" t="s">
        <v>282</v>
      </c>
    </row>
    <row r="39" spans="1:14" x14ac:dyDescent="0.25">
      <c r="B39" t="s">
        <v>17</v>
      </c>
      <c r="C39" s="1" t="s">
        <v>18</v>
      </c>
      <c r="D39">
        <v>1</v>
      </c>
      <c r="M39" s="22">
        <v>45959</v>
      </c>
      <c r="N39" s="1" t="s">
        <v>282</v>
      </c>
    </row>
    <row r="40" spans="1:14" x14ac:dyDescent="0.25">
      <c r="B40" t="s">
        <v>19</v>
      </c>
      <c r="C40" s="1" t="s">
        <v>20</v>
      </c>
      <c r="D40">
        <v>1</v>
      </c>
      <c r="M40" s="22">
        <v>45960</v>
      </c>
      <c r="N40" s="1" t="s">
        <v>282</v>
      </c>
    </row>
    <row r="41" spans="1:14" x14ac:dyDescent="0.25">
      <c r="B41" t="s">
        <v>21</v>
      </c>
      <c r="C41" s="1" t="s">
        <v>22</v>
      </c>
      <c r="D41">
        <v>1</v>
      </c>
      <c r="L41" t="s">
        <v>123</v>
      </c>
      <c r="M41" s="22">
        <v>45952</v>
      </c>
      <c r="N41" t="s">
        <v>125</v>
      </c>
    </row>
    <row r="42" spans="1:14" x14ac:dyDescent="0.25">
      <c r="C42" s="1" t="s">
        <v>23</v>
      </c>
      <c r="D42">
        <v>1</v>
      </c>
      <c r="M42" s="22">
        <v>45954</v>
      </c>
      <c r="N42" t="s">
        <v>176</v>
      </c>
    </row>
    <row r="43" spans="1:14" x14ac:dyDescent="0.25">
      <c r="B43" t="s">
        <v>24</v>
      </c>
      <c r="C43" s="1" t="s">
        <v>25</v>
      </c>
      <c r="D43">
        <v>1</v>
      </c>
      <c r="M43" s="22">
        <v>45955</v>
      </c>
      <c r="N43" t="s">
        <v>213</v>
      </c>
    </row>
    <row r="44" spans="1:14" x14ac:dyDescent="0.25">
      <c r="B44" t="s">
        <v>228</v>
      </c>
      <c r="C44" t="s">
        <v>27</v>
      </c>
      <c r="L44" t="s">
        <v>21</v>
      </c>
      <c r="M44" s="22">
        <v>45953</v>
      </c>
      <c r="N44" t="s">
        <v>158</v>
      </c>
    </row>
    <row r="45" spans="1:14" x14ac:dyDescent="0.25">
      <c r="C45" t="s">
        <v>384</v>
      </c>
      <c r="M45" s="22">
        <v>45954</v>
      </c>
      <c r="N45" s="1" t="s">
        <v>181</v>
      </c>
    </row>
    <row r="46" spans="1:14" x14ac:dyDescent="0.25">
      <c r="C46" t="s">
        <v>385</v>
      </c>
      <c r="M46" s="22">
        <v>45955</v>
      </c>
      <c r="N46" t="s">
        <v>223</v>
      </c>
    </row>
    <row r="47" spans="1:14" x14ac:dyDescent="0.25">
      <c r="C47" t="s">
        <v>396</v>
      </c>
      <c r="M47" s="22">
        <v>45957</v>
      </c>
      <c r="N47" t="s">
        <v>236</v>
      </c>
    </row>
    <row r="48" spans="1:14" x14ac:dyDescent="0.25">
      <c r="C48" t="s">
        <v>397</v>
      </c>
      <c r="M48" s="22">
        <v>45958</v>
      </c>
      <c r="N48" t="s">
        <v>283</v>
      </c>
    </row>
    <row r="49" spans="1:14" x14ac:dyDescent="0.25">
      <c r="B49" t="s">
        <v>306</v>
      </c>
      <c r="C49" t="s">
        <v>410</v>
      </c>
      <c r="D49">
        <v>1</v>
      </c>
      <c r="M49" s="22">
        <v>45959</v>
      </c>
      <c r="N49" t="s">
        <v>316</v>
      </c>
    </row>
    <row r="50" spans="1:14" x14ac:dyDescent="0.25">
      <c r="B50" t="s">
        <v>26</v>
      </c>
      <c r="C50" s="1" t="s">
        <v>27</v>
      </c>
      <c r="D50">
        <v>1</v>
      </c>
      <c r="N50" t="s">
        <v>317</v>
      </c>
    </row>
    <row r="51" spans="1:14" x14ac:dyDescent="0.25">
      <c r="B51" t="s">
        <v>28</v>
      </c>
      <c r="C51" s="1" t="s">
        <v>29</v>
      </c>
      <c r="D51">
        <v>1</v>
      </c>
      <c r="M51" s="22">
        <v>45960</v>
      </c>
      <c r="N51" t="s">
        <v>383</v>
      </c>
    </row>
    <row r="52" spans="1:14" x14ac:dyDescent="0.25">
      <c r="B52" t="s">
        <v>9</v>
      </c>
      <c r="C52" t="s">
        <v>10</v>
      </c>
      <c r="D52">
        <v>1</v>
      </c>
      <c r="M52" s="22">
        <v>45961</v>
      </c>
      <c r="N52" t="s">
        <v>22</v>
      </c>
    </row>
    <row r="53" spans="1:14" x14ac:dyDescent="0.25">
      <c r="B53" t="s">
        <v>30</v>
      </c>
      <c r="C53" s="1" t="s">
        <v>31</v>
      </c>
      <c r="D53">
        <v>1</v>
      </c>
      <c r="N53" t="s">
        <v>23</v>
      </c>
    </row>
    <row r="54" spans="1:14" x14ac:dyDescent="0.25">
      <c r="B54" t="s">
        <v>463</v>
      </c>
      <c r="C54" t="s">
        <v>8</v>
      </c>
      <c r="D54">
        <v>1</v>
      </c>
      <c r="L54" t="s">
        <v>95</v>
      </c>
      <c r="M54" s="22">
        <v>45955</v>
      </c>
      <c r="N54" s="1" t="s">
        <v>213</v>
      </c>
    </row>
    <row r="55" spans="1:14" x14ac:dyDescent="0.25">
      <c r="A55" t="s">
        <v>11</v>
      </c>
      <c r="D55">
        <v>11</v>
      </c>
      <c r="L55" t="s">
        <v>24</v>
      </c>
      <c r="M55" s="22">
        <v>45953</v>
      </c>
      <c r="N55" t="s">
        <v>146</v>
      </c>
    </row>
    <row r="56" spans="1:14" x14ac:dyDescent="0.25">
      <c r="M56" s="22">
        <v>45954</v>
      </c>
      <c r="N56" t="s">
        <v>176</v>
      </c>
    </row>
    <row r="57" spans="1:14" x14ac:dyDescent="0.25">
      <c r="M57" s="22">
        <v>45955</v>
      </c>
      <c r="N57" t="s">
        <v>221</v>
      </c>
    </row>
    <row r="58" spans="1:14" x14ac:dyDescent="0.25">
      <c r="M58" s="22">
        <v>45957</v>
      </c>
      <c r="N58" t="s">
        <v>235</v>
      </c>
    </row>
    <row r="59" spans="1:14" x14ac:dyDescent="0.25">
      <c r="M59" s="22">
        <v>45958</v>
      </c>
      <c r="N59" t="s">
        <v>235</v>
      </c>
    </row>
    <row r="60" spans="1:14" x14ac:dyDescent="0.25">
      <c r="M60" s="22">
        <v>45959</v>
      </c>
      <c r="N60" t="s">
        <v>315</v>
      </c>
    </row>
    <row r="61" spans="1:14" x14ac:dyDescent="0.25">
      <c r="M61" s="22">
        <v>45960</v>
      </c>
      <c r="N61" t="s">
        <v>382</v>
      </c>
    </row>
    <row r="62" spans="1:14" x14ac:dyDescent="0.25">
      <c r="M62" s="22">
        <v>45961</v>
      </c>
      <c r="N62" t="s">
        <v>25</v>
      </c>
    </row>
    <row r="63" spans="1:14" x14ac:dyDescent="0.25">
      <c r="L63" t="s">
        <v>199</v>
      </c>
      <c r="M63" s="22">
        <v>45955</v>
      </c>
      <c r="N63" t="s">
        <v>202</v>
      </c>
    </row>
    <row r="64" spans="1:14" x14ac:dyDescent="0.25">
      <c r="L64" t="s">
        <v>207</v>
      </c>
      <c r="M64" s="22">
        <v>45955</v>
      </c>
      <c r="N64" t="s">
        <v>209</v>
      </c>
    </row>
    <row r="65" spans="12:14" x14ac:dyDescent="0.25">
      <c r="M65" s="22">
        <v>45957</v>
      </c>
      <c r="N65" t="s">
        <v>209</v>
      </c>
    </row>
    <row r="66" spans="12:14" x14ac:dyDescent="0.25">
      <c r="L66" t="s">
        <v>226</v>
      </c>
      <c r="M66" s="22">
        <v>45957</v>
      </c>
      <c r="N66" t="s">
        <v>227</v>
      </c>
    </row>
    <row r="67" spans="12:14" x14ac:dyDescent="0.25">
      <c r="L67" t="s">
        <v>277</v>
      </c>
      <c r="M67" s="22">
        <v>45958</v>
      </c>
      <c r="N67" s="1" t="s">
        <v>278</v>
      </c>
    </row>
    <row r="68" spans="12:14" x14ac:dyDescent="0.25">
      <c r="L68" t="s">
        <v>306</v>
      </c>
      <c r="M68" s="22">
        <v>45958</v>
      </c>
      <c r="N68" t="s">
        <v>307</v>
      </c>
    </row>
    <row r="69" spans="12:14" x14ac:dyDescent="0.25">
      <c r="M69" s="22">
        <v>45959</v>
      </c>
      <c r="N69" t="s">
        <v>327</v>
      </c>
    </row>
    <row r="70" spans="12:14" x14ac:dyDescent="0.25">
      <c r="M70" s="22">
        <v>45960</v>
      </c>
      <c r="N70" t="s">
        <v>389</v>
      </c>
    </row>
    <row r="71" spans="12:14" x14ac:dyDescent="0.25">
      <c r="L71" t="s">
        <v>26</v>
      </c>
      <c r="M71" s="22">
        <v>45958</v>
      </c>
      <c r="N71" t="s">
        <v>291</v>
      </c>
    </row>
    <row r="72" spans="12:14" x14ac:dyDescent="0.25">
      <c r="M72" s="22">
        <v>45959</v>
      </c>
      <c r="N72" t="s">
        <v>321</v>
      </c>
    </row>
    <row r="73" spans="12:14" x14ac:dyDescent="0.25">
      <c r="M73" s="22">
        <v>45960</v>
      </c>
      <c r="N73" t="s">
        <v>386</v>
      </c>
    </row>
    <row r="74" spans="12:14" x14ac:dyDescent="0.25">
      <c r="M74" s="22">
        <v>45961</v>
      </c>
      <c r="N74" t="s">
        <v>27</v>
      </c>
    </row>
    <row r="75" spans="12:14" x14ac:dyDescent="0.25">
      <c r="L75" t="s">
        <v>28</v>
      </c>
      <c r="M75" s="22">
        <v>45958</v>
      </c>
      <c r="N75" t="s">
        <v>280</v>
      </c>
    </row>
    <row r="76" spans="12:14" x14ac:dyDescent="0.25">
      <c r="M76" s="22">
        <v>45959</v>
      </c>
      <c r="N76" t="s">
        <v>310</v>
      </c>
    </row>
    <row r="77" spans="12:14" x14ac:dyDescent="0.25">
      <c r="M77" s="22">
        <v>45960</v>
      </c>
      <c r="N77" t="s">
        <v>377</v>
      </c>
    </row>
    <row r="78" spans="12:14" x14ac:dyDescent="0.25">
      <c r="M78" s="22">
        <v>45961</v>
      </c>
      <c r="N78" t="s">
        <v>29</v>
      </c>
    </row>
    <row r="79" spans="12:14" x14ac:dyDescent="0.25">
      <c r="L79" t="s">
        <v>9</v>
      </c>
      <c r="M79" s="22">
        <v>45959</v>
      </c>
      <c r="N79" s="1" t="s">
        <v>10</v>
      </c>
    </row>
    <row r="80" spans="12:14" x14ac:dyDescent="0.25">
      <c r="M80" s="22">
        <v>45960</v>
      </c>
      <c r="N80" s="1" t="s">
        <v>10</v>
      </c>
    </row>
    <row r="81" spans="12:14" x14ac:dyDescent="0.25">
      <c r="M81" s="22">
        <v>45961</v>
      </c>
      <c r="N81" s="1" t="s">
        <v>10</v>
      </c>
    </row>
    <row r="82" spans="12:14" x14ac:dyDescent="0.25">
      <c r="M82" s="22">
        <v>45965</v>
      </c>
      <c r="N82" s="1" t="s">
        <v>466</v>
      </c>
    </row>
    <row r="83" spans="12:14" x14ac:dyDescent="0.25">
      <c r="L83" t="s">
        <v>30</v>
      </c>
      <c r="M83" s="22">
        <v>45960</v>
      </c>
      <c r="N83" t="s">
        <v>375</v>
      </c>
    </row>
    <row r="84" spans="12:14" x14ac:dyDescent="0.25">
      <c r="M84" s="22">
        <v>45961</v>
      </c>
      <c r="N84" t="s">
        <v>31</v>
      </c>
    </row>
    <row r="85" spans="12:14" ht="30" x14ac:dyDescent="0.25">
      <c r="L85" t="s">
        <v>463</v>
      </c>
      <c r="M85" s="22">
        <v>45961</v>
      </c>
      <c r="N85" s="1" t="s">
        <v>8</v>
      </c>
    </row>
    <row r="86" spans="12:14" x14ac:dyDescent="0.25">
      <c r="M86" s="22">
        <v>45965</v>
      </c>
      <c r="N86" s="1" t="s">
        <v>467</v>
      </c>
    </row>
    <row r="87" spans="12:14" x14ac:dyDescent="0.25">
      <c r="L87" t="s">
        <v>11</v>
      </c>
    </row>
  </sheetData>
  <pageMargins left="0.7" right="0.7" top="0.75" bottom="0.75" header="0.3" footer="0.3"/>
  <pageSetup orientation="portrait" r:id="rId5"/>
  <drawing r:id="rId6"/>
  <extLs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C4E76-E006-4DD6-B559-96D9C797FB7C}">
  <sheetPr>
    <tabColor theme="8" tint="0.59999389629810485"/>
  </sheetPr>
  <dimension ref="A2:V238"/>
  <sheetViews>
    <sheetView zoomScale="70" zoomScaleNormal="70" workbookViewId="0">
      <pane xSplit="1" ySplit="2" topLeftCell="B3" activePane="bottomRight" state="frozen"/>
      <selection pane="topRight" activeCell="B1" sqref="B1"/>
      <selection pane="bottomLeft" activeCell="A3" sqref="A3"/>
      <selection pane="bottomRight" activeCell="U14" sqref="U14"/>
      <extLst>
        <ext xmlns:xlsdti="http://schemas.microsoft.com/office/spreadsheetml/2023/showDataTypeIcons" uri="{77bfe23e-c014-4d31-8a63-9c772dbf06b6}">
          <xlsdti:showDataTypeIcons visible="0"/>
        </ext>
      </extLst>
    </sheetView>
  </sheetViews>
  <sheetFormatPr baseColWidth="10" defaultColWidth="11.42578125" defaultRowHeight="15" x14ac:dyDescent="0.25"/>
  <cols>
    <col min="2" max="2" width="12.42578125" bestFit="1" customWidth="1"/>
    <col min="3" max="3" width="17" customWidth="1"/>
    <col min="4" max="4" width="26.5703125" customWidth="1"/>
    <col min="5" max="5" width="23.85546875" bestFit="1" customWidth="1"/>
    <col min="6" max="6" width="23.140625" customWidth="1"/>
    <col min="7" max="7" width="35.42578125" customWidth="1"/>
    <col min="8" max="9" width="36.5703125" bestFit="1" customWidth="1"/>
    <col min="10" max="10" width="7.42578125" bestFit="1" customWidth="1"/>
    <col min="11" max="11" width="11" customWidth="1"/>
    <col min="12" max="12" width="12.42578125" customWidth="1"/>
    <col min="13" max="13" width="18.28515625" customWidth="1"/>
    <col min="14" max="14" width="12.42578125" customWidth="1"/>
    <col min="15" max="15" width="16.7109375" customWidth="1"/>
    <col min="16" max="16" width="72.140625" customWidth="1"/>
    <col min="17" max="17" width="20.28515625" customWidth="1"/>
    <col min="18" max="18" width="18.7109375" customWidth="1"/>
    <col min="19" max="19" width="21.5703125" customWidth="1"/>
    <col min="20" max="20" width="17.5703125" customWidth="1"/>
    <col min="21" max="22" width="20.140625" customWidth="1"/>
  </cols>
  <sheetData>
    <row r="2" spans="1:22" x14ac:dyDescent="0.25">
      <c r="A2" s="3" t="s">
        <v>32</v>
      </c>
      <c r="B2" s="3" t="s">
        <v>3</v>
      </c>
      <c r="C2" s="3" t="s">
        <v>485</v>
      </c>
      <c r="D2" s="3" t="s">
        <v>33</v>
      </c>
      <c r="E2" s="3" t="s">
        <v>34</v>
      </c>
      <c r="F2" s="3" t="s">
        <v>35</v>
      </c>
      <c r="G2" s="3" t="s">
        <v>36</v>
      </c>
      <c r="H2" s="3" t="s">
        <v>5</v>
      </c>
      <c r="I2" s="4" t="s">
        <v>37</v>
      </c>
      <c r="J2" s="4" t="s">
        <v>38</v>
      </c>
      <c r="K2" s="3" t="s">
        <v>39</v>
      </c>
      <c r="L2" s="3" t="s">
        <v>40</v>
      </c>
      <c r="M2" s="3" t="s">
        <v>41</v>
      </c>
      <c r="N2" s="3" t="s">
        <v>42</v>
      </c>
      <c r="O2" s="3" t="s">
        <v>43</v>
      </c>
      <c r="P2" s="3" t="s">
        <v>6</v>
      </c>
      <c r="Q2" s="7" t="s">
        <v>0</v>
      </c>
      <c r="R2" s="7" t="s">
        <v>44</v>
      </c>
      <c r="S2" s="4" t="s">
        <v>45</v>
      </c>
      <c r="T2" s="4" t="s">
        <v>46</v>
      </c>
      <c r="U2" s="4" t="s">
        <v>47</v>
      </c>
      <c r="V2" s="4" t="s">
        <v>48</v>
      </c>
    </row>
    <row r="3" spans="1:22" ht="45" x14ac:dyDescent="0.25">
      <c r="A3" s="11">
        <v>1</v>
      </c>
      <c r="B3" s="14">
        <v>45950</v>
      </c>
      <c r="C3" s="1" t="s">
        <v>49</v>
      </c>
      <c r="D3" s="15" t="s">
        <v>50</v>
      </c>
      <c r="E3" s="11" t="s">
        <v>51</v>
      </c>
      <c r="F3" t="s">
        <v>52</v>
      </c>
      <c r="G3" s="2"/>
      <c r="H3" s="11" t="s">
        <v>53</v>
      </c>
      <c r="I3" s="16" t="s">
        <v>54</v>
      </c>
      <c r="K3" s="11" t="s">
        <v>55</v>
      </c>
      <c r="L3" s="11" t="s">
        <v>56</v>
      </c>
      <c r="M3" s="11" t="s">
        <v>57</v>
      </c>
      <c r="N3" t="s">
        <v>58</v>
      </c>
      <c r="O3" t="s">
        <v>59</v>
      </c>
      <c r="P3" s="15" t="s">
        <v>60</v>
      </c>
      <c r="Q3" t="s">
        <v>12</v>
      </c>
      <c r="S3" t="s">
        <v>61</v>
      </c>
      <c r="T3" s="6">
        <v>4340</v>
      </c>
      <c r="U3" s="11"/>
      <c r="V3">
        <f>WEEKNUM(CRM[[#This Row],[Fecha]])</f>
        <v>43</v>
      </c>
    </row>
    <row r="4" spans="1:22" x14ac:dyDescent="0.25">
      <c r="A4" s="11">
        <v>2</v>
      </c>
      <c r="B4" s="14">
        <v>45950</v>
      </c>
      <c r="C4" s="1" t="s">
        <v>49</v>
      </c>
      <c r="D4" s="15" t="s">
        <v>62</v>
      </c>
      <c r="E4" s="11"/>
      <c r="F4" s="6">
        <v>977508409</v>
      </c>
      <c r="G4" s="2"/>
      <c r="H4" s="11"/>
      <c r="I4" s="16"/>
      <c r="K4" s="11"/>
      <c r="L4" s="11"/>
      <c r="M4" s="11"/>
      <c r="N4" t="s">
        <v>58</v>
      </c>
      <c r="O4" t="s">
        <v>38</v>
      </c>
      <c r="P4" s="11" t="s">
        <v>63</v>
      </c>
      <c r="Q4" s="11" t="s">
        <v>64</v>
      </c>
      <c r="T4" s="6"/>
      <c r="U4" s="11"/>
      <c r="V4">
        <f>WEEKNUM(CRM[[#This Row],[Fecha]])</f>
        <v>43</v>
      </c>
    </row>
    <row r="5" spans="1:22" ht="30" x14ac:dyDescent="0.25">
      <c r="A5" s="11">
        <v>3</v>
      </c>
      <c r="B5" s="14">
        <v>45951</v>
      </c>
      <c r="C5" t="s">
        <v>65</v>
      </c>
      <c r="D5" s="15"/>
      <c r="E5" s="11" t="s">
        <v>66</v>
      </c>
      <c r="F5" s="6">
        <v>14750500</v>
      </c>
      <c r="G5" s="2"/>
      <c r="H5" s="11" t="s">
        <v>67</v>
      </c>
      <c r="I5" s="16"/>
      <c r="K5" s="11" t="s">
        <v>68</v>
      </c>
      <c r="L5" s="11" t="s">
        <v>69</v>
      </c>
      <c r="M5" s="11"/>
      <c r="O5" t="s">
        <v>70</v>
      </c>
      <c r="P5" s="15" t="s">
        <v>71</v>
      </c>
      <c r="Q5" s="11" t="s">
        <v>64</v>
      </c>
      <c r="T5" s="6"/>
      <c r="U5" s="14">
        <v>45981</v>
      </c>
      <c r="V5">
        <f>WEEKNUM(CRM[[#This Row],[Fecha]])</f>
        <v>43</v>
      </c>
    </row>
    <row r="6" spans="1:22" x14ac:dyDescent="0.25">
      <c r="A6" s="11">
        <v>4</v>
      </c>
      <c r="B6" s="14">
        <v>45951</v>
      </c>
      <c r="C6" t="s">
        <v>49</v>
      </c>
      <c r="D6" s="15"/>
      <c r="E6" s="11"/>
      <c r="F6" s="2"/>
      <c r="G6" s="18" t="s">
        <v>72</v>
      </c>
      <c r="H6" s="11" t="s">
        <v>73</v>
      </c>
      <c r="I6" s="16"/>
      <c r="K6" s="11" t="s">
        <v>74</v>
      </c>
      <c r="L6" s="11" t="s">
        <v>75</v>
      </c>
      <c r="M6" s="11" t="s">
        <v>76</v>
      </c>
      <c r="O6" t="s">
        <v>70</v>
      </c>
      <c r="P6" s="15" t="s">
        <v>77</v>
      </c>
      <c r="Q6" s="11" t="s">
        <v>78</v>
      </c>
      <c r="T6" s="6"/>
      <c r="U6" s="11"/>
      <c r="V6">
        <f>WEEKNUM(CRM[[#This Row],[Fecha]])</f>
        <v>43</v>
      </c>
    </row>
    <row r="7" spans="1:22" ht="30" x14ac:dyDescent="0.25">
      <c r="A7" s="11">
        <v>5</v>
      </c>
      <c r="B7" s="14">
        <v>45951</v>
      </c>
      <c r="C7" t="s">
        <v>65</v>
      </c>
      <c r="D7" s="15"/>
      <c r="E7" s="11" t="s">
        <v>66</v>
      </c>
      <c r="F7" s="6">
        <v>7005100</v>
      </c>
      <c r="G7" s="18" t="s">
        <v>79</v>
      </c>
      <c r="H7" s="11" t="s">
        <v>80</v>
      </c>
      <c r="I7" s="16"/>
      <c r="J7" s="1"/>
      <c r="K7" s="11" t="s">
        <v>68</v>
      </c>
      <c r="L7" s="11" t="s">
        <v>81</v>
      </c>
      <c r="M7" s="11" t="s">
        <v>76</v>
      </c>
      <c r="O7" t="s">
        <v>70</v>
      </c>
      <c r="P7" s="15" t="s">
        <v>82</v>
      </c>
      <c r="Q7" s="11" t="s">
        <v>78</v>
      </c>
      <c r="T7" s="6"/>
      <c r="U7" s="11"/>
      <c r="V7">
        <f>WEEKNUM(CRM[[#This Row],[Fecha]])</f>
        <v>43</v>
      </c>
    </row>
    <row r="8" spans="1:22" x14ac:dyDescent="0.25">
      <c r="A8" s="11">
        <v>6</v>
      </c>
      <c r="B8" s="14">
        <v>45951</v>
      </c>
      <c r="C8" t="s">
        <v>65</v>
      </c>
      <c r="D8" s="15"/>
      <c r="E8" s="11" t="s">
        <v>66</v>
      </c>
      <c r="F8" s="6">
        <v>2476430</v>
      </c>
      <c r="H8" s="11" t="s">
        <v>83</v>
      </c>
      <c r="I8" s="16"/>
      <c r="K8" s="11" t="s">
        <v>68</v>
      </c>
      <c r="L8" s="11" t="s">
        <v>81</v>
      </c>
      <c r="M8" s="11" t="s">
        <v>76</v>
      </c>
      <c r="O8" t="s">
        <v>70</v>
      </c>
      <c r="P8" s="11" t="s">
        <v>84</v>
      </c>
      <c r="Q8" s="11" t="s">
        <v>64</v>
      </c>
      <c r="T8" s="6"/>
      <c r="U8" s="11"/>
      <c r="V8">
        <f>WEEKNUM(CRM[[#This Row],[Fecha]])</f>
        <v>43</v>
      </c>
    </row>
    <row r="9" spans="1:22" ht="30" x14ac:dyDescent="0.25">
      <c r="A9" s="11">
        <v>7</v>
      </c>
      <c r="B9" s="14">
        <v>45951</v>
      </c>
      <c r="C9" t="s">
        <v>65</v>
      </c>
      <c r="D9" s="15" t="s">
        <v>86</v>
      </c>
      <c r="E9" s="11" t="s">
        <v>87</v>
      </c>
      <c r="F9" s="6" t="s">
        <v>88</v>
      </c>
      <c r="H9" s="11" t="s">
        <v>89</v>
      </c>
      <c r="I9" s="16"/>
      <c r="K9" s="11" t="s">
        <v>68</v>
      </c>
      <c r="L9" s="11" t="s">
        <v>90</v>
      </c>
      <c r="M9" s="11" t="s">
        <v>76</v>
      </c>
      <c r="O9" t="s">
        <v>70</v>
      </c>
      <c r="P9" s="15" t="s">
        <v>91</v>
      </c>
      <c r="Q9" s="11" t="s">
        <v>78</v>
      </c>
      <c r="T9" s="6"/>
      <c r="U9" s="11"/>
      <c r="V9">
        <f>WEEKNUM(CRM[[#This Row],[Fecha]])</f>
        <v>43</v>
      </c>
    </row>
    <row r="10" spans="1:22" ht="30" x14ac:dyDescent="0.25">
      <c r="A10" s="11">
        <v>8</v>
      </c>
      <c r="B10" s="14">
        <v>45951</v>
      </c>
      <c r="C10" t="s">
        <v>49</v>
      </c>
      <c r="D10" s="15" t="s">
        <v>92</v>
      </c>
      <c r="E10" s="11" t="s">
        <v>93</v>
      </c>
      <c r="F10" s="6">
        <v>3155000</v>
      </c>
      <c r="G10" s="18" t="s">
        <v>94</v>
      </c>
      <c r="H10" s="11" t="s">
        <v>95</v>
      </c>
      <c r="I10" s="16"/>
      <c r="K10" s="11" t="s">
        <v>68</v>
      </c>
      <c r="L10" s="11" t="s">
        <v>68</v>
      </c>
      <c r="M10" s="11" t="s">
        <v>76</v>
      </c>
      <c r="O10" t="s">
        <v>70</v>
      </c>
      <c r="P10" s="15" t="s">
        <v>96</v>
      </c>
      <c r="Q10" s="11" t="s">
        <v>78</v>
      </c>
      <c r="T10" s="6"/>
      <c r="U10" s="14"/>
      <c r="V10">
        <f>WEEKNUM(CRM[[#This Row],[Fecha]])</f>
        <v>43</v>
      </c>
    </row>
    <row r="11" spans="1:22" ht="30" x14ac:dyDescent="0.25">
      <c r="A11" s="11">
        <v>9</v>
      </c>
      <c r="B11" s="14">
        <v>45951</v>
      </c>
      <c r="C11" t="s">
        <v>65</v>
      </c>
      <c r="D11" s="15"/>
      <c r="E11" s="11"/>
      <c r="F11" s="6">
        <v>2056200</v>
      </c>
      <c r="G11" s="18" t="s">
        <v>97</v>
      </c>
      <c r="H11" s="11" t="s">
        <v>98</v>
      </c>
      <c r="I11" s="16"/>
      <c r="K11" s="11" t="s">
        <v>68</v>
      </c>
      <c r="L11" s="11" t="s">
        <v>68</v>
      </c>
      <c r="M11" s="11" t="s">
        <v>76</v>
      </c>
      <c r="O11" t="s">
        <v>70</v>
      </c>
      <c r="P11" s="15" t="s">
        <v>99</v>
      </c>
      <c r="Q11" s="11" t="s">
        <v>78</v>
      </c>
      <c r="T11" s="6"/>
      <c r="U11" s="14"/>
      <c r="V11">
        <f>WEEKNUM(CRM[[#This Row],[Fecha]])</f>
        <v>43</v>
      </c>
    </row>
    <row r="12" spans="1:22" ht="45" x14ac:dyDescent="0.25">
      <c r="A12" s="11">
        <v>10</v>
      </c>
      <c r="B12" s="14">
        <v>45952</v>
      </c>
      <c r="C12" t="s">
        <v>49</v>
      </c>
      <c r="D12" s="15"/>
      <c r="E12" s="11"/>
      <c r="F12" s="6">
        <v>4265147</v>
      </c>
      <c r="G12" s="19" t="s">
        <v>100</v>
      </c>
      <c r="H12" s="11" t="s">
        <v>101</v>
      </c>
      <c r="I12" s="16"/>
      <c r="K12" s="11" t="s">
        <v>68</v>
      </c>
      <c r="L12" s="11" t="s">
        <v>68</v>
      </c>
      <c r="M12" s="11" t="s">
        <v>76</v>
      </c>
      <c r="O12" t="s">
        <v>70</v>
      </c>
      <c r="P12" s="15" t="s">
        <v>102</v>
      </c>
      <c r="Q12" s="11" t="s">
        <v>78</v>
      </c>
      <c r="T12" s="6"/>
      <c r="U12" s="14"/>
      <c r="V12">
        <f>WEEKNUM(CRM[[#This Row],[Fecha]])</f>
        <v>43</v>
      </c>
    </row>
    <row r="13" spans="1:22" ht="45" x14ac:dyDescent="0.25">
      <c r="A13" s="11">
        <v>11</v>
      </c>
      <c r="B13" s="14">
        <v>45952</v>
      </c>
      <c r="C13" t="s">
        <v>49</v>
      </c>
      <c r="D13" s="15"/>
      <c r="E13" s="11"/>
      <c r="F13" s="6">
        <v>4335517</v>
      </c>
      <c r="G13" s="19" t="s">
        <v>103</v>
      </c>
      <c r="H13" s="11" t="s">
        <v>104</v>
      </c>
      <c r="I13" s="16"/>
      <c r="K13" s="11" t="s">
        <v>68</v>
      </c>
      <c r="L13" s="11" t="s">
        <v>68</v>
      </c>
      <c r="M13" s="11" t="s">
        <v>76</v>
      </c>
      <c r="O13" t="s">
        <v>70</v>
      </c>
      <c r="P13" s="15" t="s">
        <v>105</v>
      </c>
      <c r="Q13" s="11" t="s">
        <v>78</v>
      </c>
      <c r="T13" s="6"/>
      <c r="U13" s="11"/>
      <c r="V13">
        <f>WEEKNUM(CRM[[#This Row],[Fecha]])</f>
        <v>43</v>
      </c>
    </row>
    <row r="14" spans="1:22" ht="45" x14ac:dyDescent="0.25">
      <c r="A14" s="11">
        <v>12</v>
      </c>
      <c r="B14" s="14">
        <v>45952</v>
      </c>
      <c r="C14" t="s">
        <v>49</v>
      </c>
      <c r="D14" s="15"/>
      <c r="E14" s="11"/>
      <c r="F14" s="6">
        <v>4261919</v>
      </c>
      <c r="G14" s="19" t="s">
        <v>106</v>
      </c>
      <c r="H14" s="11" t="s">
        <v>107</v>
      </c>
      <c r="I14" s="16"/>
      <c r="K14" s="11" t="s">
        <v>68</v>
      </c>
      <c r="L14" s="11" t="s">
        <v>68</v>
      </c>
      <c r="M14" s="11" t="s">
        <v>76</v>
      </c>
      <c r="O14" t="s">
        <v>70</v>
      </c>
      <c r="P14" s="15" t="s">
        <v>105</v>
      </c>
      <c r="Q14" s="11" t="s">
        <v>78</v>
      </c>
      <c r="T14" s="6"/>
      <c r="U14" s="13"/>
      <c r="V14">
        <f>WEEKNUM(CRM[[#This Row],[Fecha]])</f>
        <v>43</v>
      </c>
    </row>
    <row r="15" spans="1:22" ht="66" customHeight="1" x14ac:dyDescent="0.25">
      <c r="A15" s="11">
        <v>13</v>
      </c>
      <c r="B15" s="14">
        <v>45952</v>
      </c>
      <c r="C15" t="s">
        <v>49</v>
      </c>
      <c r="D15" s="15"/>
      <c r="E15" s="11"/>
      <c r="F15" s="6">
        <v>3328310</v>
      </c>
      <c r="G15" s="19" t="s">
        <v>108</v>
      </c>
      <c r="H15" s="11" t="s">
        <v>109</v>
      </c>
      <c r="I15" s="16"/>
      <c r="K15" s="11" t="s">
        <v>68</v>
      </c>
      <c r="L15" s="11" t="s">
        <v>68</v>
      </c>
      <c r="M15" s="11" t="s">
        <v>76</v>
      </c>
      <c r="O15" t="s">
        <v>70</v>
      </c>
      <c r="P15" s="15" t="s">
        <v>110</v>
      </c>
      <c r="Q15" s="11" t="s">
        <v>78</v>
      </c>
      <c r="T15" s="6"/>
      <c r="U15" s="9"/>
      <c r="V15">
        <f>WEEKNUM(CRM[[#This Row],[Fecha]])</f>
        <v>43</v>
      </c>
    </row>
    <row r="16" spans="1:22" ht="45.75" customHeight="1" x14ac:dyDescent="0.25">
      <c r="A16" s="11">
        <v>14</v>
      </c>
      <c r="B16" s="14">
        <v>45952</v>
      </c>
      <c r="C16" t="s">
        <v>49</v>
      </c>
      <c r="D16" s="15"/>
      <c r="E16" s="11"/>
      <c r="F16" s="6">
        <v>4673047</v>
      </c>
      <c r="G16" s="19" t="s">
        <v>111</v>
      </c>
      <c r="H16" s="11" t="s">
        <v>112</v>
      </c>
      <c r="I16" s="16"/>
      <c r="K16" s="11" t="s">
        <v>68</v>
      </c>
      <c r="L16" s="11" t="s">
        <v>68</v>
      </c>
      <c r="M16" s="11" t="s">
        <v>76</v>
      </c>
      <c r="O16" t="s">
        <v>70</v>
      </c>
      <c r="P16" s="15" t="s">
        <v>113</v>
      </c>
      <c r="Q16" s="11" t="s">
        <v>78</v>
      </c>
      <c r="T16" s="6"/>
      <c r="U16" s="9"/>
      <c r="V16">
        <f>WEEKNUM(CRM[[#This Row],[Fecha]])</f>
        <v>43</v>
      </c>
    </row>
    <row r="17" spans="1:22" ht="45" x14ac:dyDescent="0.25">
      <c r="A17" s="11">
        <v>15</v>
      </c>
      <c r="B17" s="14">
        <v>45952</v>
      </c>
      <c r="C17" t="s">
        <v>49</v>
      </c>
      <c r="D17" s="15"/>
      <c r="E17" s="11"/>
      <c r="F17" s="6">
        <v>994894905</v>
      </c>
      <c r="G17" s="19" t="s">
        <v>114</v>
      </c>
      <c r="H17" s="11" t="s">
        <v>115</v>
      </c>
      <c r="I17" s="16"/>
      <c r="K17" s="11" t="s">
        <v>68</v>
      </c>
      <c r="L17" s="11" t="s">
        <v>116</v>
      </c>
      <c r="M17" s="11" t="s">
        <v>76</v>
      </c>
      <c r="O17" t="s">
        <v>70</v>
      </c>
      <c r="P17" s="15" t="s">
        <v>117</v>
      </c>
      <c r="Q17" s="11" t="s">
        <v>78</v>
      </c>
      <c r="T17" s="6"/>
      <c r="U17" s="9"/>
      <c r="V17">
        <f>WEEKNUM(CRM[[#This Row],[Fecha]])</f>
        <v>43</v>
      </c>
    </row>
    <row r="18" spans="1:22" ht="81" customHeight="1" x14ac:dyDescent="0.25">
      <c r="A18" s="11">
        <v>16</v>
      </c>
      <c r="B18" s="14">
        <v>45952</v>
      </c>
      <c r="C18" t="s">
        <v>49</v>
      </c>
      <c r="D18" s="17"/>
      <c r="E18" s="11"/>
      <c r="F18" s="6">
        <v>987934854</v>
      </c>
      <c r="G18" s="19" t="s">
        <v>118</v>
      </c>
      <c r="H18" s="11" t="s">
        <v>119</v>
      </c>
      <c r="I18" s="16"/>
      <c r="K18" s="11" t="s">
        <v>68</v>
      </c>
      <c r="L18" s="11" t="s">
        <v>116</v>
      </c>
      <c r="M18" s="11" t="s">
        <v>76</v>
      </c>
      <c r="O18" t="s">
        <v>70</v>
      </c>
      <c r="P18" s="1" t="s">
        <v>120</v>
      </c>
      <c r="Q18" s="11" t="s">
        <v>78</v>
      </c>
      <c r="T18" s="6"/>
      <c r="V18">
        <f>WEEKNUM(CRM[[#This Row],[Fecha]])</f>
        <v>43</v>
      </c>
    </row>
    <row r="19" spans="1:22" ht="60" x14ac:dyDescent="0.25">
      <c r="A19" s="11">
        <v>17</v>
      </c>
      <c r="B19" s="14">
        <v>45952</v>
      </c>
      <c r="C19" t="s">
        <v>49</v>
      </c>
      <c r="D19" s="11" t="s">
        <v>121</v>
      </c>
      <c r="E19" s="11" t="s">
        <v>51</v>
      </c>
      <c r="F19" s="6">
        <v>988923787</v>
      </c>
      <c r="G19" s="19" t="s">
        <v>122</v>
      </c>
      <c r="H19" s="11" t="s">
        <v>123</v>
      </c>
      <c r="I19" s="20">
        <v>10429272721</v>
      </c>
      <c r="K19" s="11" t="s">
        <v>68</v>
      </c>
      <c r="L19" s="15" t="s">
        <v>124</v>
      </c>
      <c r="M19" s="15" t="s">
        <v>57</v>
      </c>
      <c r="N19" t="s">
        <v>58</v>
      </c>
      <c r="O19" t="s">
        <v>38</v>
      </c>
      <c r="P19" s="1" t="s">
        <v>125</v>
      </c>
      <c r="Q19" t="s">
        <v>12</v>
      </c>
      <c r="S19" t="s">
        <v>126</v>
      </c>
      <c r="T19" s="6">
        <v>4340</v>
      </c>
      <c r="V19">
        <f>WEEKNUM(CRM[[#This Row],[Fecha]])</f>
        <v>43</v>
      </c>
    </row>
    <row r="20" spans="1:22" ht="45" x14ac:dyDescent="0.25">
      <c r="A20" s="11">
        <v>18</v>
      </c>
      <c r="B20" s="14">
        <v>45952</v>
      </c>
      <c r="C20" t="s">
        <v>49</v>
      </c>
      <c r="D20" s="11" t="s">
        <v>127</v>
      </c>
      <c r="E20" t="s">
        <v>128</v>
      </c>
      <c r="F20" s="6">
        <v>984755140</v>
      </c>
      <c r="G20" s="19" t="s">
        <v>129</v>
      </c>
      <c r="H20" s="11" t="s">
        <v>15</v>
      </c>
      <c r="I20" s="20">
        <v>10720799494</v>
      </c>
      <c r="K20" s="15" t="s">
        <v>130</v>
      </c>
      <c r="L20" s="11"/>
      <c r="M20" s="11" t="s">
        <v>76</v>
      </c>
      <c r="N20" t="s">
        <v>58</v>
      </c>
      <c r="O20" t="s">
        <v>38</v>
      </c>
      <c r="P20" s="1" t="s">
        <v>131</v>
      </c>
      <c r="Q20" t="s">
        <v>12</v>
      </c>
      <c r="S20" t="s">
        <v>132</v>
      </c>
      <c r="T20" s="6">
        <v>4340</v>
      </c>
      <c r="V20">
        <f>WEEKNUM(CRM[[#This Row],[Fecha]])</f>
        <v>43</v>
      </c>
    </row>
    <row r="21" spans="1:22" ht="45" x14ac:dyDescent="0.25">
      <c r="A21" s="11">
        <v>19</v>
      </c>
      <c r="B21" s="14">
        <v>45952</v>
      </c>
      <c r="C21" t="s">
        <v>49</v>
      </c>
      <c r="D21" t="s">
        <v>133</v>
      </c>
      <c r="E21" s="11" t="s">
        <v>51</v>
      </c>
      <c r="F21" s="6">
        <v>907616141</v>
      </c>
      <c r="G21" s="12"/>
      <c r="H21" s="11" t="s">
        <v>7</v>
      </c>
      <c r="I21" s="16" t="s">
        <v>134</v>
      </c>
      <c r="K21" s="11" t="s">
        <v>68</v>
      </c>
      <c r="L21" s="11" t="s">
        <v>135</v>
      </c>
      <c r="M21" s="15" t="s">
        <v>57</v>
      </c>
      <c r="N21" t="s">
        <v>58</v>
      </c>
      <c r="O21" t="s">
        <v>38</v>
      </c>
      <c r="P21" s="1" t="s">
        <v>136</v>
      </c>
      <c r="Q21" t="s">
        <v>12</v>
      </c>
      <c r="S21" t="s">
        <v>137</v>
      </c>
      <c r="T21" s="6">
        <v>4340</v>
      </c>
      <c r="V21">
        <f>WEEKNUM(CRM[[#This Row],[Fecha]])</f>
        <v>43</v>
      </c>
    </row>
    <row r="22" spans="1:22" ht="60" x14ac:dyDescent="0.25">
      <c r="A22" s="11">
        <v>20</v>
      </c>
      <c r="B22" s="14">
        <v>45952</v>
      </c>
      <c r="C22" t="s">
        <v>49</v>
      </c>
      <c r="D22" s="15" t="s">
        <v>138</v>
      </c>
      <c r="E22" s="11" t="s">
        <v>128</v>
      </c>
      <c r="F22" s="6">
        <v>927100074</v>
      </c>
      <c r="G22" s="19" t="s">
        <v>139</v>
      </c>
      <c r="H22" s="11" t="s">
        <v>17</v>
      </c>
      <c r="I22" s="20">
        <v>20609379821</v>
      </c>
      <c r="K22" s="11" t="s">
        <v>140</v>
      </c>
      <c r="L22" s="11"/>
      <c r="M22" s="11" t="s">
        <v>141</v>
      </c>
      <c r="N22" t="s">
        <v>58</v>
      </c>
      <c r="O22" t="s">
        <v>38</v>
      </c>
      <c r="P22" s="1" t="s">
        <v>142</v>
      </c>
      <c r="Q22" t="s">
        <v>12</v>
      </c>
      <c r="S22" t="s">
        <v>143</v>
      </c>
      <c r="T22" s="6">
        <v>6639</v>
      </c>
      <c r="V22">
        <f>WEEKNUM(CRM[[#This Row],[Fecha]])</f>
        <v>43</v>
      </c>
    </row>
    <row r="23" spans="1:22" ht="75" x14ac:dyDescent="0.25">
      <c r="A23" s="11">
        <v>21</v>
      </c>
      <c r="B23" s="14">
        <v>45953</v>
      </c>
      <c r="C23" t="s">
        <v>49</v>
      </c>
      <c r="D23" t="s">
        <v>144</v>
      </c>
      <c r="E23" s="11" t="s">
        <v>128</v>
      </c>
      <c r="F23" s="6">
        <v>950308250</v>
      </c>
      <c r="G23" s="19" t="s">
        <v>145</v>
      </c>
      <c r="H23" s="11" t="s">
        <v>24</v>
      </c>
      <c r="I23" s="20">
        <v>20614800659</v>
      </c>
      <c r="K23" s="11" t="s">
        <v>140</v>
      </c>
      <c r="L23" s="11"/>
      <c r="M23" s="15" t="s">
        <v>57</v>
      </c>
      <c r="N23" t="s">
        <v>58</v>
      </c>
      <c r="O23" t="s">
        <v>38</v>
      </c>
      <c r="P23" s="1" t="s">
        <v>146</v>
      </c>
      <c r="Q23" t="s">
        <v>12</v>
      </c>
      <c r="S23" t="s">
        <v>147</v>
      </c>
      <c r="T23" s="6">
        <v>4340</v>
      </c>
      <c r="V23">
        <f>WEEKNUM(CRM[[#This Row],[Fecha]])</f>
        <v>43</v>
      </c>
    </row>
    <row r="24" spans="1:22" ht="60" x14ac:dyDescent="0.25">
      <c r="A24" s="11">
        <v>22</v>
      </c>
      <c r="B24" s="14">
        <v>45953</v>
      </c>
      <c r="C24" t="s">
        <v>49</v>
      </c>
      <c r="D24" t="s">
        <v>148</v>
      </c>
      <c r="E24" s="11" t="s">
        <v>128</v>
      </c>
      <c r="F24" s="6">
        <v>905824331</v>
      </c>
      <c r="G24" s="19" t="s">
        <v>149</v>
      </c>
      <c r="H24" s="11" t="s">
        <v>150</v>
      </c>
      <c r="I24" s="16" t="s">
        <v>151</v>
      </c>
      <c r="K24" s="11" t="s">
        <v>140</v>
      </c>
      <c r="L24" s="11"/>
      <c r="M24" s="15" t="s">
        <v>57</v>
      </c>
      <c r="N24" t="s">
        <v>58</v>
      </c>
      <c r="O24" t="s">
        <v>38</v>
      </c>
      <c r="P24" s="1" t="s">
        <v>152</v>
      </c>
      <c r="Q24" t="s">
        <v>12</v>
      </c>
      <c r="S24" t="s">
        <v>153</v>
      </c>
      <c r="T24" s="6">
        <v>6949</v>
      </c>
      <c r="V24">
        <f>WEEKNUM(CRM[[#This Row],[Fecha]])</f>
        <v>43</v>
      </c>
    </row>
    <row r="25" spans="1:22" ht="60" x14ac:dyDescent="0.25">
      <c r="A25" s="11">
        <v>23</v>
      </c>
      <c r="B25" s="14">
        <v>45953</v>
      </c>
      <c r="C25" s="1" t="s">
        <v>154</v>
      </c>
      <c r="D25" s="17" t="s">
        <v>155</v>
      </c>
      <c r="E25" s="11" t="s">
        <v>128</v>
      </c>
      <c r="F25" s="6">
        <v>949719738</v>
      </c>
      <c r="G25" s="19" t="s">
        <v>156</v>
      </c>
      <c r="H25" s="11" t="s">
        <v>21</v>
      </c>
      <c r="I25" s="6">
        <v>20601646367</v>
      </c>
      <c r="K25" s="12" t="s">
        <v>157</v>
      </c>
      <c r="L25" s="12"/>
      <c r="M25" s="11" t="s">
        <v>76</v>
      </c>
      <c r="N25" t="s">
        <v>58</v>
      </c>
      <c r="O25" t="s">
        <v>38</v>
      </c>
      <c r="P25" s="21" t="s">
        <v>158</v>
      </c>
      <c r="Q25" t="s">
        <v>12</v>
      </c>
      <c r="S25" t="s">
        <v>159</v>
      </c>
      <c r="T25" s="6">
        <v>6949</v>
      </c>
      <c r="V25">
        <f>WEEKNUM(CRM[[#This Row],[Fecha]])</f>
        <v>43</v>
      </c>
    </row>
    <row r="26" spans="1:22" ht="60" x14ac:dyDescent="0.25">
      <c r="A26" s="11">
        <v>24</v>
      </c>
      <c r="B26" s="14">
        <v>45954</v>
      </c>
      <c r="C26" s="1" t="s">
        <v>49</v>
      </c>
      <c r="D26" s="15" t="s">
        <v>50</v>
      </c>
      <c r="E26" s="11" t="s">
        <v>51</v>
      </c>
      <c r="F26" t="s">
        <v>52</v>
      </c>
      <c r="G26" s="2"/>
      <c r="H26" t="s">
        <v>53</v>
      </c>
      <c r="I26" s="16" t="s">
        <v>54</v>
      </c>
      <c r="K26" s="11" t="s">
        <v>55</v>
      </c>
      <c r="L26" s="11" t="s">
        <v>56</v>
      </c>
      <c r="M26" s="11" t="s">
        <v>57</v>
      </c>
      <c r="N26" t="s">
        <v>58</v>
      </c>
      <c r="O26" t="s">
        <v>59</v>
      </c>
      <c r="P26" s="1" t="s">
        <v>160</v>
      </c>
      <c r="Q26" s="11" t="s">
        <v>12</v>
      </c>
      <c r="T26" s="6"/>
      <c r="U26" s="11"/>
      <c r="V26">
        <f>WEEKNUM(CRM[[#This Row],[Fecha]])</f>
        <v>43</v>
      </c>
    </row>
    <row r="27" spans="1:22" x14ac:dyDescent="0.25">
      <c r="A27">
        <v>25</v>
      </c>
      <c r="B27" s="14">
        <v>45954</v>
      </c>
      <c r="C27" s="1" t="s">
        <v>49</v>
      </c>
      <c r="D27" s="15" t="s">
        <v>62</v>
      </c>
      <c r="E27" s="11"/>
      <c r="F27" s="6">
        <v>977508409</v>
      </c>
      <c r="G27" s="2"/>
      <c r="H27" s="11"/>
      <c r="I27" s="16"/>
      <c r="K27" s="11"/>
      <c r="L27" s="11"/>
      <c r="M27" s="11"/>
      <c r="N27" t="s">
        <v>58</v>
      </c>
      <c r="O27" t="s">
        <v>38</v>
      </c>
      <c r="P27" t="s">
        <v>161</v>
      </c>
      <c r="Q27" s="11" t="s">
        <v>64</v>
      </c>
      <c r="T27" s="6"/>
      <c r="U27" s="11"/>
      <c r="V27">
        <f>WEEKNUM(CRM[[#This Row],[Fecha]])</f>
        <v>43</v>
      </c>
    </row>
    <row r="28" spans="1:22" ht="32.1" customHeight="1" x14ac:dyDescent="0.25">
      <c r="A28">
        <v>26</v>
      </c>
      <c r="B28" s="14">
        <v>45954</v>
      </c>
      <c r="C28" t="s">
        <v>49</v>
      </c>
      <c r="D28" s="15"/>
      <c r="E28" s="11"/>
      <c r="F28" s="6">
        <v>3328310</v>
      </c>
      <c r="G28" s="19" t="s">
        <v>108</v>
      </c>
      <c r="H28" s="11" t="s">
        <v>109</v>
      </c>
      <c r="I28" s="16"/>
      <c r="K28" s="11" t="s">
        <v>68</v>
      </c>
      <c r="L28" s="11" t="s">
        <v>68</v>
      </c>
      <c r="M28" s="11" t="s">
        <v>76</v>
      </c>
      <c r="O28" t="s">
        <v>70</v>
      </c>
      <c r="P28" s="1" t="s">
        <v>162</v>
      </c>
      <c r="Q28" s="11" t="s">
        <v>78</v>
      </c>
      <c r="T28" s="6"/>
      <c r="U28" s="9"/>
      <c r="V28">
        <f>WEEKNUM(CRM[[#This Row],[Fecha]])</f>
        <v>43</v>
      </c>
    </row>
    <row r="29" spans="1:22" x14ac:dyDescent="0.25">
      <c r="A29">
        <v>27</v>
      </c>
      <c r="B29" s="14">
        <v>45954</v>
      </c>
      <c r="C29" t="s">
        <v>49</v>
      </c>
      <c r="D29" s="15"/>
      <c r="E29" s="11"/>
      <c r="F29" s="6">
        <v>5307801</v>
      </c>
      <c r="G29" s="18" t="s">
        <v>72</v>
      </c>
      <c r="H29" s="11" t="s">
        <v>73</v>
      </c>
      <c r="I29" s="16"/>
      <c r="K29" s="11" t="s">
        <v>74</v>
      </c>
      <c r="L29" s="11" t="s">
        <v>75</v>
      </c>
      <c r="M29" s="11" t="s">
        <v>76</v>
      </c>
      <c r="O29" t="s">
        <v>70</v>
      </c>
      <c r="P29" s="1" t="s">
        <v>163</v>
      </c>
      <c r="Q29" s="11" t="s">
        <v>78</v>
      </c>
      <c r="T29" s="6"/>
      <c r="U29" s="11"/>
      <c r="V29">
        <f>WEEKNUM(CRM[[#This Row],[Fecha]])</f>
        <v>43</v>
      </c>
    </row>
    <row r="30" spans="1:22" x14ac:dyDescent="0.25">
      <c r="A30">
        <v>28</v>
      </c>
      <c r="B30" s="14">
        <v>45954</v>
      </c>
      <c r="C30" t="s">
        <v>65</v>
      </c>
      <c r="D30" s="15"/>
      <c r="E30" s="11" t="s">
        <v>66</v>
      </c>
      <c r="F30" s="6">
        <v>7005100</v>
      </c>
      <c r="G30" s="18" t="s">
        <v>79</v>
      </c>
      <c r="H30" s="11" t="s">
        <v>80</v>
      </c>
      <c r="I30" s="16"/>
      <c r="J30" s="1"/>
      <c r="K30" s="11" t="s">
        <v>68</v>
      </c>
      <c r="L30" s="11" t="s">
        <v>81</v>
      </c>
      <c r="M30" s="11" t="s">
        <v>76</v>
      </c>
      <c r="O30" t="s">
        <v>70</v>
      </c>
      <c r="P30" s="1" t="s">
        <v>164</v>
      </c>
      <c r="Q30" s="11" t="s">
        <v>78</v>
      </c>
      <c r="T30" s="6"/>
      <c r="U30" s="11"/>
      <c r="V30">
        <f>WEEKNUM(CRM[[#This Row],[Fecha]])</f>
        <v>43</v>
      </c>
    </row>
    <row r="31" spans="1:22" x14ac:dyDescent="0.25">
      <c r="A31">
        <v>29</v>
      </c>
      <c r="B31" s="14">
        <v>45954</v>
      </c>
      <c r="C31" t="s">
        <v>65</v>
      </c>
      <c r="D31" s="15"/>
      <c r="E31" s="11" t="s">
        <v>66</v>
      </c>
      <c r="F31" s="6">
        <v>2476430</v>
      </c>
      <c r="H31" s="11" t="s">
        <v>83</v>
      </c>
      <c r="I31" s="16"/>
      <c r="K31" s="11" t="s">
        <v>68</v>
      </c>
      <c r="L31" s="11" t="s">
        <v>81</v>
      </c>
      <c r="M31" s="11" t="s">
        <v>76</v>
      </c>
      <c r="O31" t="s">
        <v>70</v>
      </c>
      <c r="P31" t="s">
        <v>165</v>
      </c>
      <c r="Q31" s="11" t="s">
        <v>64</v>
      </c>
      <c r="T31" s="6"/>
      <c r="U31" s="11"/>
      <c r="V31">
        <f>WEEKNUM(CRM[[#This Row],[Fecha]])</f>
        <v>43</v>
      </c>
    </row>
    <row r="32" spans="1:22" ht="30" x14ac:dyDescent="0.25">
      <c r="A32">
        <v>30</v>
      </c>
      <c r="B32" s="14">
        <v>45954</v>
      </c>
      <c r="C32" t="s">
        <v>65</v>
      </c>
      <c r="D32" s="15" t="s">
        <v>86</v>
      </c>
      <c r="E32" s="11" t="s">
        <v>87</v>
      </c>
      <c r="F32" s="6" t="s">
        <v>88</v>
      </c>
      <c r="H32" s="11" t="s">
        <v>89</v>
      </c>
      <c r="I32" s="16"/>
      <c r="K32" s="11" t="s">
        <v>68</v>
      </c>
      <c r="L32" s="11" t="s">
        <v>90</v>
      </c>
      <c r="M32" s="11" t="s">
        <v>76</v>
      </c>
      <c r="O32" t="s">
        <v>70</v>
      </c>
      <c r="P32" s="1" t="s">
        <v>166</v>
      </c>
      <c r="Q32" s="11" t="s">
        <v>78</v>
      </c>
      <c r="T32" s="6"/>
      <c r="U32" s="11"/>
      <c r="V32">
        <f>WEEKNUM(CRM[[#This Row],[Fecha]])</f>
        <v>43</v>
      </c>
    </row>
    <row r="33" spans="1:22" ht="45" x14ac:dyDescent="0.25">
      <c r="A33">
        <v>31</v>
      </c>
      <c r="B33" s="14">
        <v>45954</v>
      </c>
      <c r="C33" t="s">
        <v>49</v>
      </c>
      <c r="D33" s="15" t="s">
        <v>92</v>
      </c>
      <c r="E33" s="11" t="s">
        <v>93</v>
      </c>
      <c r="F33" s="6">
        <v>3155000</v>
      </c>
      <c r="G33" s="18" t="s">
        <v>94</v>
      </c>
      <c r="H33" s="11" t="s">
        <v>95</v>
      </c>
      <c r="I33" s="16"/>
      <c r="K33" s="11" t="s">
        <v>68</v>
      </c>
      <c r="L33" s="11" t="s">
        <v>68</v>
      </c>
      <c r="M33" s="11" t="s">
        <v>76</v>
      </c>
      <c r="O33" t="s">
        <v>70</v>
      </c>
      <c r="P33" s="1" t="s">
        <v>167</v>
      </c>
      <c r="Q33" s="11" t="s">
        <v>78</v>
      </c>
      <c r="T33" s="6"/>
      <c r="U33" s="14"/>
      <c r="V33">
        <f>WEEKNUM(CRM[[#This Row],[Fecha]])</f>
        <v>43</v>
      </c>
    </row>
    <row r="34" spans="1:22" ht="30" x14ac:dyDescent="0.25">
      <c r="A34">
        <v>32</v>
      </c>
      <c r="B34" s="14">
        <v>45954</v>
      </c>
      <c r="C34" t="s">
        <v>65</v>
      </c>
      <c r="D34" s="15"/>
      <c r="E34" s="11"/>
      <c r="F34" s="6">
        <v>2056200</v>
      </c>
      <c r="G34" s="18" t="s">
        <v>97</v>
      </c>
      <c r="H34" s="11" t="s">
        <v>98</v>
      </c>
      <c r="I34" s="16"/>
      <c r="K34" s="11" t="s">
        <v>68</v>
      </c>
      <c r="L34" s="11" t="s">
        <v>68</v>
      </c>
      <c r="M34" s="11" t="s">
        <v>76</v>
      </c>
      <c r="O34" t="s">
        <v>70</v>
      </c>
      <c r="P34" s="1" t="s">
        <v>168</v>
      </c>
      <c r="Q34" s="11" t="s">
        <v>78</v>
      </c>
      <c r="T34" s="6"/>
      <c r="U34" s="14"/>
      <c r="V34">
        <f>WEEKNUM(CRM[[#This Row],[Fecha]])</f>
        <v>43</v>
      </c>
    </row>
    <row r="35" spans="1:22" ht="30" x14ac:dyDescent="0.25">
      <c r="A35">
        <v>33</v>
      </c>
      <c r="B35" s="14">
        <v>45954</v>
      </c>
      <c r="C35" t="s">
        <v>49</v>
      </c>
      <c r="D35" s="15"/>
      <c r="E35" s="11"/>
      <c r="F35" s="6">
        <v>4265147</v>
      </c>
      <c r="G35" s="19" t="s">
        <v>100</v>
      </c>
      <c r="H35" s="11" t="s">
        <v>101</v>
      </c>
      <c r="I35" s="16"/>
      <c r="K35" s="11" t="s">
        <v>68</v>
      </c>
      <c r="L35" s="11" t="s">
        <v>68</v>
      </c>
      <c r="M35" s="11" t="s">
        <v>76</v>
      </c>
      <c r="O35" t="s">
        <v>70</v>
      </c>
      <c r="P35" s="1" t="s">
        <v>169</v>
      </c>
      <c r="Q35" s="11" t="s">
        <v>78</v>
      </c>
      <c r="T35" s="6"/>
      <c r="U35" s="14"/>
      <c r="V35">
        <f>WEEKNUM(CRM[[#This Row],[Fecha]])</f>
        <v>43</v>
      </c>
    </row>
    <row r="36" spans="1:22" ht="30" x14ac:dyDescent="0.25">
      <c r="A36">
        <v>34</v>
      </c>
      <c r="B36" s="14">
        <v>45954</v>
      </c>
      <c r="C36" t="s">
        <v>49</v>
      </c>
      <c r="D36" s="15"/>
      <c r="E36" s="11"/>
      <c r="F36" s="6">
        <v>4335517</v>
      </c>
      <c r="G36" s="19" t="s">
        <v>103</v>
      </c>
      <c r="H36" s="11" t="s">
        <v>104</v>
      </c>
      <c r="I36" s="16"/>
      <c r="K36" s="11" t="s">
        <v>68</v>
      </c>
      <c r="L36" s="11" t="s">
        <v>68</v>
      </c>
      <c r="M36" s="11" t="s">
        <v>76</v>
      </c>
      <c r="O36" t="s">
        <v>70</v>
      </c>
      <c r="P36" s="1" t="s">
        <v>170</v>
      </c>
      <c r="Q36" s="11" t="s">
        <v>78</v>
      </c>
      <c r="T36" s="6"/>
      <c r="U36" s="11"/>
      <c r="V36">
        <f>WEEKNUM(CRM[[#This Row],[Fecha]])</f>
        <v>43</v>
      </c>
    </row>
    <row r="37" spans="1:22" ht="30" x14ac:dyDescent="0.25">
      <c r="A37">
        <v>35</v>
      </c>
      <c r="B37" s="14">
        <v>45954</v>
      </c>
      <c r="C37" t="s">
        <v>49</v>
      </c>
      <c r="D37" s="15"/>
      <c r="E37" s="11"/>
      <c r="F37" s="6">
        <v>4261919</v>
      </c>
      <c r="G37" s="19" t="s">
        <v>106</v>
      </c>
      <c r="H37" s="11" t="s">
        <v>107</v>
      </c>
      <c r="I37" s="16"/>
      <c r="K37" s="11" t="s">
        <v>68</v>
      </c>
      <c r="L37" s="11" t="s">
        <v>68</v>
      </c>
      <c r="M37" s="11" t="s">
        <v>76</v>
      </c>
      <c r="O37" t="s">
        <v>70</v>
      </c>
      <c r="P37" s="1" t="s">
        <v>170</v>
      </c>
      <c r="Q37" s="11" t="s">
        <v>78</v>
      </c>
      <c r="T37" s="6"/>
      <c r="U37" s="13"/>
      <c r="V37">
        <f>WEEKNUM(CRM[[#This Row],[Fecha]])</f>
        <v>43</v>
      </c>
    </row>
    <row r="38" spans="1:22" ht="45" x14ac:dyDescent="0.25">
      <c r="A38">
        <v>36</v>
      </c>
      <c r="B38" s="14">
        <v>45954</v>
      </c>
      <c r="C38" t="s">
        <v>49</v>
      </c>
      <c r="D38" s="15"/>
      <c r="E38" s="11"/>
      <c r="F38" s="6">
        <v>3328310</v>
      </c>
      <c r="G38" s="19" t="s">
        <v>108</v>
      </c>
      <c r="H38" s="11" t="s">
        <v>109</v>
      </c>
      <c r="I38" s="16"/>
      <c r="K38" s="11" t="s">
        <v>68</v>
      </c>
      <c r="L38" s="11" t="s">
        <v>68</v>
      </c>
      <c r="M38" s="11" t="s">
        <v>76</v>
      </c>
      <c r="O38" t="s">
        <v>70</v>
      </c>
      <c r="P38" s="1" t="s">
        <v>171</v>
      </c>
      <c r="Q38" s="11" t="s">
        <v>78</v>
      </c>
      <c r="T38" s="6"/>
      <c r="U38" s="9"/>
      <c r="V38">
        <f>WEEKNUM(CRM[[#This Row],[Fecha]])</f>
        <v>43</v>
      </c>
    </row>
    <row r="39" spans="1:22" ht="30" x14ac:dyDescent="0.25">
      <c r="A39">
        <v>37</v>
      </c>
      <c r="B39" s="14">
        <v>45954</v>
      </c>
      <c r="C39" t="s">
        <v>49</v>
      </c>
      <c r="D39" s="15"/>
      <c r="E39" s="11"/>
      <c r="F39" s="6">
        <v>4673047</v>
      </c>
      <c r="G39" s="19" t="s">
        <v>111</v>
      </c>
      <c r="H39" s="11" t="s">
        <v>112</v>
      </c>
      <c r="I39" s="16"/>
      <c r="K39" s="11" t="s">
        <v>68</v>
      </c>
      <c r="L39" s="11" t="s">
        <v>68</v>
      </c>
      <c r="M39" s="11" t="s">
        <v>76</v>
      </c>
      <c r="O39" t="s">
        <v>70</v>
      </c>
      <c r="P39" s="1" t="s">
        <v>172</v>
      </c>
      <c r="Q39" s="11" t="s">
        <v>78</v>
      </c>
      <c r="T39" s="6"/>
      <c r="U39" s="9"/>
      <c r="V39">
        <f>WEEKNUM(CRM[[#This Row],[Fecha]])</f>
        <v>43</v>
      </c>
    </row>
    <row r="40" spans="1:22" ht="30" x14ac:dyDescent="0.25">
      <c r="A40">
        <v>38</v>
      </c>
      <c r="B40" s="14">
        <v>45954</v>
      </c>
      <c r="C40" t="s">
        <v>49</v>
      </c>
      <c r="D40" s="15"/>
      <c r="E40" s="11"/>
      <c r="F40" s="6">
        <v>994894905</v>
      </c>
      <c r="G40" s="19" t="s">
        <v>114</v>
      </c>
      <c r="H40" s="11" t="s">
        <v>115</v>
      </c>
      <c r="I40" s="16"/>
      <c r="K40" s="11" t="s">
        <v>68</v>
      </c>
      <c r="L40" s="11" t="s">
        <v>116</v>
      </c>
      <c r="M40" s="11" t="s">
        <v>76</v>
      </c>
      <c r="O40" t="s">
        <v>70</v>
      </c>
      <c r="P40" s="1" t="s">
        <v>173</v>
      </c>
      <c r="Q40" s="11" t="s">
        <v>78</v>
      </c>
      <c r="T40" s="6"/>
      <c r="U40" s="9"/>
      <c r="V40">
        <f>WEEKNUM(CRM[[#This Row],[Fecha]])</f>
        <v>43</v>
      </c>
    </row>
    <row r="41" spans="1:22" ht="75" x14ac:dyDescent="0.25">
      <c r="A41">
        <v>39</v>
      </c>
      <c r="B41" s="14">
        <v>45954</v>
      </c>
      <c r="C41" t="s">
        <v>49</v>
      </c>
      <c r="D41" s="11" t="s">
        <v>174</v>
      </c>
      <c r="E41" s="11"/>
      <c r="F41" s="6">
        <v>987934854</v>
      </c>
      <c r="G41" s="19" t="s">
        <v>118</v>
      </c>
      <c r="H41" s="11" t="s">
        <v>119</v>
      </c>
      <c r="I41" s="16"/>
      <c r="K41" s="11" t="s">
        <v>68</v>
      </c>
      <c r="L41" s="11" t="s">
        <v>116</v>
      </c>
      <c r="M41" s="11" t="s">
        <v>76</v>
      </c>
      <c r="O41" t="s">
        <v>70</v>
      </c>
      <c r="P41" s="1" t="s">
        <v>175</v>
      </c>
      <c r="Q41" s="11" t="s">
        <v>78</v>
      </c>
      <c r="T41" s="6"/>
      <c r="U41" s="22">
        <v>45960</v>
      </c>
      <c r="V41">
        <f>WEEKNUM(CRM[[#This Row],[Fecha]])</f>
        <v>43</v>
      </c>
    </row>
    <row r="42" spans="1:22" ht="30" x14ac:dyDescent="0.25">
      <c r="A42">
        <v>40</v>
      </c>
      <c r="B42" s="14">
        <v>45954</v>
      </c>
      <c r="C42" t="s">
        <v>49</v>
      </c>
      <c r="D42" s="11" t="s">
        <v>121</v>
      </c>
      <c r="E42" s="11" t="s">
        <v>51</v>
      </c>
      <c r="F42" s="6">
        <v>988923787</v>
      </c>
      <c r="G42" s="19" t="s">
        <v>122</v>
      </c>
      <c r="H42" s="11" t="s">
        <v>123</v>
      </c>
      <c r="I42" s="20">
        <v>10429272721</v>
      </c>
      <c r="K42" s="11" t="s">
        <v>68</v>
      </c>
      <c r="L42" s="15" t="s">
        <v>124</v>
      </c>
      <c r="M42" s="15" t="s">
        <v>57</v>
      </c>
      <c r="N42" t="s">
        <v>58</v>
      </c>
      <c r="O42" t="s">
        <v>38</v>
      </c>
      <c r="P42" s="1" t="s">
        <v>176</v>
      </c>
      <c r="Q42" t="s">
        <v>12</v>
      </c>
      <c r="T42" s="6"/>
      <c r="V42">
        <f>WEEKNUM(CRM[[#This Row],[Fecha]])</f>
        <v>43</v>
      </c>
    </row>
    <row r="43" spans="1:22" ht="60" x14ac:dyDescent="0.25">
      <c r="A43">
        <v>41</v>
      </c>
      <c r="B43" s="14">
        <v>45954</v>
      </c>
      <c r="C43" t="s">
        <v>49</v>
      </c>
      <c r="D43" s="11" t="s">
        <v>127</v>
      </c>
      <c r="E43" t="s">
        <v>128</v>
      </c>
      <c r="F43" s="6">
        <v>984755140</v>
      </c>
      <c r="G43" s="19" t="s">
        <v>129</v>
      </c>
      <c r="H43" s="11" t="s">
        <v>15</v>
      </c>
      <c r="I43" s="20">
        <v>10720799494</v>
      </c>
      <c r="K43" s="15" t="s">
        <v>130</v>
      </c>
      <c r="L43" s="11"/>
      <c r="M43" s="11" t="s">
        <v>76</v>
      </c>
      <c r="N43" t="s">
        <v>58</v>
      </c>
      <c r="O43" t="s">
        <v>38</v>
      </c>
      <c r="P43" s="1" t="s">
        <v>177</v>
      </c>
      <c r="Q43" t="s">
        <v>12</v>
      </c>
      <c r="T43" s="6"/>
      <c r="V43">
        <f>WEEKNUM(CRM[[#This Row],[Fecha]])</f>
        <v>43</v>
      </c>
    </row>
    <row r="44" spans="1:22" ht="45" x14ac:dyDescent="0.25">
      <c r="A44">
        <v>42</v>
      </c>
      <c r="B44" s="14">
        <v>45954</v>
      </c>
      <c r="C44" t="s">
        <v>49</v>
      </c>
      <c r="D44" t="s">
        <v>133</v>
      </c>
      <c r="E44" s="11" t="s">
        <v>51</v>
      </c>
      <c r="F44" s="6">
        <v>907616141</v>
      </c>
      <c r="G44" s="12"/>
      <c r="H44" s="11" t="s">
        <v>7</v>
      </c>
      <c r="I44" s="16" t="s">
        <v>134</v>
      </c>
      <c r="K44" s="11" t="s">
        <v>68</v>
      </c>
      <c r="L44" s="11" t="s">
        <v>135</v>
      </c>
      <c r="M44" s="15" t="s">
        <v>57</v>
      </c>
      <c r="N44" t="s">
        <v>58</v>
      </c>
      <c r="O44" t="s">
        <v>38</v>
      </c>
      <c r="P44" s="1" t="s">
        <v>178</v>
      </c>
      <c r="Q44" t="s">
        <v>12</v>
      </c>
      <c r="T44" s="6"/>
      <c r="V44">
        <f>WEEKNUM(CRM[[#This Row],[Fecha]])</f>
        <v>43</v>
      </c>
    </row>
    <row r="45" spans="1:22" x14ac:dyDescent="0.25">
      <c r="A45">
        <v>43</v>
      </c>
      <c r="B45" s="14">
        <v>45954</v>
      </c>
      <c r="C45" t="s">
        <v>49</v>
      </c>
      <c r="D45" s="15" t="s">
        <v>138</v>
      </c>
      <c r="E45" s="11" t="s">
        <v>128</v>
      </c>
      <c r="F45" s="6">
        <v>927100074</v>
      </c>
      <c r="G45" s="19" t="s">
        <v>139</v>
      </c>
      <c r="H45" s="11" t="s">
        <v>17</v>
      </c>
      <c r="I45" s="20">
        <v>20609379821</v>
      </c>
      <c r="K45" s="11" t="s">
        <v>140</v>
      </c>
      <c r="L45" s="11"/>
      <c r="M45" s="11" t="s">
        <v>141</v>
      </c>
      <c r="N45" t="s">
        <v>58</v>
      </c>
      <c r="O45" t="s">
        <v>38</v>
      </c>
      <c r="P45" s="1" t="s">
        <v>176</v>
      </c>
      <c r="Q45" t="s">
        <v>12</v>
      </c>
      <c r="T45" s="6"/>
      <c r="V45">
        <f>WEEKNUM(CRM[[#This Row],[Fecha]])</f>
        <v>43</v>
      </c>
    </row>
    <row r="46" spans="1:22" ht="30" x14ac:dyDescent="0.25">
      <c r="A46">
        <v>44</v>
      </c>
      <c r="B46" s="14">
        <v>45954</v>
      </c>
      <c r="C46" t="s">
        <v>49</v>
      </c>
      <c r="D46" t="s">
        <v>144</v>
      </c>
      <c r="E46" s="11" t="s">
        <v>128</v>
      </c>
      <c r="F46" s="6">
        <v>950308250</v>
      </c>
      <c r="G46" s="19" t="s">
        <v>145</v>
      </c>
      <c r="H46" s="11" t="s">
        <v>24</v>
      </c>
      <c r="I46" s="20">
        <v>20614800659</v>
      </c>
      <c r="K46" s="11" t="s">
        <v>140</v>
      </c>
      <c r="L46" s="11"/>
      <c r="M46" s="15" t="s">
        <v>57</v>
      </c>
      <c r="N46" t="s">
        <v>58</v>
      </c>
      <c r="O46" t="s">
        <v>38</v>
      </c>
      <c r="P46" s="1" t="s">
        <v>176</v>
      </c>
      <c r="Q46" t="s">
        <v>12</v>
      </c>
      <c r="T46" s="6"/>
      <c r="V46">
        <f>WEEKNUM(CRM[[#This Row],[Fecha]])</f>
        <v>43</v>
      </c>
    </row>
    <row r="47" spans="1:22" ht="45" x14ac:dyDescent="0.25">
      <c r="A47">
        <v>45</v>
      </c>
      <c r="B47" s="14">
        <v>45954</v>
      </c>
      <c r="C47" t="s">
        <v>49</v>
      </c>
      <c r="D47" t="s">
        <v>148</v>
      </c>
      <c r="E47" s="11" t="s">
        <v>128</v>
      </c>
      <c r="F47" s="6">
        <v>905824331</v>
      </c>
      <c r="G47" s="19" t="s">
        <v>149</v>
      </c>
      <c r="H47" s="11" t="s">
        <v>150</v>
      </c>
      <c r="I47" s="16" t="s">
        <v>151</v>
      </c>
      <c r="K47" s="11" t="s">
        <v>140</v>
      </c>
      <c r="L47" s="11"/>
      <c r="M47" s="15" t="s">
        <v>57</v>
      </c>
      <c r="N47" t="s">
        <v>58</v>
      </c>
      <c r="O47" t="s">
        <v>38</v>
      </c>
      <c r="P47" s="1" t="s">
        <v>179</v>
      </c>
      <c r="Q47" t="s">
        <v>12</v>
      </c>
      <c r="S47" t="s">
        <v>180</v>
      </c>
      <c r="T47" s="6">
        <v>4340</v>
      </c>
      <c r="V47">
        <f>WEEKNUM(CRM[[#This Row],[Fecha]])</f>
        <v>43</v>
      </c>
    </row>
    <row r="48" spans="1:22" ht="45" x14ac:dyDescent="0.25">
      <c r="A48">
        <v>46</v>
      </c>
      <c r="B48" s="14">
        <v>45954</v>
      </c>
      <c r="C48" s="1" t="s">
        <v>154</v>
      </c>
      <c r="D48" t="s">
        <v>155</v>
      </c>
      <c r="E48" s="11" t="s">
        <v>128</v>
      </c>
      <c r="F48" s="6">
        <v>949719738</v>
      </c>
      <c r="G48" s="19" t="s">
        <v>156</v>
      </c>
      <c r="H48" s="11" t="s">
        <v>21</v>
      </c>
      <c r="I48" s="6">
        <v>20601646367</v>
      </c>
      <c r="K48" s="12" t="s">
        <v>157</v>
      </c>
      <c r="L48" s="12"/>
      <c r="M48" s="11" t="s">
        <v>76</v>
      </c>
      <c r="N48" t="s">
        <v>58</v>
      </c>
      <c r="O48" t="s">
        <v>38</v>
      </c>
      <c r="P48" s="23" t="s">
        <v>181</v>
      </c>
      <c r="Q48" t="s">
        <v>182</v>
      </c>
      <c r="T48" s="6"/>
      <c r="V48">
        <f>WEEKNUM(CRM[[#This Row],[Fecha]])</f>
        <v>43</v>
      </c>
    </row>
    <row r="49" spans="1:22" ht="105" x14ac:dyDescent="0.25">
      <c r="A49">
        <v>47</v>
      </c>
      <c r="B49" s="14">
        <v>45954</v>
      </c>
      <c r="C49" t="s">
        <v>49</v>
      </c>
      <c r="D49" t="s">
        <v>183</v>
      </c>
      <c r="E49" s="11" t="s">
        <v>128</v>
      </c>
      <c r="F49" s="6">
        <v>961785460</v>
      </c>
      <c r="G49" s="2" t="s">
        <v>184</v>
      </c>
      <c r="H49" s="11" t="s">
        <v>185</v>
      </c>
      <c r="I49" s="6">
        <v>20537054728</v>
      </c>
      <c r="K49" t="s">
        <v>68</v>
      </c>
      <c r="L49" t="s">
        <v>186</v>
      </c>
      <c r="M49" t="s">
        <v>187</v>
      </c>
      <c r="N49" t="s">
        <v>58</v>
      </c>
      <c r="O49" t="s">
        <v>38</v>
      </c>
      <c r="P49" s="23" t="s">
        <v>188</v>
      </c>
      <c r="Q49" t="s">
        <v>182</v>
      </c>
      <c r="S49" t="s">
        <v>189</v>
      </c>
      <c r="T49" s="6">
        <v>4340</v>
      </c>
      <c r="V49">
        <f>WEEKNUM(CRM[[#This Row],[Fecha]])</f>
        <v>43</v>
      </c>
    </row>
    <row r="50" spans="1:22" ht="69.95" customHeight="1" x14ac:dyDescent="0.25">
      <c r="A50">
        <v>48</v>
      </c>
      <c r="B50" s="14">
        <v>45954</v>
      </c>
      <c r="C50" t="s">
        <v>49</v>
      </c>
      <c r="D50" t="s">
        <v>190</v>
      </c>
      <c r="E50" s="11" t="s">
        <v>128</v>
      </c>
      <c r="F50" s="6">
        <v>971763270</v>
      </c>
      <c r="G50" s="2" t="s">
        <v>191</v>
      </c>
      <c r="H50" t="s">
        <v>19</v>
      </c>
      <c r="I50" t="s">
        <v>192</v>
      </c>
      <c r="K50" t="s">
        <v>140</v>
      </c>
      <c r="M50" t="s">
        <v>57</v>
      </c>
      <c r="N50" t="s">
        <v>58</v>
      </c>
      <c r="O50" t="s">
        <v>38</v>
      </c>
      <c r="P50" s="23" t="s">
        <v>193</v>
      </c>
      <c r="Q50" t="s">
        <v>12</v>
      </c>
      <c r="S50" t="s">
        <v>194</v>
      </c>
      <c r="T50" s="6">
        <v>6949</v>
      </c>
      <c r="V50">
        <f>WEEKNUM(CRM[[#This Row],[Fecha]])</f>
        <v>43</v>
      </c>
    </row>
    <row r="51" spans="1:22" ht="33.950000000000003" customHeight="1" x14ac:dyDescent="0.25">
      <c r="A51">
        <v>49</v>
      </c>
      <c r="B51" s="14">
        <v>45954</v>
      </c>
      <c r="C51" t="s">
        <v>49</v>
      </c>
      <c r="D51" t="s">
        <v>195</v>
      </c>
      <c r="F51" s="6">
        <v>990216016</v>
      </c>
      <c r="G51" s="2" t="s">
        <v>196</v>
      </c>
      <c r="M51" t="s">
        <v>57</v>
      </c>
      <c r="N51" t="s">
        <v>58</v>
      </c>
      <c r="O51" t="s">
        <v>38</v>
      </c>
      <c r="P51" s="23" t="s">
        <v>197</v>
      </c>
      <c r="Q51" t="s">
        <v>64</v>
      </c>
      <c r="T51" s="6"/>
      <c r="V51">
        <f>WEEKNUM(CRM[[#This Row],[Fecha]])</f>
        <v>43</v>
      </c>
    </row>
    <row r="52" spans="1:22" ht="45" x14ac:dyDescent="0.25">
      <c r="A52">
        <v>50</v>
      </c>
      <c r="B52" s="22">
        <v>45955</v>
      </c>
      <c r="C52" t="s">
        <v>49</v>
      </c>
      <c r="D52" t="s">
        <v>9</v>
      </c>
      <c r="F52" s="6">
        <v>915244218</v>
      </c>
      <c r="G52" s="2" t="s">
        <v>198</v>
      </c>
      <c r="H52" t="s">
        <v>199</v>
      </c>
      <c r="I52" t="s">
        <v>200</v>
      </c>
      <c r="K52" t="s">
        <v>68</v>
      </c>
      <c r="L52" t="s">
        <v>201</v>
      </c>
      <c r="M52" t="s">
        <v>57</v>
      </c>
      <c r="O52" t="s">
        <v>38</v>
      </c>
      <c r="P52" s="23" t="s">
        <v>202</v>
      </c>
      <c r="Q52" t="s">
        <v>12</v>
      </c>
      <c r="S52" t="s">
        <v>203</v>
      </c>
      <c r="T52" s="6">
        <v>4340</v>
      </c>
      <c r="V52">
        <f>WEEKNUM(CRM[[#This Row],[Fecha]])</f>
        <v>43</v>
      </c>
    </row>
    <row r="53" spans="1:22" x14ac:dyDescent="0.25">
      <c r="A53">
        <v>51</v>
      </c>
      <c r="B53" s="22">
        <v>45955</v>
      </c>
      <c r="C53" t="s">
        <v>49</v>
      </c>
      <c r="F53" s="6">
        <v>960191115</v>
      </c>
      <c r="O53" t="s">
        <v>38</v>
      </c>
      <c r="P53" t="s">
        <v>204</v>
      </c>
      <c r="Q53" t="s">
        <v>64</v>
      </c>
      <c r="T53" s="6"/>
      <c r="V53">
        <f>WEEKNUM(CRM[[#This Row],[Fecha]])</f>
        <v>43</v>
      </c>
    </row>
    <row r="54" spans="1:22" ht="45" x14ac:dyDescent="0.25">
      <c r="A54">
        <v>52</v>
      </c>
      <c r="B54" s="22">
        <v>45955</v>
      </c>
      <c r="C54" t="s">
        <v>49</v>
      </c>
      <c r="D54" t="s">
        <v>205</v>
      </c>
      <c r="F54" s="6">
        <v>931775092</v>
      </c>
      <c r="G54" s="2" t="s">
        <v>206</v>
      </c>
      <c r="H54" t="s">
        <v>207</v>
      </c>
      <c r="I54" t="s">
        <v>208</v>
      </c>
      <c r="K54" t="s">
        <v>140</v>
      </c>
      <c r="M54" t="s">
        <v>57</v>
      </c>
      <c r="O54" t="s">
        <v>38</v>
      </c>
      <c r="P54" s="23" t="s">
        <v>209</v>
      </c>
      <c r="Q54" t="s">
        <v>12</v>
      </c>
      <c r="S54" t="s">
        <v>210</v>
      </c>
      <c r="T54" s="6">
        <v>6949</v>
      </c>
      <c r="V54">
        <f>WEEKNUM(CRM[[#This Row],[Fecha]])</f>
        <v>43</v>
      </c>
    </row>
    <row r="55" spans="1:22" x14ac:dyDescent="0.25">
      <c r="A55">
        <v>53</v>
      </c>
      <c r="B55" s="22">
        <v>45955</v>
      </c>
      <c r="C55" t="s">
        <v>49</v>
      </c>
      <c r="F55" s="6">
        <v>966488772</v>
      </c>
      <c r="O55" t="s">
        <v>38</v>
      </c>
      <c r="P55" t="s">
        <v>211</v>
      </c>
      <c r="Q55" t="s">
        <v>64</v>
      </c>
      <c r="T55" s="6"/>
      <c r="V55">
        <f>WEEKNUM(CRM[[#This Row],[Fecha]])</f>
        <v>43</v>
      </c>
    </row>
    <row r="56" spans="1:22" x14ac:dyDescent="0.25">
      <c r="A56">
        <v>54</v>
      </c>
      <c r="B56" s="22">
        <v>45955</v>
      </c>
      <c r="C56" t="s">
        <v>49</v>
      </c>
      <c r="F56" s="6">
        <v>932400450</v>
      </c>
      <c r="O56" t="s">
        <v>38</v>
      </c>
      <c r="P56" t="s">
        <v>212</v>
      </c>
      <c r="Q56" t="s">
        <v>64</v>
      </c>
      <c r="T56" s="6"/>
      <c r="V56">
        <f>WEEKNUM(CRM[[#This Row],[Fecha]])</f>
        <v>43</v>
      </c>
    </row>
    <row r="57" spans="1:22" x14ac:dyDescent="0.25">
      <c r="A57">
        <v>55</v>
      </c>
      <c r="B57" s="22">
        <v>45955</v>
      </c>
      <c r="C57" s="1" t="s">
        <v>49</v>
      </c>
      <c r="D57" s="15" t="s">
        <v>50</v>
      </c>
      <c r="E57" s="11" t="s">
        <v>51</v>
      </c>
      <c r="F57" t="s">
        <v>52</v>
      </c>
      <c r="G57" s="2"/>
      <c r="H57" s="11" t="s">
        <v>53</v>
      </c>
      <c r="I57" s="16" t="s">
        <v>54</v>
      </c>
      <c r="K57" s="11" t="s">
        <v>55</v>
      </c>
      <c r="L57" s="11" t="s">
        <v>56</v>
      </c>
      <c r="M57" s="11" t="s">
        <v>57</v>
      </c>
      <c r="N57" t="s">
        <v>58</v>
      </c>
      <c r="O57" t="s">
        <v>59</v>
      </c>
      <c r="P57" t="s">
        <v>213</v>
      </c>
      <c r="Q57" s="11" t="s">
        <v>12</v>
      </c>
      <c r="T57" s="6"/>
      <c r="U57" s="11"/>
      <c r="V57">
        <f>WEEKNUM(CRM[[#This Row],[Fecha]])</f>
        <v>43</v>
      </c>
    </row>
    <row r="58" spans="1:22" x14ac:dyDescent="0.25">
      <c r="A58">
        <v>56</v>
      </c>
      <c r="B58" s="22">
        <v>45955</v>
      </c>
      <c r="C58" s="1" t="s">
        <v>49</v>
      </c>
      <c r="D58" s="15" t="s">
        <v>62</v>
      </c>
      <c r="E58" s="11"/>
      <c r="F58" s="6">
        <v>977508409</v>
      </c>
      <c r="G58" s="2"/>
      <c r="H58" s="11"/>
      <c r="I58" s="16"/>
      <c r="K58" s="11"/>
      <c r="L58" s="11"/>
      <c r="M58" s="11"/>
      <c r="N58" t="s">
        <v>58</v>
      </c>
      <c r="O58" t="s">
        <v>38</v>
      </c>
      <c r="P58" t="s">
        <v>213</v>
      </c>
      <c r="Q58" s="11" t="s">
        <v>64</v>
      </c>
      <c r="T58" s="6"/>
      <c r="U58" s="11"/>
      <c r="V58">
        <f>WEEKNUM(CRM[[#This Row],[Fecha]])</f>
        <v>43</v>
      </c>
    </row>
    <row r="59" spans="1:22" x14ac:dyDescent="0.25">
      <c r="A59">
        <v>57</v>
      </c>
      <c r="B59" s="22">
        <v>45955</v>
      </c>
      <c r="C59" t="s">
        <v>49</v>
      </c>
      <c r="D59" s="15"/>
      <c r="E59" s="11"/>
      <c r="F59" s="6">
        <v>3328310</v>
      </c>
      <c r="G59" s="19" t="s">
        <v>108</v>
      </c>
      <c r="H59" s="11" t="s">
        <v>109</v>
      </c>
      <c r="I59" s="16"/>
      <c r="K59" s="11" t="s">
        <v>68</v>
      </c>
      <c r="L59" s="11" t="s">
        <v>68</v>
      </c>
      <c r="M59" s="11" t="s">
        <v>76</v>
      </c>
      <c r="O59" t="s">
        <v>70</v>
      </c>
      <c r="P59" t="s">
        <v>85</v>
      </c>
      <c r="Q59" s="11" t="s">
        <v>78</v>
      </c>
      <c r="T59" s="6"/>
      <c r="U59" s="9"/>
      <c r="V59">
        <f>WEEKNUM(CRM[[#This Row],[Fecha]])</f>
        <v>43</v>
      </c>
    </row>
    <row r="60" spans="1:22" x14ac:dyDescent="0.25">
      <c r="A60">
        <v>58</v>
      </c>
      <c r="B60" s="22">
        <v>45955</v>
      </c>
      <c r="C60" t="s">
        <v>49</v>
      </c>
      <c r="D60" s="15"/>
      <c r="E60" s="11"/>
      <c r="F60" s="6">
        <v>5307801</v>
      </c>
      <c r="G60" s="18" t="s">
        <v>72</v>
      </c>
      <c r="H60" s="11" t="s">
        <v>73</v>
      </c>
      <c r="I60" s="16"/>
      <c r="K60" s="11" t="s">
        <v>74</v>
      </c>
      <c r="L60" s="11" t="s">
        <v>75</v>
      </c>
      <c r="M60" s="11" t="s">
        <v>76</v>
      </c>
      <c r="O60" t="s">
        <v>70</v>
      </c>
      <c r="P60" t="s">
        <v>213</v>
      </c>
      <c r="Q60" s="11" t="s">
        <v>78</v>
      </c>
      <c r="T60" s="6"/>
      <c r="U60" s="11"/>
      <c r="V60">
        <f>WEEKNUM(CRM[[#This Row],[Fecha]])</f>
        <v>43</v>
      </c>
    </row>
    <row r="61" spans="1:22" x14ac:dyDescent="0.25">
      <c r="A61">
        <v>59</v>
      </c>
      <c r="B61" s="22">
        <v>45955</v>
      </c>
      <c r="C61" t="s">
        <v>65</v>
      </c>
      <c r="D61" s="15"/>
      <c r="E61" s="11" t="s">
        <v>66</v>
      </c>
      <c r="F61" s="6">
        <v>7005100</v>
      </c>
      <c r="G61" s="18" t="s">
        <v>79</v>
      </c>
      <c r="H61" s="11" t="s">
        <v>80</v>
      </c>
      <c r="I61" s="16"/>
      <c r="J61" s="1"/>
      <c r="K61" s="11" t="s">
        <v>68</v>
      </c>
      <c r="L61" s="11" t="s">
        <v>81</v>
      </c>
      <c r="M61" s="11" t="s">
        <v>76</v>
      </c>
      <c r="O61" t="s">
        <v>70</v>
      </c>
      <c r="P61" t="s">
        <v>214</v>
      </c>
      <c r="Q61" s="11" t="s">
        <v>78</v>
      </c>
      <c r="T61" s="6"/>
      <c r="U61" s="11"/>
      <c r="V61">
        <f>WEEKNUM(CRM[[#This Row],[Fecha]])</f>
        <v>43</v>
      </c>
    </row>
    <row r="62" spans="1:22" x14ac:dyDescent="0.25">
      <c r="A62">
        <v>60</v>
      </c>
      <c r="B62" s="22">
        <v>45955</v>
      </c>
      <c r="C62" t="s">
        <v>65</v>
      </c>
      <c r="D62" s="15"/>
      <c r="E62" s="11" t="s">
        <v>66</v>
      </c>
      <c r="F62" s="6">
        <v>2476430</v>
      </c>
      <c r="H62" s="11" t="s">
        <v>83</v>
      </c>
      <c r="I62" s="16"/>
      <c r="K62" s="11" t="s">
        <v>68</v>
      </c>
      <c r="L62" s="11" t="s">
        <v>81</v>
      </c>
      <c r="M62" s="11" t="s">
        <v>76</v>
      </c>
      <c r="O62" t="s">
        <v>70</v>
      </c>
      <c r="P62" t="s">
        <v>213</v>
      </c>
      <c r="Q62" s="11" t="s">
        <v>64</v>
      </c>
      <c r="T62" s="6"/>
      <c r="U62" s="11"/>
      <c r="V62">
        <f>WEEKNUM(CRM[[#This Row],[Fecha]])</f>
        <v>43</v>
      </c>
    </row>
    <row r="63" spans="1:22" x14ac:dyDescent="0.25">
      <c r="A63">
        <v>61</v>
      </c>
      <c r="B63" s="22">
        <v>45955</v>
      </c>
      <c r="C63" t="s">
        <v>65</v>
      </c>
      <c r="D63" s="15" t="s">
        <v>86</v>
      </c>
      <c r="E63" s="11" t="s">
        <v>87</v>
      </c>
      <c r="F63" s="6" t="s">
        <v>88</v>
      </c>
      <c r="H63" s="11" t="s">
        <v>89</v>
      </c>
      <c r="I63" s="16"/>
      <c r="K63" s="11" t="s">
        <v>68</v>
      </c>
      <c r="L63" s="11" t="s">
        <v>90</v>
      </c>
      <c r="M63" s="11" t="s">
        <v>76</v>
      </c>
      <c r="O63" t="s">
        <v>70</v>
      </c>
      <c r="P63" t="s">
        <v>213</v>
      </c>
      <c r="Q63" s="11" t="s">
        <v>78</v>
      </c>
      <c r="T63" s="6"/>
      <c r="U63" s="11"/>
      <c r="V63">
        <f>WEEKNUM(CRM[[#This Row],[Fecha]])</f>
        <v>43</v>
      </c>
    </row>
    <row r="64" spans="1:22" x14ac:dyDescent="0.25">
      <c r="A64">
        <v>62</v>
      </c>
      <c r="B64" s="22">
        <v>45955</v>
      </c>
      <c r="C64" t="s">
        <v>49</v>
      </c>
      <c r="D64" s="15" t="s">
        <v>92</v>
      </c>
      <c r="E64" s="11" t="s">
        <v>93</v>
      </c>
      <c r="F64" s="6">
        <v>3155000</v>
      </c>
      <c r="G64" s="18" t="s">
        <v>94</v>
      </c>
      <c r="H64" s="11" t="s">
        <v>95</v>
      </c>
      <c r="I64" s="16"/>
      <c r="K64" s="11" t="s">
        <v>68</v>
      </c>
      <c r="L64" s="11" t="s">
        <v>68</v>
      </c>
      <c r="M64" s="11" t="s">
        <v>76</v>
      </c>
      <c r="O64" t="s">
        <v>70</v>
      </c>
      <c r="P64" t="s">
        <v>213</v>
      </c>
      <c r="Q64" s="11" t="s">
        <v>1</v>
      </c>
      <c r="T64" s="6"/>
      <c r="U64" s="14"/>
      <c r="V64">
        <f>WEEKNUM(CRM[[#This Row],[Fecha]])</f>
        <v>43</v>
      </c>
    </row>
    <row r="65" spans="1:22" x14ac:dyDescent="0.25">
      <c r="A65">
        <v>63</v>
      </c>
      <c r="B65" s="22">
        <v>45955</v>
      </c>
      <c r="C65" t="s">
        <v>65</v>
      </c>
      <c r="D65" s="15"/>
      <c r="E65" s="11"/>
      <c r="F65" s="6">
        <v>2056200</v>
      </c>
      <c r="G65" s="18" t="s">
        <v>97</v>
      </c>
      <c r="H65" s="11" t="s">
        <v>98</v>
      </c>
      <c r="I65" s="16"/>
      <c r="K65" s="11" t="s">
        <v>68</v>
      </c>
      <c r="L65" s="11" t="s">
        <v>68</v>
      </c>
      <c r="M65" s="11" t="s">
        <v>76</v>
      </c>
      <c r="O65" t="s">
        <v>70</v>
      </c>
      <c r="P65" t="s">
        <v>213</v>
      </c>
      <c r="Q65" s="11" t="s">
        <v>78</v>
      </c>
      <c r="T65" s="6"/>
      <c r="U65" s="14"/>
      <c r="V65">
        <f>WEEKNUM(CRM[[#This Row],[Fecha]])</f>
        <v>43</v>
      </c>
    </row>
    <row r="66" spans="1:22" x14ac:dyDescent="0.25">
      <c r="A66">
        <v>64</v>
      </c>
      <c r="B66" s="22">
        <v>45955</v>
      </c>
      <c r="C66" t="s">
        <v>49</v>
      </c>
      <c r="D66" s="15"/>
      <c r="E66" s="11"/>
      <c r="F66" s="6">
        <v>4265147</v>
      </c>
      <c r="G66" s="19" t="s">
        <v>100</v>
      </c>
      <c r="H66" s="11" t="s">
        <v>101</v>
      </c>
      <c r="I66" s="16"/>
      <c r="K66" s="11" t="s">
        <v>68</v>
      </c>
      <c r="L66" s="11" t="s">
        <v>68</v>
      </c>
      <c r="M66" s="11" t="s">
        <v>76</v>
      </c>
      <c r="O66" t="s">
        <v>70</v>
      </c>
      <c r="P66" t="s">
        <v>213</v>
      </c>
      <c r="Q66" s="11" t="s">
        <v>78</v>
      </c>
      <c r="T66" s="6"/>
      <c r="U66" s="14"/>
      <c r="V66">
        <f>WEEKNUM(CRM[[#This Row],[Fecha]])</f>
        <v>43</v>
      </c>
    </row>
    <row r="67" spans="1:22" x14ac:dyDescent="0.25">
      <c r="A67">
        <v>65</v>
      </c>
      <c r="B67" s="22">
        <v>45955</v>
      </c>
      <c r="C67" t="s">
        <v>49</v>
      </c>
      <c r="D67" s="15"/>
      <c r="E67" s="11"/>
      <c r="F67" s="6">
        <v>4335517</v>
      </c>
      <c r="G67" s="19" t="s">
        <v>103</v>
      </c>
      <c r="H67" s="11" t="s">
        <v>104</v>
      </c>
      <c r="I67" s="16"/>
      <c r="K67" s="11" t="s">
        <v>68</v>
      </c>
      <c r="L67" s="11" t="s">
        <v>68</v>
      </c>
      <c r="M67" s="11" t="s">
        <v>76</v>
      </c>
      <c r="O67" t="s">
        <v>70</v>
      </c>
      <c r="P67" t="s">
        <v>213</v>
      </c>
      <c r="Q67" s="11" t="s">
        <v>78</v>
      </c>
      <c r="T67" s="6"/>
      <c r="U67" s="11"/>
      <c r="V67">
        <f>WEEKNUM(CRM[[#This Row],[Fecha]])</f>
        <v>43</v>
      </c>
    </row>
    <row r="68" spans="1:22" x14ac:dyDescent="0.25">
      <c r="A68">
        <v>66</v>
      </c>
      <c r="B68" s="22">
        <v>45955</v>
      </c>
      <c r="C68" t="s">
        <v>49</v>
      </c>
      <c r="D68" s="15"/>
      <c r="E68" s="11"/>
      <c r="F68" s="6">
        <v>4261919</v>
      </c>
      <c r="G68" s="19" t="s">
        <v>106</v>
      </c>
      <c r="H68" s="11" t="s">
        <v>107</v>
      </c>
      <c r="I68" s="16"/>
      <c r="K68" s="11" t="s">
        <v>68</v>
      </c>
      <c r="L68" s="11" t="s">
        <v>68</v>
      </c>
      <c r="M68" s="11" t="s">
        <v>76</v>
      </c>
      <c r="O68" t="s">
        <v>70</v>
      </c>
      <c r="P68" t="s">
        <v>213</v>
      </c>
      <c r="Q68" s="11" t="s">
        <v>78</v>
      </c>
      <c r="T68" s="6"/>
      <c r="U68" s="13"/>
      <c r="V68">
        <f>WEEKNUM(CRM[[#This Row],[Fecha]])</f>
        <v>43</v>
      </c>
    </row>
    <row r="69" spans="1:22" x14ac:dyDescent="0.25">
      <c r="A69">
        <v>68</v>
      </c>
      <c r="B69" s="22">
        <v>45955</v>
      </c>
      <c r="C69" t="s">
        <v>49</v>
      </c>
      <c r="D69" s="15"/>
      <c r="E69" s="11"/>
      <c r="F69" s="6">
        <v>4673047</v>
      </c>
      <c r="G69" s="19" t="s">
        <v>111</v>
      </c>
      <c r="H69" s="11" t="s">
        <v>112</v>
      </c>
      <c r="I69" s="16"/>
      <c r="K69" s="11" t="s">
        <v>68</v>
      </c>
      <c r="L69" s="11" t="s">
        <v>68</v>
      </c>
      <c r="M69" s="11" t="s">
        <v>76</v>
      </c>
      <c r="O69" t="s">
        <v>70</v>
      </c>
      <c r="P69" t="s">
        <v>215</v>
      </c>
      <c r="Q69" s="11" t="s">
        <v>78</v>
      </c>
      <c r="T69" s="6"/>
      <c r="U69" s="9"/>
      <c r="V69">
        <f>WEEKNUM(CRM[[#This Row],[Fecha]])</f>
        <v>43</v>
      </c>
    </row>
    <row r="70" spans="1:22" x14ac:dyDescent="0.25">
      <c r="A70">
        <v>69</v>
      </c>
      <c r="B70" s="22">
        <v>45955</v>
      </c>
      <c r="C70" t="s">
        <v>49</v>
      </c>
      <c r="D70" s="15"/>
      <c r="E70" s="11"/>
      <c r="F70" s="6">
        <v>994894905</v>
      </c>
      <c r="G70" s="19" t="s">
        <v>114</v>
      </c>
      <c r="H70" s="11" t="s">
        <v>115</v>
      </c>
      <c r="I70" s="16"/>
      <c r="K70" s="11" t="s">
        <v>68</v>
      </c>
      <c r="L70" s="11" t="s">
        <v>116</v>
      </c>
      <c r="M70" s="11" t="s">
        <v>76</v>
      </c>
      <c r="O70" t="s">
        <v>70</v>
      </c>
      <c r="P70" t="s">
        <v>216</v>
      </c>
      <c r="Q70" s="11" t="s">
        <v>78</v>
      </c>
      <c r="T70" s="6"/>
      <c r="U70" s="9"/>
      <c r="V70">
        <f>WEEKNUM(CRM[[#This Row],[Fecha]])</f>
        <v>43</v>
      </c>
    </row>
    <row r="71" spans="1:22" x14ac:dyDescent="0.25">
      <c r="A71">
        <v>70</v>
      </c>
      <c r="B71" s="22">
        <v>45955</v>
      </c>
      <c r="C71" t="s">
        <v>49</v>
      </c>
      <c r="D71" s="11" t="s">
        <v>174</v>
      </c>
      <c r="E71" s="11"/>
      <c r="F71" s="6">
        <v>987934854</v>
      </c>
      <c r="G71" s="19" t="s">
        <v>118</v>
      </c>
      <c r="H71" s="11" t="s">
        <v>119</v>
      </c>
      <c r="I71" s="16"/>
      <c r="K71" s="11" t="s">
        <v>68</v>
      </c>
      <c r="L71" s="11" t="s">
        <v>116</v>
      </c>
      <c r="M71" s="11" t="s">
        <v>76</v>
      </c>
      <c r="O71" t="s">
        <v>70</v>
      </c>
      <c r="P71" t="s">
        <v>217</v>
      </c>
      <c r="Q71" s="11" t="s">
        <v>78</v>
      </c>
      <c r="T71" s="6"/>
      <c r="U71" s="22">
        <v>45960</v>
      </c>
      <c r="V71">
        <f>WEEKNUM(CRM[[#This Row],[Fecha]])</f>
        <v>43</v>
      </c>
    </row>
    <row r="72" spans="1:22" ht="30" x14ac:dyDescent="0.25">
      <c r="A72">
        <v>71</v>
      </c>
      <c r="B72" s="22">
        <v>45955</v>
      </c>
      <c r="C72" t="s">
        <v>49</v>
      </c>
      <c r="D72" s="11" t="s">
        <v>121</v>
      </c>
      <c r="E72" s="11" t="s">
        <v>51</v>
      </c>
      <c r="F72" s="6">
        <v>988923787</v>
      </c>
      <c r="G72" s="19" t="s">
        <v>122</v>
      </c>
      <c r="H72" s="11" t="s">
        <v>123</v>
      </c>
      <c r="I72" s="20">
        <v>10429272721</v>
      </c>
      <c r="K72" s="11" t="s">
        <v>68</v>
      </c>
      <c r="L72" s="15" t="s">
        <v>124</v>
      </c>
      <c r="M72" s="15" t="s">
        <v>57</v>
      </c>
      <c r="N72" t="s">
        <v>58</v>
      </c>
      <c r="O72" t="s">
        <v>38</v>
      </c>
      <c r="P72" t="s">
        <v>213</v>
      </c>
      <c r="Q72" t="s">
        <v>12</v>
      </c>
      <c r="T72" s="6"/>
      <c r="V72">
        <f>WEEKNUM(CRM[[#This Row],[Fecha]])</f>
        <v>43</v>
      </c>
    </row>
    <row r="73" spans="1:22" ht="30" x14ac:dyDescent="0.25">
      <c r="A73">
        <v>72</v>
      </c>
      <c r="B73" s="22">
        <v>45955</v>
      </c>
      <c r="C73" t="s">
        <v>49</v>
      </c>
      <c r="D73" s="11" t="s">
        <v>127</v>
      </c>
      <c r="E73" t="s">
        <v>128</v>
      </c>
      <c r="F73" s="6">
        <v>984755140</v>
      </c>
      <c r="G73" s="19" t="s">
        <v>129</v>
      </c>
      <c r="H73" s="11" t="s">
        <v>15</v>
      </c>
      <c r="I73" s="20">
        <v>10720799494</v>
      </c>
      <c r="K73" s="15" t="s">
        <v>130</v>
      </c>
      <c r="L73" s="11"/>
      <c r="M73" s="11" t="s">
        <v>76</v>
      </c>
      <c r="N73" t="s">
        <v>58</v>
      </c>
      <c r="O73" t="s">
        <v>38</v>
      </c>
      <c r="P73" t="s">
        <v>218</v>
      </c>
      <c r="Q73" t="s">
        <v>12</v>
      </c>
      <c r="T73" s="6"/>
      <c r="V73">
        <f>WEEKNUM(CRM[[#This Row],[Fecha]])</f>
        <v>43</v>
      </c>
    </row>
    <row r="74" spans="1:22" ht="30" x14ac:dyDescent="0.25">
      <c r="A74">
        <v>73</v>
      </c>
      <c r="B74" s="22">
        <v>45955</v>
      </c>
      <c r="C74" t="s">
        <v>49</v>
      </c>
      <c r="D74" t="s">
        <v>133</v>
      </c>
      <c r="E74" s="11" t="s">
        <v>51</v>
      </c>
      <c r="F74" s="6">
        <v>907616141</v>
      </c>
      <c r="G74" s="12"/>
      <c r="H74" s="11" t="s">
        <v>7</v>
      </c>
      <c r="I74" s="16" t="s">
        <v>134</v>
      </c>
      <c r="K74" s="11" t="s">
        <v>68</v>
      </c>
      <c r="L74" s="11" t="s">
        <v>135</v>
      </c>
      <c r="M74" s="15" t="s">
        <v>57</v>
      </c>
      <c r="N74" t="s">
        <v>58</v>
      </c>
      <c r="O74" t="s">
        <v>38</v>
      </c>
      <c r="P74" t="s">
        <v>219</v>
      </c>
      <c r="Q74" t="s">
        <v>12</v>
      </c>
      <c r="T74" s="6"/>
      <c r="V74">
        <f>WEEKNUM(CRM[[#This Row],[Fecha]])</f>
        <v>43</v>
      </c>
    </row>
    <row r="75" spans="1:22" x14ac:dyDescent="0.25">
      <c r="A75">
        <v>74</v>
      </c>
      <c r="B75" s="22">
        <v>45955</v>
      </c>
      <c r="C75" t="s">
        <v>49</v>
      </c>
      <c r="D75" s="15" t="s">
        <v>138</v>
      </c>
      <c r="E75" s="11" t="s">
        <v>128</v>
      </c>
      <c r="F75" s="6">
        <v>927100074</v>
      </c>
      <c r="G75" s="19" t="s">
        <v>139</v>
      </c>
      <c r="H75" s="11" t="s">
        <v>17</v>
      </c>
      <c r="I75" s="20">
        <v>20609379821</v>
      </c>
      <c r="K75" s="11" t="s">
        <v>140</v>
      </c>
      <c r="L75" s="11"/>
      <c r="M75" s="11" t="s">
        <v>141</v>
      </c>
      <c r="N75" t="s">
        <v>58</v>
      </c>
      <c r="O75" t="s">
        <v>38</v>
      </c>
      <c r="P75" t="s">
        <v>220</v>
      </c>
      <c r="Q75" t="s">
        <v>12</v>
      </c>
      <c r="S75" t="s">
        <v>143</v>
      </c>
      <c r="T75" s="6">
        <v>4340</v>
      </c>
      <c r="V75">
        <f>WEEKNUM(CRM[[#This Row],[Fecha]])</f>
        <v>43</v>
      </c>
    </row>
    <row r="76" spans="1:22" ht="30" x14ac:dyDescent="0.25">
      <c r="A76">
        <v>75</v>
      </c>
      <c r="B76" s="22">
        <v>45955</v>
      </c>
      <c r="C76" t="s">
        <v>49</v>
      </c>
      <c r="D76" t="s">
        <v>144</v>
      </c>
      <c r="E76" s="11" t="s">
        <v>128</v>
      </c>
      <c r="F76" s="6">
        <v>950308250</v>
      </c>
      <c r="G76" s="19" t="s">
        <v>145</v>
      </c>
      <c r="H76" s="11" t="s">
        <v>24</v>
      </c>
      <c r="I76" s="20">
        <v>20614800659</v>
      </c>
      <c r="K76" s="11" t="s">
        <v>140</v>
      </c>
      <c r="L76" s="11"/>
      <c r="M76" s="15" t="s">
        <v>57</v>
      </c>
      <c r="N76" t="s">
        <v>58</v>
      </c>
      <c r="O76" t="s">
        <v>38</v>
      </c>
      <c r="P76" t="s">
        <v>221</v>
      </c>
      <c r="Q76" t="s">
        <v>12</v>
      </c>
      <c r="T76" s="6"/>
      <c r="V76">
        <f>WEEKNUM(CRM[[#This Row],[Fecha]])</f>
        <v>43</v>
      </c>
    </row>
    <row r="77" spans="1:22" ht="30" x14ac:dyDescent="0.25">
      <c r="A77">
        <v>76</v>
      </c>
      <c r="B77" s="22">
        <v>45955</v>
      </c>
      <c r="C77" t="s">
        <v>49</v>
      </c>
      <c r="D77" t="s">
        <v>148</v>
      </c>
      <c r="E77" s="11" t="s">
        <v>128</v>
      </c>
      <c r="F77" s="6">
        <v>905824331</v>
      </c>
      <c r="G77" s="19" t="s">
        <v>149</v>
      </c>
      <c r="H77" s="11" t="s">
        <v>150</v>
      </c>
      <c r="I77" s="16" t="s">
        <v>151</v>
      </c>
      <c r="K77" s="11" t="s">
        <v>140</v>
      </c>
      <c r="L77" s="11"/>
      <c r="M77" s="15" t="s">
        <v>57</v>
      </c>
      <c r="N77" t="s">
        <v>58</v>
      </c>
      <c r="O77" t="s">
        <v>38</v>
      </c>
      <c r="P77" t="s">
        <v>222</v>
      </c>
      <c r="Q77" t="s">
        <v>12</v>
      </c>
      <c r="S77" t="s">
        <v>180</v>
      </c>
      <c r="T77" s="6">
        <v>4340</v>
      </c>
      <c r="V77">
        <f>WEEKNUM(CRM[[#This Row],[Fecha]])</f>
        <v>43</v>
      </c>
    </row>
    <row r="78" spans="1:22" x14ac:dyDescent="0.25">
      <c r="A78">
        <v>77</v>
      </c>
      <c r="B78" s="22">
        <v>45955</v>
      </c>
      <c r="C78" t="s">
        <v>154</v>
      </c>
      <c r="D78" t="s">
        <v>155</v>
      </c>
      <c r="E78" s="11" t="s">
        <v>128</v>
      </c>
      <c r="F78" s="6">
        <v>949719738</v>
      </c>
      <c r="G78" s="19" t="s">
        <v>156</v>
      </c>
      <c r="H78" s="11" t="s">
        <v>21</v>
      </c>
      <c r="I78" s="16">
        <v>20601646367</v>
      </c>
      <c r="K78" s="11" t="s">
        <v>157</v>
      </c>
      <c r="L78" s="11"/>
      <c r="M78" s="15" t="s">
        <v>76</v>
      </c>
      <c r="N78" t="s">
        <v>58</v>
      </c>
      <c r="O78" t="s">
        <v>38</v>
      </c>
      <c r="P78" t="s">
        <v>223</v>
      </c>
      <c r="Q78" t="s">
        <v>182</v>
      </c>
      <c r="S78" t="s">
        <v>224</v>
      </c>
      <c r="T78" s="6">
        <v>7999</v>
      </c>
      <c r="V78">
        <f>WEEKNUM(CRM[[#This Row],[Fecha]])</f>
        <v>43</v>
      </c>
    </row>
    <row r="79" spans="1:22" x14ac:dyDescent="0.25">
      <c r="A79">
        <v>78</v>
      </c>
      <c r="B79" s="22">
        <v>45955</v>
      </c>
      <c r="C79" t="s">
        <v>154</v>
      </c>
      <c r="D79" t="s">
        <v>155</v>
      </c>
      <c r="E79" s="11" t="s">
        <v>128</v>
      </c>
      <c r="F79" s="6">
        <v>949719738</v>
      </c>
      <c r="G79" s="19" t="s">
        <v>156</v>
      </c>
      <c r="H79" s="11" t="s">
        <v>21</v>
      </c>
      <c r="I79" s="16">
        <v>20601646367</v>
      </c>
      <c r="K79" s="11" t="s">
        <v>157</v>
      </c>
      <c r="L79" s="11"/>
      <c r="M79" s="15" t="s">
        <v>76</v>
      </c>
      <c r="N79" t="s">
        <v>58</v>
      </c>
      <c r="O79" t="s">
        <v>38</v>
      </c>
      <c r="P79" t="s">
        <v>223</v>
      </c>
      <c r="Q79" t="s">
        <v>182</v>
      </c>
      <c r="S79" t="s">
        <v>225</v>
      </c>
      <c r="T79" s="6">
        <v>6500</v>
      </c>
    </row>
    <row r="80" spans="1:22" ht="30" x14ac:dyDescent="0.25">
      <c r="A80">
        <v>79</v>
      </c>
      <c r="B80" s="22">
        <v>45957</v>
      </c>
      <c r="C80" t="s">
        <v>49</v>
      </c>
      <c r="D80" t="s">
        <v>9</v>
      </c>
      <c r="E80" s="11"/>
      <c r="F80" s="6">
        <v>915244218</v>
      </c>
      <c r="G80" s="19" t="s">
        <v>198</v>
      </c>
      <c r="H80" s="11" t="s">
        <v>226</v>
      </c>
      <c r="I80" s="16" t="s">
        <v>200</v>
      </c>
      <c r="K80" s="11" t="s">
        <v>68</v>
      </c>
      <c r="L80" s="11" t="s">
        <v>201</v>
      </c>
      <c r="M80" s="15" t="s">
        <v>57</v>
      </c>
      <c r="O80" t="s">
        <v>38</v>
      </c>
      <c r="P80" s="1" t="s">
        <v>227</v>
      </c>
      <c r="Q80" t="s">
        <v>12</v>
      </c>
      <c r="S80" t="s">
        <v>203</v>
      </c>
      <c r="T80" s="6">
        <v>4340</v>
      </c>
      <c r="V80">
        <v>44</v>
      </c>
    </row>
    <row r="81" spans="1:22" ht="30" x14ac:dyDescent="0.25">
      <c r="A81">
        <v>80</v>
      </c>
      <c r="B81" s="22">
        <v>45957</v>
      </c>
      <c r="C81" t="s">
        <v>49</v>
      </c>
      <c r="D81" t="s">
        <v>228</v>
      </c>
      <c r="E81" s="11"/>
      <c r="F81" s="6">
        <v>960191115</v>
      </c>
      <c r="G81" s="19" t="s">
        <v>228</v>
      </c>
      <c r="H81" s="11" t="s">
        <v>228</v>
      </c>
      <c r="I81" s="16" t="s">
        <v>228</v>
      </c>
      <c r="K81" s="11" t="s">
        <v>228</v>
      </c>
      <c r="L81" s="11" t="s">
        <v>228</v>
      </c>
      <c r="M81" s="15" t="s">
        <v>57</v>
      </c>
      <c r="O81" t="s">
        <v>38</v>
      </c>
      <c r="P81" t="s">
        <v>229</v>
      </c>
      <c r="Q81" t="s">
        <v>64</v>
      </c>
      <c r="T81" s="6"/>
      <c r="V81">
        <v>44</v>
      </c>
    </row>
    <row r="82" spans="1:22" ht="30" x14ac:dyDescent="0.25">
      <c r="A82">
        <v>81</v>
      </c>
      <c r="B82" s="22">
        <v>45957</v>
      </c>
      <c r="C82" t="s">
        <v>49</v>
      </c>
      <c r="D82" t="s">
        <v>205</v>
      </c>
      <c r="E82" s="11"/>
      <c r="F82" s="6">
        <v>931775092</v>
      </c>
      <c r="G82" s="19" t="s">
        <v>206</v>
      </c>
      <c r="H82" s="11" t="s">
        <v>207</v>
      </c>
      <c r="I82" s="16" t="s">
        <v>208</v>
      </c>
      <c r="K82" s="11" t="s">
        <v>140</v>
      </c>
      <c r="L82" s="11"/>
      <c r="M82" s="15" t="s">
        <v>57</v>
      </c>
      <c r="O82" t="s">
        <v>38</v>
      </c>
      <c r="P82" t="s">
        <v>209</v>
      </c>
      <c r="Q82" t="s">
        <v>12</v>
      </c>
      <c r="S82" t="s">
        <v>210</v>
      </c>
      <c r="T82" s="6">
        <v>6949</v>
      </c>
      <c r="V82">
        <v>44</v>
      </c>
    </row>
    <row r="83" spans="1:22" x14ac:dyDescent="0.25">
      <c r="A83">
        <v>82</v>
      </c>
      <c r="B83" s="22">
        <v>45957</v>
      </c>
      <c r="C83" t="s">
        <v>49</v>
      </c>
      <c r="D83" t="s">
        <v>228</v>
      </c>
      <c r="E83" s="11"/>
      <c r="F83" s="6">
        <v>966488772</v>
      </c>
      <c r="G83" s="19" t="s">
        <v>228</v>
      </c>
      <c r="H83" s="11" t="s">
        <v>228</v>
      </c>
      <c r="I83" s="16" t="s">
        <v>228</v>
      </c>
      <c r="K83" s="11" t="s">
        <v>228</v>
      </c>
      <c r="L83" s="11" t="s">
        <v>228</v>
      </c>
      <c r="M83" s="15"/>
      <c r="O83" t="s">
        <v>38</v>
      </c>
      <c r="P83" t="s">
        <v>230</v>
      </c>
      <c r="Q83" t="s">
        <v>64</v>
      </c>
      <c r="T83" s="6"/>
      <c r="V83">
        <v>44</v>
      </c>
    </row>
    <row r="84" spans="1:22" x14ac:dyDescent="0.25">
      <c r="A84">
        <v>83</v>
      </c>
      <c r="B84" s="22">
        <v>45957</v>
      </c>
      <c r="C84" t="s">
        <v>49</v>
      </c>
      <c r="D84" t="s">
        <v>228</v>
      </c>
      <c r="E84" s="11"/>
      <c r="F84" s="6">
        <v>932400450</v>
      </c>
      <c r="G84" s="19" t="s">
        <v>228</v>
      </c>
      <c r="H84" s="11" t="s">
        <v>228</v>
      </c>
      <c r="I84" s="16" t="s">
        <v>228</v>
      </c>
      <c r="K84" s="11" t="s">
        <v>228</v>
      </c>
      <c r="L84" s="11" t="s">
        <v>228</v>
      </c>
      <c r="M84" s="15"/>
      <c r="O84" t="s">
        <v>38</v>
      </c>
      <c r="P84" t="s">
        <v>231</v>
      </c>
      <c r="Q84" t="s">
        <v>64</v>
      </c>
      <c r="T84" s="6"/>
      <c r="V84">
        <v>44</v>
      </c>
    </row>
    <row r="85" spans="1:22" x14ac:dyDescent="0.25">
      <c r="A85">
        <v>84</v>
      </c>
      <c r="B85" s="22">
        <v>45957</v>
      </c>
      <c r="C85" t="s">
        <v>65</v>
      </c>
      <c r="E85" s="11" t="s">
        <v>66</v>
      </c>
      <c r="F85" s="6">
        <v>7005100</v>
      </c>
      <c r="G85" s="19" t="s">
        <v>79</v>
      </c>
      <c r="H85" s="11" t="s">
        <v>80</v>
      </c>
      <c r="I85" s="16"/>
      <c r="K85" s="11" t="s">
        <v>68</v>
      </c>
      <c r="L85" s="11" t="s">
        <v>81</v>
      </c>
      <c r="M85" s="15" t="s">
        <v>76</v>
      </c>
      <c r="O85" t="s">
        <v>70</v>
      </c>
      <c r="P85" t="s">
        <v>232</v>
      </c>
      <c r="Q85" t="s">
        <v>78</v>
      </c>
      <c r="T85" s="6"/>
      <c r="V85">
        <v>44</v>
      </c>
    </row>
    <row r="86" spans="1:22" x14ac:dyDescent="0.25">
      <c r="A86">
        <v>85</v>
      </c>
      <c r="B86" s="22">
        <v>45957</v>
      </c>
      <c r="C86" t="s">
        <v>49</v>
      </c>
      <c r="E86" s="11"/>
      <c r="F86" s="6">
        <v>4673047</v>
      </c>
      <c r="G86" s="19" t="s">
        <v>111</v>
      </c>
      <c r="H86" s="11" t="s">
        <v>112</v>
      </c>
      <c r="I86" s="16"/>
      <c r="K86" s="11" t="s">
        <v>68</v>
      </c>
      <c r="L86" s="11" t="s">
        <v>68</v>
      </c>
      <c r="M86" s="15" t="s">
        <v>76</v>
      </c>
      <c r="O86" t="s">
        <v>70</v>
      </c>
      <c r="P86" t="s">
        <v>215</v>
      </c>
      <c r="Q86" t="s">
        <v>78</v>
      </c>
      <c r="T86" s="6"/>
      <c r="V86">
        <v>44</v>
      </c>
    </row>
    <row r="87" spans="1:22" x14ac:dyDescent="0.25">
      <c r="A87">
        <v>86</v>
      </c>
      <c r="B87" s="22">
        <v>45957</v>
      </c>
      <c r="C87" t="s">
        <v>49</v>
      </c>
      <c r="E87" s="11"/>
      <c r="F87" s="6">
        <v>994894905</v>
      </c>
      <c r="G87" s="19" t="s">
        <v>114</v>
      </c>
      <c r="H87" s="11" t="s">
        <v>115</v>
      </c>
      <c r="I87" s="16"/>
      <c r="K87" s="11" t="s">
        <v>68</v>
      </c>
      <c r="L87" s="11" t="s">
        <v>116</v>
      </c>
      <c r="M87" s="15" t="s">
        <v>76</v>
      </c>
      <c r="O87" t="s">
        <v>70</v>
      </c>
      <c r="P87" t="s">
        <v>216</v>
      </c>
      <c r="Q87" t="s">
        <v>78</v>
      </c>
      <c r="T87" s="6"/>
      <c r="V87">
        <v>44</v>
      </c>
    </row>
    <row r="88" spans="1:22" x14ac:dyDescent="0.25">
      <c r="A88">
        <v>87</v>
      </c>
      <c r="B88" s="22">
        <v>45957</v>
      </c>
      <c r="C88" t="s">
        <v>49</v>
      </c>
      <c r="D88" t="s">
        <v>174</v>
      </c>
      <c r="E88" s="11"/>
      <c r="F88" s="6">
        <v>987934854</v>
      </c>
      <c r="G88" s="19" t="s">
        <v>118</v>
      </c>
      <c r="H88" s="11" t="s">
        <v>119</v>
      </c>
      <c r="I88" s="16"/>
      <c r="K88" s="11" t="s">
        <v>68</v>
      </c>
      <c r="L88" s="11" t="s">
        <v>116</v>
      </c>
      <c r="M88" s="15" t="s">
        <v>76</v>
      </c>
      <c r="O88" t="s">
        <v>70</v>
      </c>
      <c r="P88" t="s">
        <v>217</v>
      </c>
      <c r="Q88" t="s">
        <v>78</v>
      </c>
      <c r="T88" s="6"/>
      <c r="U88">
        <v>45960</v>
      </c>
      <c r="V88">
        <v>44</v>
      </c>
    </row>
    <row r="89" spans="1:22" x14ac:dyDescent="0.25">
      <c r="A89">
        <v>88</v>
      </c>
      <c r="B89" s="22">
        <v>45957</v>
      </c>
      <c r="C89" t="s">
        <v>49</v>
      </c>
      <c r="D89" t="s">
        <v>127</v>
      </c>
      <c r="E89" s="11" t="s">
        <v>128</v>
      </c>
      <c r="F89" s="6">
        <v>984755140</v>
      </c>
      <c r="G89" s="19" t="s">
        <v>129</v>
      </c>
      <c r="H89" s="11" t="s">
        <v>15</v>
      </c>
      <c r="I89" s="16">
        <v>10720799494</v>
      </c>
      <c r="K89" s="11" t="s">
        <v>130</v>
      </c>
      <c r="L89" s="11"/>
      <c r="M89" s="15" t="s">
        <v>76</v>
      </c>
      <c r="N89" t="s">
        <v>58</v>
      </c>
      <c r="O89" t="s">
        <v>38</v>
      </c>
      <c r="P89" t="s">
        <v>233</v>
      </c>
      <c r="Q89" t="s">
        <v>12</v>
      </c>
      <c r="T89" s="6"/>
      <c r="V89">
        <v>44</v>
      </c>
    </row>
    <row r="90" spans="1:22" ht="30" x14ac:dyDescent="0.25">
      <c r="A90">
        <v>89</v>
      </c>
      <c r="B90" s="22">
        <v>45957</v>
      </c>
      <c r="C90" t="s">
        <v>49</v>
      </c>
      <c r="D90" t="s">
        <v>148</v>
      </c>
      <c r="E90" s="11" t="s">
        <v>128</v>
      </c>
      <c r="F90" s="6">
        <v>905824331</v>
      </c>
      <c r="G90" s="19" t="s">
        <v>149</v>
      </c>
      <c r="H90" s="11" t="s">
        <v>7</v>
      </c>
      <c r="I90" s="16" t="s">
        <v>134</v>
      </c>
      <c r="K90" s="11" t="s">
        <v>68</v>
      </c>
      <c r="L90" s="11" t="s">
        <v>135</v>
      </c>
      <c r="M90" s="15" t="s">
        <v>57</v>
      </c>
      <c r="N90" t="s">
        <v>58</v>
      </c>
      <c r="O90" t="s">
        <v>38</v>
      </c>
      <c r="P90" t="s">
        <v>234</v>
      </c>
      <c r="Q90" t="s">
        <v>12</v>
      </c>
      <c r="S90" t="s">
        <v>180</v>
      </c>
      <c r="T90" s="6">
        <v>4340</v>
      </c>
      <c r="V90">
        <v>44</v>
      </c>
    </row>
    <row r="91" spans="1:22" x14ac:dyDescent="0.25">
      <c r="A91">
        <v>90</v>
      </c>
      <c r="B91" s="22">
        <v>45957</v>
      </c>
      <c r="C91" t="s">
        <v>49</v>
      </c>
      <c r="D91" t="s">
        <v>138</v>
      </c>
      <c r="E91" s="11" t="s">
        <v>128</v>
      </c>
      <c r="F91" s="6">
        <v>927100074</v>
      </c>
      <c r="G91" s="19" t="s">
        <v>139</v>
      </c>
      <c r="H91" s="11" t="s">
        <v>17</v>
      </c>
      <c r="I91" s="16">
        <v>20609379821</v>
      </c>
      <c r="K91" s="11" t="s">
        <v>140</v>
      </c>
      <c r="L91" s="11"/>
      <c r="M91" s="15" t="s">
        <v>141</v>
      </c>
      <c r="N91" t="s">
        <v>58</v>
      </c>
      <c r="O91" t="s">
        <v>38</v>
      </c>
      <c r="P91" t="s">
        <v>235</v>
      </c>
      <c r="Q91" t="s">
        <v>12</v>
      </c>
      <c r="S91" t="s">
        <v>143</v>
      </c>
      <c r="T91" s="6">
        <v>4340</v>
      </c>
      <c r="V91">
        <v>44</v>
      </c>
    </row>
    <row r="92" spans="1:22" ht="30" x14ac:dyDescent="0.25">
      <c r="A92">
        <v>91</v>
      </c>
      <c r="B92" s="22">
        <v>45957</v>
      </c>
      <c r="C92" t="s">
        <v>49</v>
      </c>
      <c r="D92" t="s">
        <v>144</v>
      </c>
      <c r="E92" s="11" t="s">
        <v>128</v>
      </c>
      <c r="F92" s="6">
        <v>950308250</v>
      </c>
      <c r="G92" s="19" t="s">
        <v>145</v>
      </c>
      <c r="H92" s="11" t="s">
        <v>24</v>
      </c>
      <c r="I92" s="16">
        <v>20614800659</v>
      </c>
      <c r="K92" s="11" t="s">
        <v>140</v>
      </c>
      <c r="L92" s="11"/>
      <c r="M92" s="15" t="s">
        <v>57</v>
      </c>
      <c r="N92" t="s">
        <v>58</v>
      </c>
      <c r="O92" t="s">
        <v>38</v>
      </c>
      <c r="P92" t="s">
        <v>235</v>
      </c>
      <c r="Q92" t="s">
        <v>12</v>
      </c>
      <c r="T92" s="6"/>
      <c r="V92">
        <v>44</v>
      </c>
    </row>
    <row r="93" spans="1:22" x14ac:dyDescent="0.25">
      <c r="A93">
        <v>92</v>
      </c>
      <c r="B93" s="22">
        <v>45957</v>
      </c>
      <c r="C93" t="s">
        <v>154</v>
      </c>
      <c r="D93" t="s">
        <v>155</v>
      </c>
      <c r="E93" s="11" t="s">
        <v>128</v>
      </c>
      <c r="F93" s="6">
        <v>949719738</v>
      </c>
      <c r="G93" s="19" t="s">
        <v>156</v>
      </c>
      <c r="H93" s="11" t="s">
        <v>21</v>
      </c>
      <c r="I93" s="16">
        <v>20601646367</v>
      </c>
      <c r="K93" s="11" t="s">
        <v>157</v>
      </c>
      <c r="L93" s="11"/>
      <c r="M93" s="15" t="s">
        <v>76</v>
      </c>
      <c r="N93" t="s">
        <v>58</v>
      </c>
      <c r="O93" t="s">
        <v>38</v>
      </c>
      <c r="P93" t="s">
        <v>236</v>
      </c>
      <c r="Q93" t="s">
        <v>182</v>
      </c>
      <c r="S93" t="s">
        <v>224</v>
      </c>
      <c r="T93" s="6">
        <v>7999</v>
      </c>
      <c r="V93">
        <v>44</v>
      </c>
    </row>
    <row r="94" spans="1:22" x14ac:dyDescent="0.25">
      <c r="A94">
        <v>93</v>
      </c>
      <c r="B94" s="22">
        <v>45957</v>
      </c>
      <c r="C94" t="s">
        <v>154</v>
      </c>
      <c r="D94" t="s">
        <v>155</v>
      </c>
      <c r="E94" s="11" t="s">
        <v>128</v>
      </c>
      <c r="F94" s="6">
        <v>949719738</v>
      </c>
      <c r="G94" s="19" t="s">
        <v>156</v>
      </c>
      <c r="H94" s="11" t="s">
        <v>21</v>
      </c>
      <c r="I94" s="16">
        <v>20601646367</v>
      </c>
      <c r="K94" s="11" t="s">
        <v>157</v>
      </c>
      <c r="L94" s="11"/>
      <c r="M94" s="15" t="s">
        <v>76</v>
      </c>
      <c r="N94" t="s">
        <v>58</v>
      </c>
      <c r="O94" t="s">
        <v>38</v>
      </c>
      <c r="P94" t="s">
        <v>236</v>
      </c>
      <c r="Q94" t="s">
        <v>182</v>
      </c>
      <c r="S94" t="s">
        <v>225</v>
      </c>
      <c r="T94" s="6">
        <v>6500</v>
      </c>
      <c r="V94">
        <v>44</v>
      </c>
    </row>
    <row r="95" spans="1:22" ht="45" x14ac:dyDescent="0.25">
      <c r="A95">
        <v>94</v>
      </c>
      <c r="B95" s="22">
        <v>45957</v>
      </c>
      <c r="C95" t="s">
        <v>49</v>
      </c>
      <c r="D95" t="s">
        <v>183</v>
      </c>
      <c r="E95" s="11" t="s">
        <v>128</v>
      </c>
      <c r="F95" s="6">
        <v>961785460</v>
      </c>
      <c r="G95" s="19" t="s">
        <v>184</v>
      </c>
      <c r="H95" s="11" t="s">
        <v>185</v>
      </c>
      <c r="I95" s="16">
        <v>20537054728</v>
      </c>
      <c r="K95" s="11" t="s">
        <v>68</v>
      </c>
      <c r="L95" s="11" t="s">
        <v>186</v>
      </c>
      <c r="M95" s="15" t="s">
        <v>187</v>
      </c>
      <c r="N95" t="s">
        <v>58</v>
      </c>
      <c r="O95" t="s">
        <v>38</v>
      </c>
      <c r="P95" t="s">
        <v>237</v>
      </c>
      <c r="Q95" t="s">
        <v>12</v>
      </c>
      <c r="S95" t="s">
        <v>189</v>
      </c>
      <c r="T95" s="6">
        <v>4340</v>
      </c>
      <c r="V95">
        <v>44</v>
      </c>
    </row>
    <row r="96" spans="1:22" ht="30" x14ac:dyDescent="0.25">
      <c r="A96">
        <v>95</v>
      </c>
      <c r="B96" s="22">
        <v>45957</v>
      </c>
      <c r="C96" t="s">
        <v>49</v>
      </c>
      <c r="D96" t="s">
        <v>190</v>
      </c>
      <c r="E96" s="11" t="s">
        <v>128</v>
      </c>
      <c r="F96" s="6">
        <v>971763270</v>
      </c>
      <c r="G96" s="19" t="s">
        <v>191</v>
      </c>
      <c r="H96" s="11" t="s">
        <v>19</v>
      </c>
      <c r="I96" s="16" t="s">
        <v>192</v>
      </c>
      <c r="K96" s="11" t="s">
        <v>140</v>
      </c>
      <c r="L96" s="11"/>
      <c r="M96" s="15" t="s">
        <v>57</v>
      </c>
      <c r="N96" t="s">
        <v>58</v>
      </c>
      <c r="O96" t="s">
        <v>38</v>
      </c>
      <c r="P96" t="s">
        <v>238</v>
      </c>
      <c r="Q96" t="s">
        <v>12</v>
      </c>
      <c r="S96" t="s">
        <v>194</v>
      </c>
      <c r="T96" s="6">
        <v>6949</v>
      </c>
      <c r="V96">
        <v>44</v>
      </c>
    </row>
    <row r="97" spans="1:22" ht="30" x14ac:dyDescent="0.25">
      <c r="A97">
        <v>96</v>
      </c>
      <c r="B97" s="22">
        <v>45957</v>
      </c>
      <c r="C97" t="s">
        <v>49</v>
      </c>
      <c r="D97" t="s">
        <v>195</v>
      </c>
      <c r="E97" s="11"/>
      <c r="F97" s="6">
        <v>990216016</v>
      </c>
      <c r="G97" s="19" t="s">
        <v>196</v>
      </c>
      <c r="H97" s="11" t="s">
        <v>228</v>
      </c>
      <c r="I97" s="16"/>
      <c r="K97" s="11"/>
      <c r="L97" s="11"/>
      <c r="M97" s="15" t="s">
        <v>57</v>
      </c>
      <c r="N97" t="s">
        <v>58</v>
      </c>
      <c r="O97" t="s">
        <v>38</v>
      </c>
      <c r="P97" t="s">
        <v>239</v>
      </c>
      <c r="Q97" t="s">
        <v>64</v>
      </c>
      <c r="T97" s="6"/>
      <c r="V97">
        <v>44</v>
      </c>
    </row>
    <row r="98" spans="1:22" x14ac:dyDescent="0.25">
      <c r="A98">
        <v>97</v>
      </c>
      <c r="B98" s="22">
        <v>45957</v>
      </c>
      <c r="C98" t="s">
        <v>49</v>
      </c>
      <c r="D98" t="s">
        <v>240</v>
      </c>
      <c r="E98" s="11"/>
      <c r="F98" s="6">
        <v>931055469</v>
      </c>
      <c r="G98" s="19" t="s">
        <v>241</v>
      </c>
      <c r="H98" s="11"/>
      <c r="I98" s="16"/>
      <c r="K98" s="11"/>
      <c r="L98" s="11"/>
      <c r="M98" s="15"/>
      <c r="N98" t="s">
        <v>58</v>
      </c>
      <c r="O98" t="s">
        <v>38</v>
      </c>
      <c r="P98" t="s">
        <v>242</v>
      </c>
      <c r="Q98" t="s">
        <v>64</v>
      </c>
      <c r="T98" s="6"/>
      <c r="V98">
        <v>44</v>
      </c>
    </row>
    <row r="99" spans="1:22" ht="30" x14ac:dyDescent="0.25">
      <c r="A99">
        <v>98</v>
      </c>
      <c r="B99" s="22">
        <v>45957</v>
      </c>
      <c r="C99" t="s">
        <v>49</v>
      </c>
      <c r="D99" t="s">
        <v>26</v>
      </c>
      <c r="E99" s="11"/>
      <c r="F99" s="6">
        <v>959916260</v>
      </c>
      <c r="G99" s="19" t="s">
        <v>243</v>
      </c>
      <c r="H99" s="11"/>
      <c r="I99" s="16"/>
      <c r="K99" s="11"/>
      <c r="L99" s="11"/>
      <c r="M99" s="15" t="s">
        <v>57</v>
      </c>
      <c r="N99" t="s">
        <v>58</v>
      </c>
      <c r="O99" t="s">
        <v>38</v>
      </c>
      <c r="P99" t="s">
        <v>244</v>
      </c>
      <c r="T99" s="6"/>
      <c r="V99">
        <v>44</v>
      </c>
    </row>
    <row r="100" spans="1:22" x14ac:dyDescent="0.25">
      <c r="A100">
        <v>99</v>
      </c>
      <c r="B100" s="22">
        <v>45957</v>
      </c>
      <c r="C100" t="s">
        <v>49</v>
      </c>
      <c r="E100" s="11"/>
      <c r="F100" s="6">
        <v>4332579</v>
      </c>
      <c r="G100" s="19"/>
      <c r="H100" s="11" t="s">
        <v>245</v>
      </c>
      <c r="I100" s="16"/>
      <c r="K100" s="11" t="s">
        <v>68</v>
      </c>
      <c r="L100" s="11" t="s">
        <v>246</v>
      </c>
      <c r="M100" s="15" t="s">
        <v>76</v>
      </c>
      <c r="N100" t="s">
        <v>58</v>
      </c>
      <c r="O100" t="s">
        <v>38</v>
      </c>
      <c r="P100" t="s">
        <v>247</v>
      </c>
      <c r="Q100" t="s">
        <v>78</v>
      </c>
      <c r="T100" s="6"/>
      <c r="V100">
        <v>44</v>
      </c>
    </row>
    <row r="101" spans="1:22" x14ac:dyDescent="0.25">
      <c r="A101">
        <v>100</v>
      </c>
      <c r="B101" s="22">
        <v>45957</v>
      </c>
      <c r="C101" t="s">
        <v>49</v>
      </c>
      <c r="E101" s="11"/>
      <c r="F101" s="6">
        <v>2651754</v>
      </c>
      <c r="G101" s="19"/>
      <c r="H101" s="11" t="s">
        <v>248</v>
      </c>
      <c r="I101" s="16"/>
      <c r="K101" s="11" t="s">
        <v>68</v>
      </c>
      <c r="L101" s="11" t="s">
        <v>246</v>
      </c>
      <c r="M101" s="15" t="s">
        <v>76</v>
      </c>
      <c r="N101" t="s">
        <v>58</v>
      </c>
      <c r="O101" t="s">
        <v>38</v>
      </c>
      <c r="P101" t="s">
        <v>249</v>
      </c>
      <c r="Q101" t="s">
        <v>78</v>
      </c>
      <c r="T101" s="6"/>
      <c r="V101">
        <v>44</v>
      </c>
    </row>
    <row r="102" spans="1:22" x14ac:dyDescent="0.25">
      <c r="A102">
        <v>101</v>
      </c>
      <c r="B102" s="22">
        <v>45957</v>
      </c>
      <c r="C102" t="s">
        <v>49</v>
      </c>
      <c r="D102" t="s">
        <v>250</v>
      </c>
      <c r="E102" s="11" t="s">
        <v>251</v>
      </c>
      <c r="F102" s="6">
        <v>989160343</v>
      </c>
      <c r="G102" s="19" t="s">
        <v>252</v>
      </c>
      <c r="H102" s="11" t="s">
        <v>253</v>
      </c>
      <c r="I102" s="16"/>
      <c r="K102" s="11" t="s">
        <v>68</v>
      </c>
      <c r="L102" s="11" t="s">
        <v>116</v>
      </c>
      <c r="M102" s="15" t="s">
        <v>76</v>
      </c>
      <c r="O102" t="s">
        <v>70</v>
      </c>
      <c r="P102" t="s">
        <v>254</v>
      </c>
      <c r="Q102" t="s">
        <v>78</v>
      </c>
      <c r="T102" s="6"/>
      <c r="V102">
        <v>44</v>
      </c>
    </row>
    <row r="103" spans="1:22" x14ac:dyDescent="0.25">
      <c r="A103">
        <v>102</v>
      </c>
      <c r="B103" s="22">
        <v>45957</v>
      </c>
      <c r="C103" t="s">
        <v>49</v>
      </c>
      <c r="D103" t="s">
        <v>255</v>
      </c>
      <c r="E103" s="11" t="s">
        <v>256</v>
      </c>
      <c r="F103" s="6"/>
      <c r="G103" s="19" t="s">
        <v>257</v>
      </c>
      <c r="H103" s="11" t="s">
        <v>258</v>
      </c>
      <c r="I103" s="16"/>
      <c r="K103" s="11"/>
      <c r="L103" s="11"/>
      <c r="M103" s="15" t="s">
        <v>76</v>
      </c>
      <c r="O103" t="s">
        <v>70</v>
      </c>
      <c r="P103" t="s">
        <v>259</v>
      </c>
      <c r="Q103" t="s">
        <v>78</v>
      </c>
      <c r="T103" s="6"/>
      <c r="V103">
        <v>44</v>
      </c>
    </row>
    <row r="104" spans="1:22" x14ac:dyDescent="0.25">
      <c r="A104">
        <v>103</v>
      </c>
      <c r="B104" s="22">
        <v>45957</v>
      </c>
      <c r="C104" t="s">
        <v>49</v>
      </c>
      <c r="D104" t="s">
        <v>260</v>
      </c>
      <c r="E104" s="11" t="s">
        <v>261</v>
      </c>
      <c r="F104" s="6"/>
      <c r="G104" s="19"/>
      <c r="H104" s="11" t="s">
        <v>262</v>
      </c>
      <c r="I104" s="16"/>
      <c r="K104" s="11" t="s">
        <v>68</v>
      </c>
      <c r="L104" s="11" t="s">
        <v>68</v>
      </c>
      <c r="M104" s="15" t="s">
        <v>76</v>
      </c>
      <c r="O104" t="s">
        <v>70</v>
      </c>
      <c r="P104" t="s">
        <v>263</v>
      </c>
      <c r="Q104" t="s">
        <v>78</v>
      </c>
      <c r="T104" s="6"/>
      <c r="V104">
        <v>44</v>
      </c>
    </row>
    <row r="105" spans="1:22" ht="30" x14ac:dyDescent="0.25">
      <c r="A105">
        <v>104</v>
      </c>
      <c r="B105" s="22">
        <v>45957</v>
      </c>
      <c r="C105" t="s">
        <v>49</v>
      </c>
      <c r="D105" t="s">
        <v>264</v>
      </c>
      <c r="E105" s="11" t="s">
        <v>265</v>
      </c>
      <c r="F105" s="6" t="s">
        <v>266</v>
      </c>
      <c r="G105" s="19" t="s">
        <v>267</v>
      </c>
      <c r="H105" s="11" t="s">
        <v>268</v>
      </c>
      <c r="I105" s="16">
        <v>20608752766</v>
      </c>
      <c r="K105" s="11" t="s">
        <v>68</v>
      </c>
      <c r="L105" s="11"/>
      <c r="M105" s="15" t="s">
        <v>57</v>
      </c>
      <c r="O105" t="s">
        <v>70</v>
      </c>
      <c r="P105" t="s">
        <v>269</v>
      </c>
      <c r="Q105" t="s">
        <v>78</v>
      </c>
      <c r="T105" s="6"/>
      <c r="V105">
        <v>44</v>
      </c>
    </row>
    <row r="106" spans="1:22" x14ac:dyDescent="0.25">
      <c r="A106">
        <v>105</v>
      </c>
      <c r="B106" s="22">
        <v>45957</v>
      </c>
      <c r="C106" t="s">
        <v>49</v>
      </c>
      <c r="E106" s="11"/>
      <c r="F106" s="6">
        <v>3483730</v>
      </c>
      <c r="G106" s="19" t="s">
        <v>270</v>
      </c>
      <c r="H106" s="11" t="s">
        <v>271</v>
      </c>
      <c r="I106" s="16"/>
      <c r="K106" s="11" t="s">
        <v>68</v>
      </c>
      <c r="L106" s="11" t="s">
        <v>272</v>
      </c>
      <c r="M106" s="15" t="s">
        <v>76</v>
      </c>
      <c r="O106" t="s">
        <v>70</v>
      </c>
      <c r="P106" t="s">
        <v>273</v>
      </c>
      <c r="Q106" t="s">
        <v>78</v>
      </c>
      <c r="T106" s="6"/>
      <c r="V106">
        <v>44</v>
      </c>
    </row>
    <row r="107" spans="1:22" x14ac:dyDescent="0.25">
      <c r="A107">
        <v>106</v>
      </c>
      <c r="B107" s="22">
        <v>45957</v>
      </c>
      <c r="C107" t="s">
        <v>49</v>
      </c>
      <c r="E107" s="11"/>
      <c r="F107" s="6">
        <v>4722685</v>
      </c>
      <c r="G107" s="19" t="s">
        <v>274</v>
      </c>
      <c r="H107" s="11" t="s">
        <v>275</v>
      </c>
      <c r="I107" s="16"/>
      <c r="K107" s="11" t="s">
        <v>68</v>
      </c>
      <c r="L107" s="11" t="s">
        <v>276</v>
      </c>
      <c r="M107" s="15" t="s">
        <v>76</v>
      </c>
      <c r="O107" t="s">
        <v>70</v>
      </c>
      <c r="P107" t="s">
        <v>273</v>
      </c>
      <c r="Q107" t="s">
        <v>78</v>
      </c>
      <c r="T107" s="6"/>
      <c r="V107">
        <v>44</v>
      </c>
    </row>
    <row r="108" spans="1:22" ht="60" x14ac:dyDescent="0.25">
      <c r="A108">
        <v>107</v>
      </c>
      <c r="B108" s="22">
        <v>45958</v>
      </c>
      <c r="C108" t="s">
        <v>49</v>
      </c>
      <c r="D108" t="s">
        <v>9</v>
      </c>
      <c r="E108" s="11"/>
      <c r="F108" s="6">
        <v>915244218</v>
      </c>
      <c r="G108" s="19" t="s">
        <v>198</v>
      </c>
      <c r="H108" s="15" t="s">
        <v>277</v>
      </c>
      <c r="I108" s="16" t="s">
        <v>200</v>
      </c>
      <c r="K108" s="11" t="s">
        <v>68</v>
      </c>
      <c r="L108" s="11" t="s">
        <v>201</v>
      </c>
      <c r="M108" s="15" t="s">
        <v>57</v>
      </c>
      <c r="O108" t="s">
        <v>38</v>
      </c>
      <c r="P108" s="1" t="s">
        <v>278</v>
      </c>
      <c r="Q108" s="1" t="s">
        <v>1</v>
      </c>
      <c r="S108" t="s">
        <v>203</v>
      </c>
      <c r="T108" s="6">
        <v>4340</v>
      </c>
      <c r="V108">
        <v>44</v>
      </c>
    </row>
    <row r="109" spans="1:22" ht="60" x14ac:dyDescent="0.25">
      <c r="A109">
        <v>108</v>
      </c>
      <c r="B109" s="22">
        <v>45958</v>
      </c>
      <c r="C109" t="s">
        <v>49</v>
      </c>
      <c r="D109" t="s">
        <v>228</v>
      </c>
      <c r="E109" s="11"/>
      <c r="F109" s="6">
        <v>960191115</v>
      </c>
      <c r="G109" s="19" t="s">
        <v>228</v>
      </c>
      <c r="H109" s="15" t="s">
        <v>279</v>
      </c>
      <c r="I109" s="16" t="s">
        <v>228</v>
      </c>
      <c r="K109" s="11" t="s">
        <v>228</v>
      </c>
      <c r="L109" s="11" t="s">
        <v>228</v>
      </c>
      <c r="M109" s="15" t="s">
        <v>57</v>
      </c>
      <c r="O109" t="s">
        <v>38</v>
      </c>
      <c r="P109" t="s">
        <v>230</v>
      </c>
      <c r="Q109" t="s">
        <v>64</v>
      </c>
      <c r="T109" s="6"/>
      <c r="V109">
        <v>44</v>
      </c>
    </row>
    <row r="110" spans="1:22" ht="30" x14ac:dyDescent="0.25">
      <c r="A110">
        <v>109</v>
      </c>
      <c r="B110" s="22">
        <v>45958</v>
      </c>
      <c r="C110" t="s">
        <v>49</v>
      </c>
      <c r="D110" t="s">
        <v>205</v>
      </c>
      <c r="E110" s="11"/>
      <c r="F110" s="6">
        <v>931775092</v>
      </c>
      <c r="G110" s="19" t="s">
        <v>206</v>
      </c>
      <c r="H110" s="1" t="s">
        <v>28</v>
      </c>
      <c r="I110" s="16" t="s">
        <v>208</v>
      </c>
      <c r="K110" s="11" t="s">
        <v>140</v>
      </c>
      <c r="L110" s="11"/>
      <c r="M110" s="15" t="s">
        <v>57</v>
      </c>
      <c r="O110" t="s">
        <v>38</v>
      </c>
      <c r="P110" s="1" t="s">
        <v>280</v>
      </c>
      <c r="Q110" t="s">
        <v>12</v>
      </c>
      <c r="S110" t="s">
        <v>210</v>
      </c>
      <c r="T110" s="6">
        <v>6949</v>
      </c>
      <c r="V110">
        <v>44</v>
      </c>
    </row>
    <row r="111" spans="1:22" x14ac:dyDescent="0.25">
      <c r="A111">
        <v>110</v>
      </c>
      <c r="B111" s="22">
        <v>45958</v>
      </c>
      <c r="C111" t="s">
        <v>49</v>
      </c>
      <c r="D111" t="s">
        <v>228</v>
      </c>
      <c r="E111" s="11"/>
      <c r="F111" s="6">
        <v>966488772</v>
      </c>
      <c r="G111" s="19" t="s">
        <v>228</v>
      </c>
      <c r="H111" s="11" t="s">
        <v>228</v>
      </c>
      <c r="I111" s="16" t="s">
        <v>228</v>
      </c>
      <c r="K111" s="11" t="s">
        <v>228</v>
      </c>
      <c r="L111" s="11" t="s">
        <v>228</v>
      </c>
      <c r="M111" s="15"/>
      <c r="O111" t="s">
        <v>38</v>
      </c>
      <c r="P111" t="s">
        <v>230</v>
      </c>
      <c r="Q111" t="s">
        <v>64</v>
      </c>
      <c r="T111" s="6"/>
      <c r="V111">
        <v>44</v>
      </c>
    </row>
    <row r="112" spans="1:22" ht="30" x14ac:dyDescent="0.25">
      <c r="A112">
        <v>111</v>
      </c>
      <c r="B112" s="22">
        <v>45958</v>
      </c>
      <c r="C112" t="s">
        <v>49</v>
      </c>
      <c r="D112" t="s">
        <v>228</v>
      </c>
      <c r="E112" s="11"/>
      <c r="F112" s="6">
        <v>932400450</v>
      </c>
      <c r="G112" s="19" t="s">
        <v>228</v>
      </c>
      <c r="H112" s="11" t="s">
        <v>228</v>
      </c>
      <c r="I112" s="16" t="s">
        <v>228</v>
      </c>
      <c r="K112" s="11" t="s">
        <v>228</v>
      </c>
      <c r="L112" s="11" t="s">
        <v>228</v>
      </c>
      <c r="M112" s="15"/>
      <c r="O112" t="s">
        <v>38</v>
      </c>
      <c r="P112" s="1" t="s">
        <v>281</v>
      </c>
      <c r="Q112" t="s">
        <v>64</v>
      </c>
      <c r="T112" s="6"/>
      <c r="V112">
        <v>44</v>
      </c>
    </row>
    <row r="113" spans="1:22" x14ac:dyDescent="0.25">
      <c r="A113">
        <v>112</v>
      </c>
      <c r="B113" s="22">
        <v>45958</v>
      </c>
      <c r="C113" t="s">
        <v>49</v>
      </c>
      <c r="E113" s="11"/>
      <c r="F113" s="6">
        <v>994894905</v>
      </c>
      <c r="G113" s="19" t="s">
        <v>114</v>
      </c>
      <c r="H113" s="11" t="s">
        <v>115</v>
      </c>
      <c r="I113" s="16"/>
      <c r="K113" s="11" t="s">
        <v>68</v>
      </c>
      <c r="L113" s="11" t="s">
        <v>116</v>
      </c>
      <c r="M113" s="15" t="s">
        <v>76</v>
      </c>
      <c r="O113" t="s">
        <v>70</v>
      </c>
      <c r="P113" t="s">
        <v>216</v>
      </c>
      <c r="Q113" t="s">
        <v>78</v>
      </c>
      <c r="T113" s="6"/>
      <c r="V113">
        <v>44</v>
      </c>
    </row>
    <row r="114" spans="1:22" x14ac:dyDescent="0.25">
      <c r="A114">
        <v>113</v>
      </c>
      <c r="B114" s="22">
        <v>45958</v>
      </c>
      <c r="C114" t="s">
        <v>49</v>
      </c>
      <c r="D114" t="s">
        <v>174</v>
      </c>
      <c r="E114" s="11"/>
      <c r="F114" s="6">
        <v>987934854</v>
      </c>
      <c r="G114" s="19" t="s">
        <v>118</v>
      </c>
      <c r="H114" s="11" t="s">
        <v>119</v>
      </c>
      <c r="I114" s="16"/>
      <c r="K114" s="11" t="s">
        <v>68</v>
      </c>
      <c r="L114" s="11" t="s">
        <v>116</v>
      </c>
      <c r="M114" s="15" t="s">
        <v>76</v>
      </c>
      <c r="O114" t="s">
        <v>70</v>
      </c>
      <c r="P114" t="s">
        <v>217</v>
      </c>
      <c r="Q114" t="s">
        <v>78</v>
      </c>
      <c r="T114" s="6"/>
      <c r="U114">
        <v>45960</v>
      </c>
      <c r="V114">
        <v>44</v>
      </c>
    </row>
    <row r="115" spans="1:22" x14ac:dyDescent="0.25">
      <c r="A115">
        <v>114</v>
      </c>
      <c r="B115" s="22">
        <v>45958</v>
      </c>
      <c r="C115" t="s">
        <v>49</v>
      </c>
      <c r="D115" t="s">
        <v>127</v>
      </c>
      <c r="E115" s="11" t="s">
        <v>128</v>
      </c>
      <c r="F115" s="6">
        <v>984755140</v>
      </c>
      <c r="G115" s="19" t="s">
        <v>129</v>
      </c>
      <c r="H115" s="11" t="s">
        <v>15</v>
      </c>
      <c r="I115" s="20">
        <v>10720799494</v>
      </c>
      <c r="K115" s="11" t="s">
        <v>130</v>
      </c>
      <c r="L115" s="11"/>
      <c r="M115" s="15" t="s">
        <v>76</v>
      </c>
      <c r="N115" t="s">
        <v>58</v>
      </c>
      <c r="O115" t="s">
        <v>38</v>
      </c>
      <c r="P115" t="s">
        <v>233</v>
      </c>
      <c r="Q115" t="s">
        <v>12</v>
      </c>
      <c r="T115" s="6"/>
      <c r="V115">
        <v>44</v>
      </c>
    </row>
    <row r="116" spans="1:22" ht="45" x14ac:dyDescent="0.25">
      <c r="A116">
        <v>115</v>
      </c>
      <c r="B116" s="22">
        <v>45958</v>
      </c>
      <c r="C116" t="s">
        <v>49</v>
      </c>
      <c r="D116" t="s">
        <v>148</v>
      </c>
      <c r="E116" s="11" t="s">
        <v>128</v>
      </c>
      <c r="F116" s="6">
        <v>905824331</v>
      </c>
      <c r="G116" s="19" t="s">
        <v>149</v>
      </c>
      <c r="H116" s="11" t="s">
        <v>7</v>
      </c>
      <c r="I116" s="20" t="s">
        <v>134</v>
      </c>
      <c r="K116" s="11" t="s">
        <v>140</v>
      </c>
      <c r="L116" s="11"/>
      <c r="M116" s="15" t="s">
        <v>57</v>
      </c>
      <c r="N116" t="s">
        <v>58</v>
      </c>
      <c r="O116" t="s">
        <v>38</v>
      </c>
      <c r="P116" s="1" t="s">
        <v>282</v>
      </c>
      <c r="Q116" s="1" t="s">
        <v>1</v>
      </c>
      <c r="S116" t="s">
        <v>180</v>
      </c>
      <c r="T116" s="6">
        <v>4340</v>
      </c>
      <c r="V116">
        <v>44</v>
      </c>
    </row>
    <row r="117" spans="1:22" x14ac:dyDescent="0.25">
      <c r="A117">
        <v>116</v>
      </c>
      <c r="B117" s="22">
        <v>45958</v>
      </c>
      <c r="C117" t="s">
        <v>49</v>
      </c>
      <c r="D117" t="s">
        <v>138</v>
      </c>
      <c r="E117" s="11" t="s">
        <v>128</v>
      </c>
      <c r="F117" s="6">
        <v>927100074</v>
      </c>
      <c r="G117" s="19" t="s">
        <v>139</v>
      </c>
      <c r="H117" s="11" t="s">
        <v>17</v>
      </c>
      <c r="I117" s="20">
        <v>20609379821</v>
      </c>
      <c r="K117" s="11" t="s">
        <v>140</v>
      </c>
      <c r="L117" s="11"/>
      <c r="M117" s="15" t="s">
        <v>141</v>
      </c>
      <c r="N117" t="s">
        <v>58</v>
      </c>
      <c r="O117" t="s">
        <v>38</v>
      </c>
      <c r="P117" t="s">
        <v>235</v>
      </c>
      <c r="Q117" t="s">
        <v>12</v>
      </c>
      <c r="S117" t="s">
        <v>143</v>
      </c>
      <c r="T117" s="6">
        <v>4340</v>
      </c>
      <c r="V117">
        <v>44</v>
      </c>
    </row>
    <row r="118" spans="1:22" ht="30" x14ac:dyDescent="0.25">
      <c r="A118">
        <v>117</v>
      </c>
      <c r="B118" s="22">
        <v>45958</v>
      </c>
      <c r="C118" t="s">
        <v>49</v>
      </c>
      <c r="D118" t="s">
        <v>144</v>
      </c>
      <c r="E118" s="11" t="s">
        <v>128</v>
      </c>
      <c r="F118" s="6">
        <v>950308250</v>
      </c>
      <c r="G118" s="19" t="s">
        <v>145</v>
      </c>
      <c r="H118" s="11" t="s">
        <v>24</v>
      </c>
      <c r="I118" s="20">
        <v>20614800659</v>
      </c>
      <c r="K118" s="11" t="s">
        <v>140</v>
      </c>
      <c r="L118" s="11"/>
      <c r="M118" s="15" t="s">
        <v>57</v>
      </c>
      <c r="N118" t="s">
        <v>58</v>
      </c>
      <c r="O118" t="s">
        <v>38</v>
      </c>
      <c r="P118" t="s">
        <v>235</v>
      </c>
      <c r="Q118" t="s">
        <v>12</v>
      </c>
      <c r="S118" t="s">
        <v>147</v>
      </c>
      <c r="T118" s="6">
        <v>4340</v>
      </c>
      <c r="V118">
        <v>44</v>
      </c>
    </row>
    <row r="119" spans="1:22" ht="30" x14ac:dyDescent="0.25">
      <c r="A119">
        <v>118</v>
      </c>
      <c r="B119" s="22">
        <v>45958</v>
      </c>
      <c r="C119" t="s">
        <v>154</v>
      </c>
      <c r="D119" t="s">
        <v>155</v>
      </c>
      <c r="E119" s="11" t="s">
        <v>128</v>
      </c>
      <c r="F119" s="6">
        <v>949719738</v>
      </c>
      <c r="G119" s="19" t="s">
        <v>156</v>
      </c>
      <c r="H119" s="11" t="s">
        <v>21</v>
      </c>
      <c r="I119" s="20">
        <v>20601646367</v>
      </c>
      <c r="K119" s="11" t="s">
        <v>157</v>
      </c>
      <c r="L119" s="11"/>
      <c r="M119" s="15" t="s">
        <v>76</v>
      </c>
      <c r="N119" t="s">
        <v>58</v>
      </c>
      <c r="O119" t="s">
        <v>38</v>
      </c>
      <c r="P119" s="1" t="s">
        <v>283</v>
      </c>
      <c r="Q119" t="s">
        <v>12</v>
      </c>
      <c r="S119" t="s">
        <v>224</v>
      </c>
      <c r="T119" s="6">
        <v>7999</v>
      </c>
      <c r="V119">
        <v>44</v>
      </c>
    </row>
    <row r="120" spans="1:22" ht="30" x14ac:dyDescent="0.25">
      <c r="A120">
        <v>119</v>
      </c>
      <c r="B120" s="22">
        <v>45958</v>
      </c>
      <c r="C120" t="s">
        <v>154</v>
      </c>
      <c r="D120" t="s">
        <v>155</v>
      </c>
      <c r="E120" s="11" t="s">
        <v>128</v>
      </c>
      <c r="F120" s="6">
        <v>949719738</v>
      </c>
      <c r="G120" s="19" t="s">
        <v>156</v>
      </c>
      <c r="H120" s="11" t="s">
        <v>21</v>
      </c>
      <c r="I120" s="20">
        <v>20601646367</v>
      </c>
      <c r="K120" s="11" t="s">
        <v>157</v>
      </c>
      <c r="L120" s="11"/>
      <c r="M120" s="15" t="s">
        <v>76</v>
      </c>
      <c r="N120" t="s">
        <v>58</v>
      </c>
      <c r="O120" t="s">
        <v>38</v>
      </c>
      <c r="P120" s="1" t="s">
        <v>283</v>
      </c>
      <c r="Q120" t="s">
        <v>12</v>
      </c>
      <c r="S120" t="s">
        <v>225</v>
      </c>
      <c r="T120" s="6">
        <v>6500</v>
      </c>
      <c r="V120">
        <v>44</v>
      </c>
    </row>
    <row r="121" spans="1:22" ht="45" x14ac:dyDescent="0.25">
      <c r="A121">
        <v>120</v>
      </c>
      <c r="B121" s="22">
        <v>45958</v>
      </c>
      <c r="C121" t="s">
        <v>49</v>
      </c>
      <c r="D121" t="s">
        <v>183</v>
      </c>
      <c r="E121" s="11" t="s">
        <v>128</v>
      </c>
      <c r="F121" s="6">
        <v>961785460</v>
      </c>
      <c r="G121" s="19" t="s">
        <v>184</v>
      </c>
      <c r="H121" s="11" t="s">
        <v>185</v>
      </c>
      <c r="I121" s="20">
        <v>20537054728</v>
      </c>
      <c r="K121" s="11" t="s">
        <v>68</v>
      </c>
      <c r="L121" s="11" t="s">
        <v>186</v>
      </c>
      <c r="M121" s="15" t="s">
        <v>187</v>
      </c>
      <c r="N121" t="s">
        <v>58</v>
      </c>
      <c r="O121" t="s">
        <v>38</v>
      </c>
      <c r="P121" s="1" t="s">
        <v>284</v>
      </c>
      <c r="Q121" t="s">
        <v>78</v>
      </c>
      <c r="S121" t="s">
        <v>285</v>
      </c>
      <c r="T121" s="6">
        <v>4340</v>
      </c>
      <c r="V121">
        <v>44</v>
      </c>
    </row>
    <row r="122" spans="1:22" ht="30" x14ac:dyDescent="0.25">
      <c r="A122">
        <v>121</v>
      </c>
      <c r="B122" s="22">
        <v>45958</v>
      </c>
      <c r="C122" t="s">
        <v>49</v>
      </c>
      <c r="D122" t="s">
        <v>190</v>
      </c>
      <c r="E122" s="11" t="s">
        <v>128</v>
      </c>
      <c r="F122" s="6">
        <v>971763270</v>
      </c>
      <c r="G122" s="19" t="s">
        <v>191</v>
      </c>
      <c r="H122" s="11" t="s">
        <v>19</v>
      </c>
      <c r="I122" s="16" t="s">
        <v>192</v>
      </c>
      <c r="K122" s="11" t="s">
        <v>140</v>
      </c>
      <c r="L122" s="11"/>
      <c r="M122" s="15" t="s">
        <v>57</v>
      </c>
      <c r="N122" t="s">
        <v>58</v>
      </c>
      <c r="O122" t="s">
        <v>38</v>
      </c>
      <c r="P122" s="1" t="s">
        <v>286</v>
      </c>
      <c r="Q122" t="s">
        <v>12</v>
      </c>
      <c r="S122" t="s">
        <v>287</v>
      </c>
      <c r="T122" s="6">
        <v>6949</v>
      </c>
      <c r="V122">
        <v>44</v>
      </c>
    </row>
    <row r="123" spans="1:22" ht="45" x14ac:dyDescent="0.25">
      <c r="A123">
        <v>122</v>
      </c>
      <c r="B123" s="22">
        <v>45958</v>
      </c>
      <c r="C123" t="s">
        <v>49</v>
      </c>
      <c r="D123" t="s">
        <v>195</v>
      </c>
      <c r="E123" s="11"/>
      <c r="F123" s="6">
        <v>990216016</v>
      </c>
      <c r="G123" s="19" t="s">
        <v>196</v>
      </c>
      <c r="H123" s="11" t="s">
        <v>228</v>
      </c>
      <c r="I123" s="16"/>
      <c r="K123" s="11"/>
      <c r="L123" s="11"/>
      <c r="M123" s="15" t="s">
        <v>57</v>
      </c>
      <c r="N123" t="s">
        <v>58</v>
      </c>
      <c r="O123" t="s">
        <v>38</v>
      </c>
      <c r="P123" s="1" t="s">
        <v>288</v>
      </c>
      <c r="Q123" t="s">
        <v>64</v>
      </c>
      <c r="T123" s="6"/>
      <c r="V123">
        <v>44</v>
      </c>
    </row>
    <row r="124" spans="1:22" x14ac:dyDescent="0.25">
      <c r="A124">
        <v>123</v>
      </c>
      <c r="B124" s="22">
        <v>45958</v>
      </c>
      <c r="C124" t="s">
        <v>49</v>
      </c>
      <c r="D124" t="s">
        <v>240</v>
      </c>
      <c r="E124" s="11"/>
      <c r="F124" s="6">
        <v>931055469</v>
      </c>
      <c r="G124" s="19" t="s">
        <v>241</v>
      </c>
      <c r="H124" s="11"/>
      <c r="I124" s="16"/>
      <c r="K124" s="11"/>
      <c r="L124" s="11"/>
      <c r="M124" s="15"/>
      <c r="N124" t="s">
        <v>58</v>
      </c>
      <c r="O124" t="s">
        <v>38</v>
      </c>
      <c r="P124" t="s">
        <v>242</v>
      </c>
      <c r="Q124" t="s">
        <v>64</v>
      </c>
      <c r="T124" s="6"/>
      <c r="V124">
        <v>44</v>
      </c>
    </row>
    <row r="125" spans="1:22" ht="45" x14ac:dyDescent="0.25">
      <c r="A125">
        <v>124</v>
      </c>
      <c r="B125" s="22">
        <v>45958</v>
      </c>
      <c r="C125" t="s">
        <v>49</v>
      </c>
      <c r="D125" t="s">
        <v>26</v>
      </c>
      <c r="E125" s="11"/>
      <c r="F125" s="6">
        <v>959916260</v>
      </c>
      <c r="G125" s="19" t="s">
        <v>243</v>
      </c>
      <c r="H125" t="s">
        <v>26</v>
      </c>
      <c r="I125" s="16" t="s">
        <v>289</v>
      </c>
      <c r="K125" s="11"/>
      <c r="L125" s="15" t="s">
        <v>290</v>
      </c>
      <c r="M125" s="15" t="s">
        <v>57</v>
      </c>
      <c r="N125" t="s">
        <v>58</v>
      </c>
      <c r="O125" t="s">
        <v>38</v>
      </c>
      <c r="P125" s="1" t="s">
        <v>291</v>
      </c>
      <c r="Q125" t="s">
        <v>12</v>
      </c>
      <c r="S125" t="s">
        <v>292</v>
      </c>
      <c r="T125" s="6">
        <v>4340</v>
      </c>
      <c r="V125">
        <v>44</v>
      </c>
    </row>
    <row r="126" spans="1:22" ht="30" x14ac:dyDescent="0.25">
      <c r="A126">
        <v>125</v>
      </c>
      <c r="B126" s="22">
        <v>45958</v>
      </c>
      <c r="C126" t="s">
        <v>49</v>
      </c>
      <c r="D126" t="s">
        <v>250</v>
      </c>
      <c r="E126" s="11" t="s">
        <v>251</v>
      </c>
      <c r="F126" s="6">
        <v>989160343</v>
      </c>
      <c r="G126" s="19" t="s">
        <v>252</v>
      </c>
      <c r="H126" s="11" t="s">
        <v>253</v>
      </c>
      <c r="I126" s="16"/>
      <c r="K126" s="11" t="s">
        <v>68</v>
      </c>
      <c r="L126" s="11" t="s">
        <v>116</v>
      </c>
      <c r="M126" s="15" t="s">
        <v>76</v>
      </c>
      <c r="O126" t="s">
        <v>70</v>
      </c>
      <c r="P126" s="1" t="s">
        <v>293</v>
      </c>
      <c r="Q126" t="s">
        <v>78</v>
      </c>
      <c r="T126" s="6"/>
      <c r="V126">
        <v>44</v>
      </c>
    </row>
    <row r="127" spans="1:22" ht="30" x14ac:dyDescent="0.25">
      <c r="A127">
        <v>126</v>
      </c>
      <c r="B127" s="22">
        <v>45958</v>
      </c>
      <c r="C127" t="s">
        <v>49</v>
      </c>
      <c r="D127" t="s">
        <v>255</v>
      </c>
      <c r="E127" s="11" t="s">
        <v>256</v>
      </c>
      <c r="F127" s="6"/>
      <c r="G127" s="19" t="s">
        <v>257</v>
      </c>
      <c r="H127" s="11" t="s">
        <v>258</v>
      </c>
      <c r="I127" s="16"/>
      <c r="K127" s="11"/>
      <c r="L127" s="11"/>
      <c r="M127" s="15" t="s">
        <v>76</v>
      </c>
      <c r="O127" t="s">
        <v>70</v>
      </c>
      <c r="P127" s="1" t="s">
        <v>294</v>
      </c>
      <c r="Q127" t="s">
        <v>78</v>
      </c>
      <c r="T127" s="6"/>
      <c r="V127">
        <v>44</v>
      </c>
    </row>
    <row r="128" spans="1:22" ht="30" x14ac:dyDescent="0.25">
      <c r="A128">
        <v>127</v>
      </c>
      <c r="B128" s="22">
        <v>45958</v>
      </c>
      <c r="C128" t="s">
        <v>49</v>
      </c>
      <c r="D128" t="s">
        <v>264</v>
      </c>
      <c r="E128" s="11" t="s">
        <v>265</v>
      </c>
      <c r="F128" s="6" t="s">
        <v>266</v>
      </c>
      <c r="G128" s="19" t="s">
        <v>267</v>
      </c>
      <c r="H128" s="11" t="s">
        <v>268</v>
      </c>
      <c r="I128" s="16">
        <v>20608752766</v>
      </c>
      <c r="K128" s="11" t="s">
        <v>68</v>
      </c>
      <c r="L128" s="11"/>
      <c r="M128" s="15" t="s">
        <v>57</v>
      </c>
      <c r="O128" t="s">
        <v>70</v>
      </c>
      <c r="P128" t="s">
        <v>295</v>
      </c>
      <c r="Q128" t="s">
        <v>78</v>
      </c>
      <c r="T128" s="6"/>
      <c r="V128">
        <v>44</v>
      </c>
    </row>
    <row r="129" spans="1:22" x14ac:dyDescent="0.25">
      <c r="A129">
        <v>128</v>
      </c>
      <c r="B129" s="22">
        <v>45958</v>
      </c>
      <c r="C129" t="s">
        <v>49</v>
      </c>
      <c r="E129" s="11"/>
      <c r="F129" s="6">
        <v>3483730</v>
      </c>
      <c r="G129" s="19" t="s">
        <v>270</v>
      </c>
      <c r="H129" s="11" t="s">
        <v>271</v>
      </c>
      <c r="I129" s="16"/>
      <c r="K129" s="11" t="s">
        <v>68</v>
      </c>
      <c r="L129" s="11" t="s">
        <v>272</v>
      </c>
      <c r="M129" s="15" t="s">
        <v>76</v>
      </c>
      <c r="O129" t="s">
        <v>70</v>
      </c>
      <c r="P129" t="s">
        <v>296</v>
      </c>
      <c r="Q129" t="s">
        <v>78</v>
      </c>
      <c r="T129" s="6"/>
      <c r="V129">
        <v>44</v>
      </c>
    </row>
    <row r="130" spans="1:22" x14ac:dyDescent="0.25">
      <c r="A130">
        <v>129</v>
      </c>
      <c r="B130" s="22">
        <v>45958</v>
      </c>
      <c r="C130" t="s">
        <v>49</v>
      </c>
      <c r="E130" s="11"/>
      <c r="F130" s="6">
        <v>4722685</v>
      </c>
      <c r="G130" s="19" t="s">
        <v>274</v>
      </c>
      <c r="H130" s="11" t="s">
        <v>275</v>
      </c>
      <c r="I130" s="16"/>
      <c r="K130" s="11" t="s">
        <v>68</v>
      </c>
      <c r="L130" s="11" t="s">
        <v>276</v>
      </c>
      <c r="M130" s="15" t="s">
        <v>76</v>
      </c>
      <c r="O130" t="s">
        <v>70</v>
      </c>
      <c r="P130" t="s">
        <v>296</v>
      </c>
      <c r="Q130" t="s">
        <v>78</v>
      </c>
      <c r="T130" s="6"/>
      <c r="V130">
        <v>44</v>
      </c>
    </row>
    <row r="131" spans="1:22" ht="45" x14ac:dyDescent="0.25">
      <c r="A131">
        <v>130</v>
      </c>
      <c r="B131" s="22">
        <v>45958</v>
      </c>
      <c r="C131" t="s">
        <v>49</v>
      </c>
      <c r="D131" s="1" t="s">
        <v>297</v>
      </c>
      <c r="E131" s="11" t="s">
        <v>298</v>
      </c>
      <c r="F131" s="6" t="s">
        <v>299</v>
      </c>
      <c r="G131" s="19" t="s">
        <v>300</v>
      </c>
      <c r="H131" s="11" t="s">
        <v>301</v>
      </c>
      <c r="I131" s="19" t="s">
        <v>300</v>
      </c>
      <c r="K131" s="11" t="s">
        <v>157</v>
      </c>
      <c r="L131" s="11"/>
      <c r="M131" s="15" t="s">
        <v>57</v>
      </c>
      <c r="O131" t="s">
        <v>70</v>
      </c>
      <c r="P131" s="1" t="s">
        <v>302</v>
      </c>
      <c r="Q131" t="s">
        <v>78</v>
      </c>
      <c r="T131" s="6"/>
      <c r="V131">
        <v>44</v>
      </c>
    </row>
    <row r="132" spans="1:22" ht="30" x14ac:dyDescent="0.25">
      <c r="A132">
        <v>131</v>
      </c>
      <c r="B132" s="22">
        <v>45958</v>
      </c>
      <c r="C132" t="s">
        <v>49</v>
      </c>
      <c r="D132" s="1"/>
      <c r="E132" s="11" t="s">
        <v>303</v>
      </c>
      <c r="F132" s="6">
        <v>2660155</v>
      </c>
      <c r="G132" s="19"/>
      <c r="H132" s="11" t="s">
        <v>304</v>
      </c>
      <c r="I132" s="19"/>
      <c r="K132" s="11"/>
      <c r="L132" s="11"/>
      <c r="M132" s="15"/>
      <c r="O132" t="s">
        <v>70</v>
      </c>
      <c r="P132" s="1" t="s">
        <v>305</v>
      </c>
      <c r="Q132" t="s">
        <v>78</v>
      </c>
      <c r="T132" s="6"/>
      <c r="V132">
        <v>44</v>
      </c>
    </row>
    <row r="133" spans="1:22" ht="60" x14ac:dyDescent="0.25">
      <c r="A133">
        <v>132</v>
      </c>
      <c r="B133" s="22">
        <v>45958</v>
      </c>
      <c r="C133" t="s">
        <v>49</v>
      </c>
      <c r="D133" s="1" t="s">
        <v>306</v>
      </c>
      <c r="E133" s="11"/>
      <c r="F133" s="6">
        <v>946686156</v>
      </c>
      <c r="G133" s="19"/>
      <c r="H133" s="1" t="s">
        <v>306</v>
      </c>
      <c r="I133" s="19"/>
      <c r="K133" s="11" t="s">
        <v>68</v>
      </c>
      <c r="L133" s="11"/>
      <c r="M133" s="15" t="s">
        <v>76</v>
      </c>
      <c r="O133" t="s">
        <v>70</v>
      </c>
      <c r="P133" s="1" t="s">
        <v>307</v>
      </c>
      <c r="Q133" t="s">
        <v>12</v>
      </c>
      <c r="S133" t="s">
        <v>308</v>
      </c>
      <c r="T133" s="6">
        <v>6949</v>
      </c>
      <c r="V133">
        <v>44</v>
      </c>
    </row>
    <row r="134" spans="1:22" ht="45" x14ac:dyDescent="0.25">
      <c r="A134">
        <v>133</v>
      </c>
      <c r="B134" s="22">
        <v>45959</v>
      </c>
      <c r="C134" t="s">
        <v>49</v>
      </c>
      <c r="D134" t="s">
        <v>9</v>
      </c>
      <c r="E134" s="11"/>
      <c r="F134" s="6">
        <v>915244218</v>
      </c>
      <c r="G134" s="19" t="s">
        <v>198</v>
      </c>
      <c r="H134" t="s">
        <v>9</v>
      </c>
      <c r="I134" s="16" t="s">
        <v>200</v>
      </c>
      <c r="K134" s="11" t="s">
        <v>68</v>
      </c>
      <c r="L134" s="11" t="s">
        <v>201</v>
      </c>
      <c r="M134" s="15" t="s">
        <v>57</v>
      </c>
      <c r="O134" t="s">
        <v>38</v>
      </c>
      <c r="P134" s="15" t="s">
        <v>10</v>
      </c>
      <c r="Q134" s="1" t="s">
        <v>1</v>
      </c>
      <c r="S134" t="s">
        <v>203</v>
      </c>
      <c r="T134" s="6">
        <v>4340</v>
      </c>
      <c r="V134">
        <v>44</v>
      </c>
    </row>
    <row r="135" spans="1:22" ht="30" x14ac:dyDescent="0.25">
      <c r="A135">
        <v>134</v>
      </c>
      <c r="B135" s="22">
        <v>45959</v>
      </c>
      <c r="C135" t="s">
        <v>49</v>
      </c>
      <c r="D135" t="s">
        <v>228</v>
      </c>
      <c r="E135" s="11"/>
      <c r="F135" s="6">
        <v>960191115</v>
      </c>
      <c r="G135" s="19" t="s">
        <v>228</v>
      </c>
      <c r="H135" s="16" t="s">
        <v>228</v>
      </c>
      <c r="I135" s="16" t="s">
        <v>228</v>
      </c>
      <c r="K135" s="11" t="s">
        <v>228</v>
      </c>
      <c r="L135" s="11" t="s">
        <v>228</v>
      </c>
      <c r="M135" s="15" t="s">
        <v>57</v>
      </c>
      <c r="O135" t="s">
        <v>38</v>
      </c>
      <c r="P135" s="24" t="s">
        <v>309</v>
      </c>
      <c r="Q135" t="s">
        <v>64</v>
      </c>
      <c r="T135" s="6"/>
      <c r="V135">
        <v>44</v>
      </c>
    </row>
    <row r="136" spans="1:22" ht="45" x14ac:dyDescent="0.25">
      <c r="A136">
        <v>135</v>
      </c>
      <c r="B136" s="22">
        <v>45959</v>
      </c>
      <c r="C136" t="s">
        <v>49</v>
      </c>
      <c r="D136" t="s">
        <v>205</v>
      </c>
      <c r="E136" s="11"/>
      <c r="F136" s="6">
        <v>931775092</v>
      </c>
      <c r="G136" s="19" t="s">
        <v>206</v>
      </c>
      <c r="H136" s="1" t="s">
        <v>28</v>
      </c>
      <c r="I136" s="16" t="s">
        <v>208</v>
      </c>
      <c r="K136" s="11" t="s">
        <v>140</v>
      </c>
      <c r="L136" s="11"/>
      <c r="M136" s="15" t="s">
        <v>57</v>
      </c>
      <c r="O136" t="s">
        <v>38</v>
      </c>
      <c r="P136" s="1" t="s">
        <v>310</v>
      </c>
      <c r="Q136" t="s">
        <v>12</v>
      </c>
      <c r="S136" t="s">
        <v>210</v>
      </c>
      <c r="T136" s="6">
        <v>6949</v>
      </c>
      <c r="V136">
        <v>44</v>
      </c>
    </row>
    <row r="137" spans="1:22" ht="30" x14ac:dyDescent="0.25">
      <c r="A137">
        <v>136</v>
      </c>
      <c r="B137" s="22">
        <v>45959</v>
      </c>
      <c r="C137" t="s">
        <v>49</v>
      </c>
      <c r="D137" t="s">
        <v>228</v>
      </c>
      <c r="E137" s="11"/>
      <c r="F137" s="6">
        <v>966488772</v>
      </c>
      <c r="G137" s="19" t="s">
        <v>228</v>
      </c>
      <c r="H137" s="11" t="s">
        <v>228</v>
      </c>
      <c r="I137" s="16" t="s">
        <v>228</v>
      </c>
      <c r="K137" s="11" t="s">
        <v>228</v>
      </c>
      <c r="L137" s="11" t="s">
        <v>228</v>
      </c>
      <c r="M137" s="15"/>
      <c r="O137" t="s">
        <v>38</v>
      </c>
      <c r="P137" s="25" t="s">
        <v>311</v>
      </c>
      <c r="Q137" t="s">
        <v>64</v>
      </c>
      <c r="T137" s="6"/>
      <c r="V137">
        <v>44</v>
      </c>
    </row>
    <row r="138" spans="1:22" ht="30" x14ac:dyDescent="0.25">
      <c r="A138">
        <v>137</v>
      </c>
      <c r="B138" s="22">
        <v>45959</v>
      </c>
      <c r="C138" t="s">
        <v>49</v>
      </c>
      <c r="D138" t="s">
        <v>312</v>
      </c>
      <c r="E138" s="11"/>
      <c r="F138" s="6">
        <v>932400450</v>
      </c>
      <c r="G138" s="19" t="s">
        <v>228</v>
      </c>
      <c r="H138" s="11" t="s">
        <v>228</v>
      </c>
      <c r="I138" s="16" t="s">
        <v>228</v>
      </c>
      <c r="K138" s="11" t="s">
        <v>228</v>
      </c>
      <c r="L138" s="11" t="s">
        <v>228</v>
      </c>
      <c r="M138" s="15"/>
      <c r="O138" t="s">
        <v>38</v>
      </c>
      <c r="P138" s="26" t="s">
        <v>313</v>
      </c>
      <c r="Q138" t="s">
        <v>64</v>
      </c>
      <c r="T138" s="6"/>
      <c r="V138">
        <v>44</v>
      </c>
    </row>
    <row r="139" spans="1:22" x14ac:dyDescent="0.25">
      <c r="A139">
        <v>138</v>
      </c>
      <c r="B139" s="22">
        <v>45959</v>
      </c>
      <c r="C139" t="s">
        <v>49</v>
      </c>
      <c r="E139" s="11"/>
      <c r="F139" s="6">
        <v>994894905</v>
      </c>
      <c r="G139" s="19" t="s">
        <v>114</v>
      </c>
      <c r="H139" s="11" t="s">
        <v>115</v>
      </c>
      <c r="I139" s="16"/>
      <c r="K139" s="11" t="s">
        <v>68</v>
      </c>
      <c r="L139" s="11" t="s">
        <v>116</v>
      </c>
      <c r="M139" s="15" t="s">
        <v>76</v>
      </c>
      <c r="O139" t="s">
        <v>70</v>
      </c>
      <c r="P139" t="s">
        <v>216</v>
      </c>
      <c r="Q139" t="s">
        <v>78</v>
      </c>
      <c r="T139" s="6"/>
      <c r="V139">
        <v>44</v>
      </c>
    </row>
    <row r="140" spans="1:22" x14ac:dyDescent="0.25">
      <c r="A140">
        <v>139</v>
      </c>
      <c r="B140" s="22">
        <v>45959</v>
      </c>
      <c r="C140" t="s">
        <v>49</v>
      </c>
      <c r="D140" t="s">
        <v>174</v>
      </c>
      <c r="E140" s="11"/>
      <c r="F140" s="6">
        <v>987934854</v>
      </c>
      <c r="G140" s="19" t="s">
        <v>118</v>
      </c>
      <c r="H140" s="11" t="s">
        <v>119</v>
      </c>
      <c r="I140" s="16"/>
      <c r="K140" s="11" t="s">
        <v>68</v>
      </c>
      <c r="L140" s="11" t="s">
        <v>116</v>
      </c>
      <c r="M140" s="15" t="s">
        <v>76</v>
      </c>
      <c r="O140" t="s">
        <v>70</v>
      </c>
      <c r="P140" t="s">
        <v>217</v>
      </c>
      <c r="Q140" t="s">
        <v>78</v>
      </c>
      <c r="T140" s="6"/>
      <c r="U140">
        <v>45960</v>
      </c>
      <c r="V140">
        <v>44</v>
      </c>
    </row>
    <row r="141" spans="1:22" x14ac:dyDescent="0.25">
      <c r="A141">
        <v>140</v>
      </c>
      <c r="B141" s="22">
        <v>45959</v>
      </c>
      <c r="C141" t="s">
        <v>49</v>
      </c>
      <c r="D141" t="s">
        <v>127</v>
      </c>
      <c r="E141" s="11" t="s">
        <v>128</v>
      </c>
      <c r="F141" s="6">
        <v>984755140</v>
      </c>
      <c r="G141" s="19" t="s">
        <v>129</v>
      </c>
      <c r="H141" s="11" t="s">
        <v>15</v>
      </c>
      <c r="I141" s="20">
        <v>10720799494</v>
      </c>
      <c r="K141" s="11" t="s">
        <v>130</v>
      </c>
      <c r="L141" s="11"/>
      <c r="M141" s="15" t="s">
        <v>76</v>
      </c>
      <c r="N141" t="s">
        <v>58</v>
      </c>
      <c r="O141" t="s">
        <v>38</v>
      </c>
      <c r="P141" t="s">
        <v>233</v>
      </c>
      <c r="Q141" t="s">
        <v>12</v>
      </c>
      <c r="T141" s="6"/>
      <c r="V141">
        <v>44</v>
      </c>
    </row>
    <row r="142" spans="1:22" ht="45" x14ac:dyDescent="0.25">
      <c r="A142">
        <v>142</v>
      </c>
      <c r="B142" s="22">
        <v>45959</v>
      </c>
      <c r="C142" t="s">
        <v>49</v>
      </c>
      <c r="D142" t="s">
        <v>148</v>
      </c>
      <c r="E142" s="11" t="s">
        <v>128</v>
      </c>
      <c r="F142" s="6">
        <v>905824331</v>
      </c>
      <c r="G142" s="19" t="s">
        <v>149</v>
      </c>
      <c r="H142" s="11" t="s">
        <v>7</v>
      </c>
      <c r="I142" s="20" t="s">
        <v>134</v>
      </c>
      <c r="K142" s="11" t="s">
        <v>140</v>
      </c>
      <c r="L142" s="11"/>
      <c r="M142" s="15" t="s">
        <v>57</v>
      </c>
      <c r="N142" t="s">
        <v>58</v>
      </c>
      <c r="O142" t="s">
        <v>38</v>
      </c>
      <c r="P142" s="1" t="s">
        <v>282</v>
      </c>
      <c r="Q142" s="1" t="s">
        <v>1</v>
      </c>
      <c r="S142" t="s">
        <v>180</v>
      </c>
      <c r="T142" s="6">
        <v>4340</v>
      </c>
      <c r="V142">
        <v>44</v>
      </c>
    </row>
    <row r="143" spans="1:22" ht="45" x14ac:dyDescent="0.25">
      <c r="A143">
        <v>143</v>
      </c>
      <c r="B143" s="22">
        <v>45959</v>
      </c>
      <c r="C143" t="s">
        <v>49</v>
      </c>
      <c r="D143" t="s">
        <v>138</v>
      </c>
      <c r="E143" s="11" t="s">
        <v>128</v>
      </c>
      <c r="F143" s="6">
        <v>927100074</v>
      </c>
      <c r="G143" s="19" t="s">
        <v>139</v>
      </c>
      <c r="H143" s="11" t="s">
        <v>17</v>
      </c>
      <c r="I143" s="20">
        <v>20609379821</v>
      </c>
      <c r="K143" s="11" t="s">
        <v>140</v>
      </c>
      <c r="L143" s="11"/>
      <c r="M143" s="15" t="s">
        <v>141</v>
      </c>
      <c r="N143" t="s">
        <v>58</v>
      </c>
      <c r="O143" t="s">
        <v>38</v>
      </c>
      <c r="P143" s="26" t="s">
        <v>314</v>
      </c>
      <c r="Q143" t="s">
        <v>12</v>
      </c>
      <c r="S143" t="s">
        <v>143</v>
      </c>
      <c r="T143" s="6">
        <v>4340</v>
      </c>
      <c r="V143">
        <v>44</v>
      </c>
    </row>
    <row r="144" spans="1:22" ht="60" x14ac:dyDescent="0.25">
      <c r="A144">
        <v>144</v>
      </c>
      <c r="B144" s="22">
        <v>45959</v>
      </c>
      <c r="C144" t="s">
        <v>49</v>
      </c>
      <c r="D144" t="s">
        <v>144</v>
      </c>
      <c r="E144" s="11" t="s">
        <v>128</v>
      </c>
      <c r="F144" s="6">
        <v>950308250</v>
      </c>
      <c r="G144" s="19" t="s">
        <v>145</v>
      </c>
      <c r="H144" s="11" t="s">
        <v>24</v>
      </c>
      <c r="I144" s="20">
        <v>20614800659</v>
      </c>
      <c r="K144" s="11" t="s">
        <v>140</v>
      </c>
      <c r="L144" s="11"/>
      <c r="M144" s="15" t="s">
        <v>57</v>
      </c>
      <c r="N144" t="s">
        <v>58</v>
      </c>
      <c r="O144" t="s">
        <v>38</v>
      </c>
      <c r="P144" s="1" t="s">
        <v>315</v>
      </c>
      <c r="Q144" t="s">
        <v>12</v>
      </c>
      <c r="S144" t="s">
        <v>147</v>
      </c>
      <c r="T144" s="6">
        <v>4340</v>
      </c>
      <c r="V144">
        <v>44</v>
      </c>
    </row>
    <row r="145" spans="1:22" ht="30" x14ac:dyDescent="0.25">
      <c r="A145">
        <v>145</v>
      </c>
      <c r="B145" s="22">
        <v>45959</v>
      </c>
      <c r="C145" t="s">
        <v>154</v>
      </c>
      <c r="D145" t="s">
        <v>155</v>
      </c>
      <c r="E145" s="11" t="s">
        <v>128</v>
      </c>
      <c r="F145" s="6">
        <v>949719738</v>
      </c>
      <c r="G145" s="19" t="s">
        <v>156</v>
      </c>
      <c r="H145" s="11" t="s">
        <v>21</v>
      </c>
      <c r="I145" s="20">
        <v>20601646367</v>
      </c>
      <c r="K145" s="11" t="s">
        <v>157</v>
      </c>
      <c r="L145" s="11"/>
      <c r="M145" s="15" t="s">
        <v>76</v>
      </c>
      <c r="N145" t="s">
        <v>58</v>
      </c>
      <c r="O145" t="s">
        <v>38</v>
      </c>
      <c r="P145" s="1" t="s">
        <v>316</v>
      </c>
      <c r="Q145" t="s">
        <v>12</v>
      </c>
      <c r="S145" t="s">
        <v>224</v>
      </c>
      <c r="T145" s="6">
        <v>7999</v>
      </c>
      <c r="V145">
        <v>44</v>
      </c>
    </row>
    <row r="146" spans="1:22" ht="30" x14ac:dyDescent="0.25">
      <c r="A146">
        <v>146</v>
      </c>
      <c r="B146" s="22">
        <v>45959</v>
      </c>
      <c r="C146" t="s">
        <v>154</v>
      </c>
      <c r="D146" t="s">
        <v>155</v>
      </c>
      <c r="E146" s="11" t="s">
        <v>128</v>
      </c>
      <c r="F146" s="6">
        <v>949719738</v>
      </c>
      <c r="G146" s="19" t="s">
        <v>156</v>
      </c>
      <c r="H146" s="11" t="s">
        <v>21</v>
      </c>
      <c r="I146" s="20">
        <v>20601646367</v>
      </c>
      <c r="K146" s="11" t="s">
        <v>157</v>
      </c>
      <c r="L146" s="11"/>
      <c r="M146" s="15" t="s">
        <v>76</v>
      </c>
      <c r="N146" t="s">
        <v>58</v>
      </c>
      <c r="O146" t="s">
        <v>38</v>
      </c>
      <c r="P146" s="1" t="s">
        <v>317</v>
      </c>
      <c r="Q146" t="s">
        <v>12</v>
      </c>
      <c r="S146" t="s">
        <v>225</v>
      </c>
      <c r="T146" s="6">
        <v>6500</v>
      </c>
      <c r="V146">
        <v>44</v>
      </c>
    </row>
    <row r="147" spans="1:22" ht="45" x14ac:dyDescent="0.25">
      <c r="A147">
        <v>147</v>
      </c>
      <c r="B147" s="22">
        <v>45959</v>
      </c>
      <c r="C147" t="s">
        <v>49</v>
      </c>
      <c r="D147" t="s">
        <v>183</v>
      </c>
      <c r="E147" s="11" t="s">
        <v>128</v>
      </c>
      <c r="F147" s="6">
        <v>961785460</v>
      </c>
      <c r="G147" s="19" t="s">
        <v>184</v>
      </c>
      <c r="H147" s="11" t="s">
        <v>185</v>
      </c>
      <c r="I147" s="20">
        <v>20537054728</v>
      </c>
      <c r="K147" s="11" t="s">
        <v>68</v>
      </c>
      <c r="L147" s="11" t="s">
        <v>186</v>
      </c>
      <c r="M147" s="15" t="s">
        <v>187</v>
      </c>
      <c r="N147" t="s">
        <v>58</v>
      </c>
      <c r="O147" t="s">
        <v>38</v>
      </c>
      <c r="P147" s="1" t="s">
        <v>318</v>
      </c>
      <c r="Q147" t="s">
        <v>78</v>
      </c>
      <c r="S147" t="s">
        <v>285</v>
      </c>
      <c r="T147" s="6">
        <v>4340</v>
      </c>
      <c r="V147">
        <v>44</v>
      </c>
    </row>
    <row r="148" spans="1:22" ht="30" x14ac:dyDescent="0.25">
      <c r="A148">
        <v>148</v>
      </c>
      <c r="B148" s="22">
        <v>45959</v>
      </c>
      <c r="C148" t="s">
        <v>49</v>
      </c>
      <c r="D148" t="s">
        <v>190</v>
      </c>
      <c r="E148" s="11" t="s">
        <v>128</v>
      </c>
      <c r="F148" s="6">
        <v>971763270</v>
      </c>
      <c r="G148" s="19" t="s">
        <v>191</v>
      </c>
      <c r="H148" s="11" t="s">
        <v>19</v>
      </c>
      <c r="I148" s="16" t="s">
        <v>192</v>
      </c>
      <c r="K148" s="11" t="s">
        <v>140</v>
      </c>
      <c r="L148" s="11"/>
      <c r="M148" s="15" t="s">
        <v>57</v>
      </c>
      <c r="N148" t="s">
        <v>58</v>
      </c>
      <c r="O148" t="s">
        <v>38</v>
      </c>
      <c r="P148" s="1" t="s">
        <v>286</v>
      </c>
      <c r="Q148" t="s">
        <v>12</v>
      </c>
      <c r="S148" t="s">
        <v>287</v>
      </c>
      <c r="T148" s="6">
        <v>6949</v>
      </c>
      <c r="V148">
        <v>44</v>
      </c>
    </row>
    <row r="149" spans="1:22" ht="30" x14ac:dyDescent="0.25">
      <c r="A149">
        <v>149</v>
      </c>
      <c r="B149" s="22">
        <v>45959</v>
      </c>
      <c r="C149" t="s">
        <v>49</v>
      </c>
      <c r="D149" t="s">
        <v>195</v>
      </c>
      <c r="E149" s="11"/>
      <c r="F149" s="6">
        <v>990216016</v>
      </c>
      <c r="G149" s="19" t="s">
        <v>196</v>
      </c>
      <c r="H149" s="11" t="s">
        <v>228</v>
      </c>
      <c r="I149" s="16"/>
      <c r="K149" s="11"/>
      <c r="L149" s="11"/>
      <c r="M149" s="15" t="s">
        <v>57</v>
      </c>
      <c r="N149" t="s">
        <v>58</v>
      </c>
      <c r="O149" t="s">
        <v>38</v>
      </c>
      <c r="P149" s="25" t="s">
        <v>319</v>
      </c>
      <c r="Q149" t="s">
        <v>64</v>
      </c>
      <c r="T149" s="6"/>
      <c r="V149">
        <v>44</v>
      </c>
    </row>
    <row r="150" spans="1:22" ht="45" x14ac:dyDescent="0.25">
      <c r="A150">
        <v>150</v>
      </c>
      <c r="B150" s="22">
        <v>45959</v>
      </c>
      <c r="C150" t="s">
        <v>49</v>
      </c>
      <c r="D150" t="s">
        <v>240</v>
      </c>
      <c r="E150" s="11"/>
      <c r="F150" s="6">
        <v>931055469</v>
      </c>
      <c r="G150" s="19" t="s">
        <v>241</v>
      </c>
      <c r="H150" s="11" t="s">
        <v>228</v>
      </c>
      <c r="I150" s="16"/>
      <c r="K150" s="11"/>
      <c r="L150" s="11"/>
      <c r="M150" s="15"/>
      <c r="N150" t="s">
        <v>58</v>
      </c>
      <c r="O150" t="s">
        <v>38</v>
      </c>
      <c r="P150" s="25" t="s">
        <v>320</v>
      </c>
      <c r="Q150" t="s">
        <v>64</v>
      </c>
      <c r="T150" s="6"/>
      <c r="V150">
        <v>44</v>
      </c>
    </row>
    <row r="151" spans="1:22" ht="30" x14ac:dyDescent="0.25">
      <c r="A151">
        <v>151</v>
      </c>
      <c r="B151" s="22">
        <v>45959</v>
      </c>
      <c r="C151" t="s">
        <v>49</v>
      </c>
      <c r="D151" t="s">
        <v>26</v>
      </c>
      <c r="E151" s="11"/>
      <c r="F151" s="6">
        <v>959916260</v>
      </c>
      <c r="G151" s="19" t="s">
        <v>243</v>
      </c>
      <c r="H151" t="s">
        <v>26</v>
      </c>
      <c r="I151" s="16"/>
      <c r="K151" s="11"/>
      <c r="L151" s="15" t="s">
        <v>290</v>
      </c>
      <c r="M151" s="15" t="s">
        <v>57</v>
      </c>
      <c r="N151" t="s">
        <v>58</v>
      </c>
      <c r="O151" t="s">
        <v>38</v>
      </c>
      <c r="P151" s="1" t="s">
        <v>321</v>
      </c>
      <c r="Q151" t="s">
        <v>12</v>
      </c>
      <c r="S151" t="s">
        <v>292</v>
      </c>
      <c r="T151" s="6">
        <v>4340</v>
      </c>
      <c r="V151">
        <v>44</v>
      </c>
    </row>
    <row r="152" spans="1:22" ht="30" x14ac:dyDescent="0.25">
      <c r="A152">
        <v>152</v>
      </c>
      <c r="B152" s="22">
        <v>45959</v>
      </c>
      <c r="C152" t="s">
        <v>49</v>
      </c>
      <c r="D152" t="s">
        <v>250</v>
      </c>
      <c r="E152" s="11" t="s">
        <v>251</v>
      </c>
      <c r="F152" s="6">
        <v>989160343</v>
      </c>
      <c r="G152" s="19" t="s">
        <v>252</v>
      </c>
      <c r="H152" s="11" t="s">
        <v>253</v>
      </c>
      <c r="I152" s="16"/>
      <c r="K152" s="11" t="s">
        <v>68</v>
      </c>
      <c r="L152" s="11" t="s">
        <v>116</v>
      </c>
      <c r="M152" s="15" t="s">
        <v>76</v>
      </c>
      <c r="O152" t="s">
        <v>70</v>
      </c>
      <c r="P152" s="1" t="s">
        <v>322</v>
      </c>
      <c r="Q152" t="s">
        <v>78</v>
      </c>
      <c r="T152" s="6"/>
      <c r="V152">
        <v>44</v>
      </c>
    </row>
    <row r="153" spans="1:22" ht="30" x14ac:dyDescent="0.25">
      <c r="A153">
        <v>153</v>
      </c>
      <c r="B153" s="22">
        <v>45959</v>
      </c>
      <c r="C153" t="s">
        <v>49</v>
      </c>
      <c r="D153" t="s">
        <v>255</v>
      </c>
      <c r="E153" s="11" t="s">
        <v>256</v>
      </c>
      <c r="F153" s="6">
        <v>3487500</v>
      </c>
      <c r="G153" s="19" t="s">
        <v>257</v>
      </c>
      <c r="H153" s="11" t="s">
        <v>258</v>
      </c>
      <c r="I153" s="16"/>
      <c r="K153" s="11"/>
      <c r="L153" s="11"/>
      <c r="M153" s="15" t="s">
        <v>76</v>
      </c>
      <c r="O153" t="s">
        <v>70</v>
      </c>
      <c r="P153" s="27" t="s">
        <v>323</v>
      </c>
      <c r="Q153" t="s">
        <v>78</v>
      </c>
      <c r="T153" s="6"/>
      <c r="V153">
        <v>44</v>
      </c>
    </row>
    <row r="154" spans="1:22" ht="30" x14ac:dyDescent="0.25">
      <c r="A154">
        <v>154</v>
      </c>
      <c r="B154" s="22">
        <v>45959</v>
      </c>
      <c r="C154" t="s">
        <v>49</v>
      </c>
      <c r="D154" t="s">
        <v>264</v>
      </c>
      <c r="E154" s="11" t="s">
        <v>265</v>
      </c>
      <c r="F154" s="6" t="s">
        <v>266</v>
      </c>
      <c r="G154" s="19" t="s">
        <v>267</v>
      </c>
      <c r="H154" s="11" t="s">
        <v>268</v>
      </c>
      <c r="I154" s="16">
        <v>20608752766</v>
      </c>
      <c r="K154" s="11" t="s">
        <v>68</v>
      </c>
      <c r="L154" s="11"/>
      <c r="M154" s="15" t="s">
        <v>57</v>
      </c>
      <c r="O154" t="s">
        <v>38</v>
      </c>
      <c r="P154" s="26" t="s">
        <v>324</v>
      </c>
      <c r="Q154" t="s">
        <v>78</v>
      </c>
      <c r="T154" s="6"/>
      <c r="V154">
        <v>44</v>
      </c>
    </row>
    <row r="155" spans="1:22" ht="45" x14ac:dyDescent="0.25">
      <c r="A155">
        <v>155</v>
      </c>
      <c r="B155" s="22">
        <v>45959</v>
      </c>
      <c r="C155" t="s">
        <v>49</v>
      </c>
      <c r="D155" s="1" t="s">
        <v>297</v>
      </c>
      <c r="E155" s="11" t="s">
        <v>298</v>
      </c>
      <c r="F155" s="6" t="s">
        <v>299</v>
      </c>
      <c r="G155" s="19" t="s">
        <v>300</v>
      </c>
      <c r="H155" s="11" t="s">
        <v>301</v>
      </c>
      <c r="I155" s="19" t="s">
        <v>300</v>
      </c>
      <c r="K155" s="11" t="s">
        <v>157</v>
      </c>
      <c r="L155" s="11"/>
      <c r="M155" s="15" t="s">
        <v>57</v>
      </c>
      <c r="O155" t="s">
        <v>70</v>
      </c>
      <c r="P155" s="1" t="s">
        <v>325</v>
      </c>
      <c r="Q155" t="s">
        <v>78</v>
      </c>
      <c r="T155" s="6"/>
      <c r="V155">
        <v>44</v>
      </c>
    </row>
    <row r="156" spans="1:22" ht="30" x14ac:dyDescent="0.25">
      <c r="A156">
        <v>156</v>
      </c>
      <c r="B156" s="22">
        <v>45959</v>
      </c>
      <c r="C156" t="s">
        <v>49</v>
      </c>
      <c r="D156" s="1"/>
      <c r="E156" s="11" t="s">
        <v>303</v>
      </c>
      <c r="F156" s="6">
        <v>2660155</v>
      </c>
      <c r="G156" s="19"/>
      <c r="H156" s="11" t="s">
        <v>304</v>
      </c>
      <c r="I156" s="19"/>
      <c r="K156" s="11"/>
      <c r="L156" s="11"/>
      <c r="M156" s="15"/>
      <c r="O156" t="s">
        <v>70</v>
      </c>
      <c r="P156" s="27" t="s">
        <v>326</v>
      </c>
      <c r="Q156" t="s">
        <v>78</v>
      </c>
      <c r="T156" s="6"/>
      <c r="V156">
        <v>44</v>
      </c>
    </row>
    <row r="157" spans="1:22" ht="30" x14ac:dyDescent="0.25">
      <c r="A157">
        <v>157</v>
      </c>
      <c r="B157" s="22">
        <v>45959</v>
      </c>
      <c r="C157" t="s">
        <v>49</v>
      </c>
      <c r="D157" s="1" t="s">
        <v>306</v>
      </c>
      <c r="E157" s="11"/>
      <c r="F157" s="6">
        <v>946686156</v>
      </c>
      <c r="G157" s="19"/>
      <c r="H157" s="1" t="s">
        <v>306</v>
      </c>
      <c r="I157" s="19"/>
      <c r="K157" s="11" t="s">
        <v>68</v>
      </c>
      <c r="L157" s="11"/>
      <c r="M157" s="15" t="s">
        <v>76</v>
      </c>
      <c r="O157" t="s">
        <v>38</v>
      </c>
      <c r="P157" s="1" t="s">
        <v>327</v>
      </c>
      <c r="Q157" t="s">
        <v>12</v>
      </c>
      <c r="S157" t="s">
        <v>308</v>
      </c>
      <c r="T157" s="6">
        <v>6949</v>
      </c>
      <c r="V157">
        <v>44</v>
      </c>
    </row>
    <row r="158" spans="1:22" ht="30" x14ac:dyDescent="0.25">
      <c r="A158">
        <v>158</v>
      </c>
      <c r="B158" s="22">
        <v>45959</v>
      </c>
      <c r="C158" t="s">
        <v>49</v>
      </c>
      <c r="D158" s="1" t="s">
        <v>328</v>
      </c>
      <c r="E158" s="11" t="s">
        <v>329</v>
      </c>
      <c r="F158" s="6">
        <v>6516888</v>
      </c>
      <c r="G158" s="19" t="s">
        <v>330</v>
      </c>
      <c r="H158" s="11" t="s">
        <v>331</v>
      </c>
      <c r="I158" s="19"/>
      <c r="K158" s="11" t="s">
        <v>68</v>
      </c>
      <c r="L158" s="11" t="s">
        <v>246</v>
      </c>
      <c r="M158" s="15" t="s">
        <v>76</v>
      </c>
      <c r="O158" t="s">
        <v>70</v>
      </c>
      <c r="P158" s="1" t="s">
        <v>332</v>
      </c>
      <c r="Q158" t="s">
        <v>78</v>
      </c>
      <c r="T158" s="6"/>
      <c r="V158">
        <v>44</v>
      </c>
    </row>
    <row r="159" spans="1:22" ht="45" x14ac:dyDescent="0.25">
      <c r="A159">
        <v>159</v>
      </c>
      <c r="B159" s="22">
        <v>45959</v>
      </c>
      <c r="C159" t="s">
        <v>49</v>
      </c>
      <c r="D159" s="1" t="s">
        <v>333</v>
      </c>
      <c r="E159" s="11" t="s">
        <v>334</v>
      </c>
      <c r="F159" s="6">
        <v>6195200</v>
      </c>
      <c r="G159" s="19"/>
      <c r="H159" s="1" t="s">
        <v>335</v>
      </c>
      <c r="I159" s="19"/>
      <c r="K159" s="11" t="s">
        <v>68</v>
      </c>
      <c r="L159" s="11" t="s">
        <v>246</v>
      </c>
      <c r="M159" s="15" t="s">
        <v>76</v>
      </c>
      <c r="O159" t="s">
        <v>70</v>
      </c>
      <c r="P159" s="1" t="s">
        <v>336</v>
      </c>
      <c r="Q159" t="s">
        <v>78</v>
      </c>
      <c r="T159" s="6"/>
    </row>
    <row r="160" spans="1:22" ht="45" x14ac:dyDescent="0.25">
      <c r="A160">
        <v>160</v>
      </c>
      <c r="B160" s="22">
        <v>45959</v>
      </c>
      <c r="C160" t="s">
        <v>49</v>
      </c>
      <c r="D160" t="s">
        <v>337</v>
      </c>
      <c r="E160" t="s">
        <v>338</v>
      </c>
      <c r="F160" t="s">
        <v>339</v>
      </c>
      <c r="G160" s="19" t="s">
        <v>340</v>
      </c>
      <c r="H160" t="s">
        <v>341</v>
      </c>
      <c r="K160" s="11" t="s">
        <v>68</v>
      </c>
      <c r="L160" s="11" t="s">
        <v>246</v>
      </c>
      <c r="M160" s="15" t="s">
        <v>76</v>
      </c>
      <c r="O160" t="s">
        <v>70</v>
      </c>
      <c r="P160" s="1" t="s">
        <v>342</v>
      </c>
      <c r="Q160" t="s">
        <v>78</v>
      </c>
      <c r="T160" s="6"/>
      <c r="V160">
        <f>WEEKNUM(CRM[[#This Row],[Fecha]])</f>
        <v>44</v>
      </c>
    </row>
    <row r="161" spans="1:22" ht="45" x14ac:dyDescent="0.25">
      <c r="A161">
        <v>161</v>
      </c>
      <c r="B161" s="22">
        <v>45959</v>
      </c>
      <c r="C161" t="s">
        <v>49</v>
      </c>
      <c r="D161" t="s">
        <v>343</v>
      </c>
      <c r="E161" t="s">
        <v>344</v>
      </c>
      <c r="F161" s="6">
        <v>930932772</v>
      </c>
      <c r="H161" t="s">
        <v>345</v>
      </c>
      <c r="K161" s="11" t="s">
        <v>68</v>
      </c>
      <c r="L161" s="11" t="s">
        <v>246</v>
      </c>
      <c r="M161" s="15" t="s">
        <v>76</v>
      </c>
      <c r="O161" t="s">
        <v>70</v>
      </c>
      <c r="P161" s="1" t="s">
        <v>346</v>
      </c>
      <c r="Q161" t="s">
        <v>78</v>
      </c>
      <c r="T161" s="6"/>
      <c r="V161">
        <f>WEEKNUM(CRM[[#This Row],[Fecha]])</f>
        <v>44</v>
      </c>
    </row>
    <row r="162" spans="1:22" ht="45" x14ac:dyDescent="0.25">
      <c r="A162">
        <v>162</v>
      </c>
      <c r="B162" s="22">
        <v>45959</v>
      </c>
      <c r="C162" t="s">
        <v>49</v>
      </c>
      <c r="E162" s="11" t="s">
        <v>303</v>
      </c>
      <c r="F162" s="6">
        <v>914773118</v>
      </c>
      <c r="H162" t="s">
        <v>347</v>
      </c>
      <c r="K162" t="s">
        <v>68</v>
      </c>
      <c r="L162" t="s">
        <v>348</v>
      </c>
      <c r="M162" s="15" t="s">
        <v>76</v>
      </c>
      <c r="O162" t="s">
        <v>70</v>
      </c>
      <c r="P162" s="1" t="s">
        <v>349</v>
      </c>
      <c r="Q162" t="s">
        <v>78</v>
      </c>
      <c r="T162" s="6"/>
      <c r="V162">
        <f>WEEKNUM(CRM[[#This Row],[Fecha]])</f>
        <v>44</v>
      </c>
    </row>
    <row r="163" spans="1:22" ht="30" x14ac:dyDescent="0.25">
      <c r="A163">
        <v>163</v>
      </c>
      <c r="B163" s="22">
        <v>45959</v>
      </c>
      <c r="C163" t="s">
        <v>49</v>
      </c>
      <c r="D163" t="s">
        <v>303</v>
      </c>
      <c r="E163" t="s">
        <v>350</v>
      </c>
      <c r="F163" s="6">
        <v>968213093</v>
      </c>
      <c r="H163" t="s">
        <v>350</v>
      </c>
      <c r="K163" t="s">
        <v>74</v>
      </c>
      <c r="L163" t="s">
        <v>351</v>
      </c>
      <c r="M163" s="15" t="s">
        <v>76</v>
      </c>
      <c r="O163" t="s">
        <v>70</v>
      </c>
      <c r="P163" s="1" t="s">
        <v>352</v>
      </c>
      <c r="Q163" t="s">
        <v>64</v>
      </c>
      <c r="T163" s="6"/>
      <c r="V163">
        <f>WEEKNUM(CRM[[#This Row],[Fecha]])</f>
        <v>44</v>
      </c>
    </row>
    <row r="164" spans="1:22" ht="30" x14ac:dyDescent="0.25">
      <c r="A164">
        <v>164</v>
      </c>
      <c r="B164" s="22">
        <v>45959</v>
      </c>
      <c r="C164" t="s">
        <v>49</v>
      </c>
      <c r="D164" t="s">
        <v>353</v>
      </c>
      <c r="E164" t="s">
        <v>354</v>
      </c>
      <c r="F164" s="6">
        <v>2640884</v>
      </c>
      <c r="G164" s="19" t="s">
        <v>355</v>
      </c>
      <c r="H164" t="s">
        <v>356</v>
      </c>
      <c r="K164" t="s">
        <v>68</v>
      </c>
      <c r="L164" t="s">
        <v>357</v>
      </c>
      <c r="M164" s="15" t="s">
        <v>76</v>
      </c>
      <c r="O164" t="s">
        <v>70</v>
      </c>
      <c r="P164" s="1" t="s">
        <v>358</v>
      </c>
      <c r="Q164" t="s">
        <v>78</v>
      </c>
      <c r="T164" s="6"/>
      <c r="V164">
        <f>WEEKNUM(CRM[[#This Row],[Fecha]])</f>
        <v>44</v>
      </c>
    </row>
    <row r="165" spans="1:22" ht="30" x14ac:dyDescent="0.25">
      <c r="A165">
        <v>165</v>
      </c>
      <c r="B165" s="22">
        <v>45959</v>
      </c>
      <c r="C165" t="s">
        <v>49</v>
      </c>
      <c r="E165" t="s">
        <v>359</v>
      </c>
      <c r="F165" s="6">
        <v>2134300</v>
      </c>
      <c r="G165" s="19" t="s">
        <v>360</v>
      </c>
      <c r="H165" t="s">
        <v>361</v>
      </c>
      <c r="K165" t="s">
        <v>68</v>
      </c>
      <c r="L165" t="s">
        <v>69</v>
      </c>
      <c r="M165" t="s">
        <v>76</v>
      </c>
      <c r="O165" t="s">
        <v>70</v>
      </c>
      <c r="P165" s="1" t="s">
        <v>362</v>
      </c>
      <c r="Q165" t="s">
        <v>78</v>
      </c>
      <c r="T165" s="6"/>
      <c r="V165">
        <f>WEEKNUM(CRM[[#This Row],[Fecha]])</f>
        <v>44</v>
      </c>
    </row>
    <row r="166" spans="1:22" ht="30" x14ac:dyDescent="0.25">
      <c r="A166">
        <v>166</v>
      </c>
      <c r="B166" s="22">
        <v>45959</v>
      </c>
      <c r="C166" t="s">
        <v>49</v>
      </c>
      <c r="D166" t="s">
        <v>363</v>
      </c>
      <c r="E166" t="s">
        <v>359</v>
      </c>
      <c r="F166" s="6">
        <v>6100400</v>
      </c>
      <c r="G166" s="19" t="s">
        <v>364</v>
      </c>
      <c r="H166" t="s">
        <v>365</v>
      </c>
      <c r="K166" t="s">
        <v>68</v>
      </c>
      <c r="L166" t="s">
        <v>69</v>
      </c>
      <c r="M166" t="s">
        <v>76</v>
      </c>
      <c r="O166" t="s">
        <v>70</v>
      </c>
      <c r="P166" s="1" t="s">
        <v>366</v>
      </c>
      <c r="Q166" t="s">
        <v>78</v>
      </c>
      <c r="T166" s="6"/>
      <c r="V166">
        <f>WEEKNUM(CRM[[#This Row],[Fecha]])</f>
        <v>44</v>
      </c>
    </row>
    <row r="167" spans="1:22" ht="30" x14ac:dyDescent="0.25">
      <c r="A167">
        <v>167</v>
      </c>
      <c r="B167" s="22">
        <v>45959</v>
      </c>
      <c r="C167" t="s">
        <v>49</v>
      </c>
      <c r="D167" t="s">
        <v>367</v>
      </c>
      <c r="E167" t="s">
        <v>338</v>
      </c>
      <c r="F167" s="6">
        <v>4457743</v>
      </c>
      <c r="G167" s="19" t="s">
        <v>368</v>
      </c>
      <c r="H167" t="s">
        <v>369</v>
      </c>
      <c r="K167" t="s">
        <v>68</v>
      </c>
      <c r="L167" t="s">
        <v>69</v>
      </c>
      <c r="M167" t="s">
        <v>76</v>
      </c>
      <c r="O167" t="s">
        <v>70</v>
      </c>
      <c r="P167" s="1" t="s">
        <v>370</v>
      </c>
      <c r="Q167" t="s">
        <v>78</v>
      </c>
      <c r="T167" s="6"/>
      <c r="V167">
        <f>WEEKNUM(CRM[[#This Row],[Fecha]])</f>
        <v>44</v>
      </c>
    </row>
    <row r="168" spans="1:22" ht="60" x14ac:dyDescent="0.25">
      <c r="A168">
        <v>168</v>
      </c>
      <c r="B168" s="22">
        <v>45960</v>
      </c>
      <c r="C168" t="s">
        <v>49</v>
      </c>
      <c r="D168" t="s">
        <v>371</v>
      </c>
      <c r="E168" t="s">
        <v>372</v>
      </c>
      <c r="F168" s="6">
        <v>975031155</v>
      </c>
      <c r="G168" s="19" t="s">
        <v>373</v>
      </c>
      <c r="H168" t="s">
        <v>30</v>
      </c>
      <c r="I168" s="6">
        <v>20610091017</v>
      </c>
      <c r="K168" t="s">
        <v>68</v>
      </c>
      <c r="L168" t="s">
        <v>374</v>
      </c>
      <c r="M168" t="s">
        <v>76</v>
      </c>
      <c r="O168" t="s">
        <v>38</v>
      </c>
      <c r="P168" s="1" t="s">
        <v>375</v>
      </c>
      <c r="Q168" t="s">
        <v>12</v>
      </c>
      <c r="S168" t="s">
        <v>376</v>
      </c>
      <c r="T168" s="6">
        <v>4340</v>
      </c>
      <c r="V168">
        <f>WEEKNUM(CRM[[#This Row],[Fecha]])</f>
        <v>44</v>
      </c>
    </row>
    <row r="169" spans="1:22" ht="45" x14ac:dyDescent="0.25">
      <c r="A169">
        <v>169</v>
      </c>
      <c r="B169" s="22">
        <v>45960</v>
      </c>
      <c r="C169" t="s">
        <v>49</v>
      </c>
      <c r="D169" t="s">
        <v>9</v>
      </c>
      <c r="E169" s="11"/>
      <c r="F169" s="6">
        <v>915244218</v>
      </c>
      <c r="G169" s="19" t="s">
        <v>198</v>
      </c>
      <c r="H169" t="s">
        <v>9</v>
      </c>
      <c r="I169" s="16" t="s">
        <v>200</v>
      </c>
      <c r="K169" s="11" t="s">
        <v>68</v>
      </c>
      <c r="L169" s="11" t="s">
        <v>201</v>
      </c>
      <c r="M169" s="15" t="s">
        <v>57</v>
      </c>
      <c r="O169" t="s">
        <v>38</v>
      </c>
      <c r="P169" s="15" t="s">
        <v>10</v>
      </c>
      <c r="Q169" s="1" t="s">
        <v>1</v>
      </c>
      <c r="S169" t="s">
        <v>203</v>
      </c>
      <c r="T169" s="6">
        <v>4340</v>
      </c>
      <c r="V169">
        <v>44</v>
      </c>
    </row>
    <row r="170" spans="1:22" ht="30" x14ac:dyDescent="0.25">
      <c r="A170">
        <v>170</v>
      </c>
      <c r="B170" s="22">
        <v>45960</v>
      </c>
      <c r="C170" t="s">
        <v>49</v>
      </c>
      <c r="D170" t="s">
        <v>228</v>
      </c>
      <c r="E170" s="11"/>
      <c r="F170" s="6">
        <v>960191115</v>
      </c>
      <c r="G170" s="19" t="s">
        <v>228</v>
      </c>
      <c r="H170" s="16" t="s">
        <v>228</v>
      </c>
      <c r="I170" s="16" t="s">
        <v>228</v>
      </c>
      <c r="K170" s="11" t="s">
        <v>228</v>
      </c>
      <c r="L170" s="11" t="s">
        <v>228</v>
      </c>
      <c r="M170" s="15" t="s">
        <v>57</v>
      </c>
      <c r="O170" t="s">
        <v>38</v>
      </c>
      <c r="P170" s="24" t="s">
        <v>27</v>
      </c>
      <c r="Q170" t="s">
        <v>64</v>
      </c>
      <c r="T170" s="6"/>
      <c r="V170">
        <v>44</v>
      </c>
    </row>
    <row r="171" spans="1:22" ht="30" x14ac:dyDescent="0.25">
      <c r="A171">
        <v>171</v>
      </c>
      <c r="B171" s="22">
        <v>45960</v>
      </c>
      <c r="C171" t="s">
        <v>49</v>
      </c>
      <c r="D171" t="s">
        <v>205</v>
      </c>
      <c r="E171" s="11"/>
      <c r="F171" s="6">
        <v>931775092</v>
      </c>
      <c r="G171" s="19" t="s">
        <v>206</v>
      </c>
      <c r="H171" s="1" t="s">
        <v>28</v>
      </c>
      <c r="I171" s="16" t="s">
        <v>208</v>
      </c>
      <c r="K171" s="11" t="s">
        <v>140</v>
      </c>
      <c r="L171" s="11"/>
      <c r="M171" s="15" t="s">
        <v>57</v>
      </c>
      <c r="O171" t="s">
        <v>38</v>
      </c>
      <c r="P171" s="25" t="s">
        <v>377</v>
      </c>
      <c r="Q171" t="s">
        <v>12</v>
      </c>
      <c r="S171" t="s">
        <v>210</v>
      </c>
      <c r="T171" s="6">
        <v>6949</v>
      </c>
      <c r="V171">
        <v>44</v>
      </c>
    </row>
    <row r="172" spans="1:22" ht="30" x14ac:dyDescent="0.25">
      <c r="A172">
        <v>172</v>
      </c>
      <c r="B172" s="22">
        <v>45960</v>
      </c>
      <c r="C172" t="s">
        <v>49</v>
      </c>
      <c r="D172" t="s">
        <v>228</v>
      </c>
      <c r="E172" s="11"/>
      <c r="F172" s="6">
        <v>966488772</v>
      </c>
      <c r="G172" s="19" t="s">
        <v>228</v>
      </c>
      <c r="H172" s="11" t="s">
        <v>228</v>
      </c>
      <c r="I172" s="16" t="s">
        <v>228</v>
      </c>
      <c r="K172" s="11" t="s">
        <v>228</v>
      </c>
      <c r="L172" s="11" t="s">
        <v>228</v>
      </c>
      <c r="M172" s="15"/>
      <c r="O172" t="s">
        <v>38</v>
      </c>
      <c r="P172" s="24" t="s">
        <v>27</v>
      </c>
      <c r="Q172" t="s">
        <v>64</v>
      </c>
      <c r="T172" s="6"/>
      <c r="V172">
        <v>44</v>
      </c>
    </row>
    <row r="173" spans="1:22" ht="30" x14ac:dyDescent="0.25">
      <c r="A173">
        <v>173</v>
      </c>
      <c r="B173" s="22">
        <v>45960</v>
      </c>
      <c r="C173" t="s">
        <v>49</v>
      </c>
      <c r="D173" t="s">
        <v>312</v>
      </c>
      <c r="E173" s="11"/>
      <c r="F173" s="6">
        <v>932400450</v>
      </c>
      <c r="G173" s="19" t="s">
        <v>228</v>
      </c>
      <c r="H173" s="11" t="s">
        <v>228</v>
      </c>
      <c r="I173" s="16" t="s">
        <v>228</v>
      </c>
      <c r="K173" s="11" t="s">
        <v>228</v>
      </c>
      <c r="L173" s="11" t="s">
        <v>228</v>
      </c>
      <c r="M173" s="15"/>
      <c r="O173" t="s">
        <v>38</v>
      </c>
      <c r="P173" s="25" t="s">
        <v>378</v>
      </c>
      <c r="Q173" t="s">
        <v>78</v>
      </c>
      <c r="T173" s="6"/>
      <c r="V173">
        <v>44</v>
      </c>
    </row>
    <row r="174" spans="1:22" x14ac:dyDescent="0.25">
      <c r="A174">
        <v>174</v>
      </c>
      <c r="B174" s="22">
        <v>45960</v>
      </c>
      <c r="C174" t="s">
        <v>49</v>
      </c>
      <c r="E174" s="11"/>
      <c r="F174" s="6">
        <v>994894905</v>
      </c>
      <c r="G174" s="19" t="s">
        <v>114</v>
      </c>
      <c r="H174" s="11" t="s">
        <v>115</v>
      </c>
      <c r="I174" s="16"/>
      <c r="K174" s="11" t="s">
        <v>68</v>
      </c>
      <c r="L174" s="11" t="s">
        <v>116</v>
      </c>
      <c r="M174" s="15" t="s">
        <v>76</v>
      </c>
      <c r="O174" t="s">
        <v>70</v>
      </c>
      <c r="P174" t="s">
        <v>379</v>
      </c>
      <c r="Q174" t="s">
        <v>78</v>
      </c>
      <c r="T174" s="6"/>
      <c r="V174">
        <v>44</v>
      </c>
    </row>
    <row r="175" spans="1:22" x14ac:dyDescent="0.25">
      <c r="A175">
        <v>175</v>
      </c>
      <c r="B175" s="22">
        <v>45960</v>
      </c>
      <c r="C175" t="s">
        <v>49</v>
      </c>
      <c r="D175" t="s">
        <v>174</v>
      </c>
      <c r="E175" s="11"/>
      <c r="F175" s="6">
        <v>987934854</v>
      </c>
      <c r="G175" s="19" t="s">
        <v>118</v>
      </c>
      <c r="H175" s="11" t="s">
        <v>119</v>
      </c>
      <c r="I175" s="16"/>
      <c r="K175" s="11" t="s">
        <v>68</v>
      </c>
      <c r="L175" s="11" t="s">
        <v>116</v>
      </c>
      <c r="M175" s="15" t="s">
        <v>76</v>
      </c>
      <c r="O175" t="s">
        <v>70</v>
      </c>
      <c r="P175" s="28" t="s">
        <v>217</v>
      </c>
      <c r="Q175" t="s">
        <v>78</v>
      </c>
      <c r="T175" s="6"/>
      <c r="U175">
        <v>45960</v>
      </c>
      <c r="V175">
        <v>44</v>
      </c>
    </row>
    <row r="176" spans="1:22" x14ac:dyDescent="0.25">
      <c r="A176">
        <v>176</v>
      </c>
      <c r="B176" s="22">
        <v>45960</v>
      </c>
      <c r="C176" t="s">
        <v>49</v>
      </c>
      <c r="D176" t="s">
        <v>127</v>
      </c>
      <c r="E176" s="11" t="s">
        <v>128</v>
      </c>
      <c r="F176" s="6">
        <v>984755140</v>
      </c>
      <c r="G176" s="19" t="s">
        <v>129</v>
      </c>
      <c r="H176" s="11" t="s">
        <v>15</v>
      </c>
      <c r="I176" s="20">
        <v>10720799494</v>
      </c>
      <c r="K176" s="11" t="s">
        <v>130</v>
      </c>
      <c r="L176" s="11"/>
      <c r="M176" s="15" t="s">
        <v>76</v>
      </c>
      <c r="N176" t="s">
        <v>58</v>
      </c>
      <c r="O176" t="s">
        <v>38</v>
      </c>
      <c r="P176" t="s">
        <v>380</v>
      </c>
      <c r="Q176" t="s">
        <v>12</v>
      </c>
      <c r="T176" s="6"/>
      <c r="V176">
        <v>44</v>
      </c>
    </row>
    <row r="177" spans="1:22" ht="45" x14ac:dyDescent="0.25">
      <c r="A177">
        <v>177</v>
      </c>
      <c r="B177" s="22">
        <v>45960</v>
      </c>
      <c r="C177" t="s">
        <v>49</v>
      </c>
      <c r="D177" t="s">
        <v>148</v>
      </c>
      <c r="E177" s="11" t="s">
        <v>128</v>
      </c>
      <c r="F177" s="6">
        <v>905824331</v>
      </c>
      <c r="G177" s="19" t="s">
        <v>149</v>
      </c>
      <c r="H177" s="11" t="s">
        <v>7</v>
      </c>
      <c r="I177" s="20" t="s">
        <v>134</v>
      </c>
      <c r="K177" s="11" t="s">
        <v>140</v>
      </c>
      <c r="L177" s="11"/>
      <c r="M177" s="15" t="s">
        <v>57</v>
      </c>
      <c r="N177" t="s">
        <v>58</v>
      </c>
      <c r="O177" t="s">
        <v>38</v>
      </c>
      <c r="P177" s="27" t="s">
        <v>282</v>
      </c>
      <c r="Q177" s="1" t="s">
        <v>1</v>
      </c>
      <c r="S177" t="s">
        <v>180</v>
      </c>
      <c r="T177" s="6">
        <v>4340</v>
      </c>
      <c r="V177">
        <v>44</v>
      </c>
    </row>
    <row r="178" spans="1:22" ht="45" x14ac:dyDescent="0.25">
      <c r="A178">
        <v>178</v>
      </c>
      <c r="B178" s="22">
        <v>45960</v>
      </c>
      <c r="C178" t="s">
        <v>49</v>
      </c>
      <c r="D178" t="s">
        <v>138</v>
      </c>
      <c r="E178" s="11" t="s">
        <v>128</v>
      </c>
      <c r="F178" s="6">
        <v>927100074</v>
      </c>
      <c r="G178" s="19" t="s">
        <v>139</v>
      </c>
      <c r="H178" s="11" t="s">
        <v>17</v>
      </c>
      <c r="I178" s="20">
        <v>20609379821</v>
      </c>
      <c r="K178" s="11" t="s">
        <v>140</v>
      </c>
      <c r="L178" s="11"/>
      <c r="M178" s="15" t="s">
        <v>141</v>
      </c>
      <c r="N178" t="s">
        <v>58</v>
      </c>
      <c r="O178" t="s">
        <v>38</v>
      </c>
      <c r="P178" s="26" t="s">
        <v>381</v>
      </c>
      <c r="Q178" t="s">
        <v>12</v>
      </c>
      <c r="S178" t="s">
        <v>143</v>
      </c>
      <c r="T178" s="6">
        <v>4340</v>
      </c>
      <c r="V178">
        <v>44</v>
      </c>
    </row>
    <row r="179" spans="1:22" ht="75" x14ac:dyDescent="0.25">
      <c r="A179">
        <v>179</v>
      </c>
      <c r="B179" s="22">
        <v>45960</v>
      </c>
      <c r="C179" t="s">
        <v>49</v>
      </c>
      <c r="D179" t="s">
        <v>144</v>
      </c>
      <c r="E179" s="11" t="s">
        <v>128</v>
      </c>
      <c r="F179" s="6">
        <v>950308250</v>
      </c>
      <c r="G179" s="19" t="s">
        <v>145</v>
      </c>
      <c r="H179" s="11" t="s">
        <v>24</v>
      </c>
      <c r="I179" s="20">
        <v>20614800659</v>
      </c>
      <c r="K179" s="11" t="s">
        <v>140</v>
      </c>
      <c r="L179" s="11"/>
      <c r="M179" s="15" t="s">
        <v>57</v>
      </c>
      <c r="N179" t="s">
        <v>58</v>
      </c>
      <c r="O179" t="s">
        <v>38</v>
      </c>
      <c r="P179" s="1" t="s">
        <v>382</v>
      </c>
      <c r="Q179" t="s">
        <v>12</v>
      </c>
      <c r="S179" t="s">
        <v>147</v>
      </c>
      <c r="T179" s="6">
        <v>4340</v>
      </c>
      <c r="V179">
        <v>44</v>
      </c>
    </row>
    <row r="180" spans="1:22" x14ac:dyDescent="0.25">
      <c r="A180">
        <v>180</v>
      </c>
      <c r="B180" s="22">
        <v>45960</v>
      </c>
      <c r="C180" t="s">
        <v>154</v>
      </c>
      <c r="D180" t="s">
        <v>155</v>
      </c>
      <c r="E180" s="11" t="s">
        <v>128</v>
      </c>
      <c r="F180" s="6">
        <v>949719738</v>
      </c>
      <c r="G180" s="19" t="s">
        <v>156</v>
      </c>
      <c r="H180" s="11" t="s">
        <v>21</v>
      </c>
      <c r="I180" s="20">
        <v>20601646367</v>
      </c>
      <c r="K180" s="11" t="s">
        <v>157</v>
      </c>
      <c r="L180" s="11"/>
      <c r="M180" s="15" t="s">
        <v>76</v>
      </c>
      <c r="N180" t="s">
        <v>58</v>
      </c>
      <c r="O180" t="s">
        <v>38</v>
      </c>
      <c r="P180" s="1" t="s">
        <v>383</v>
      </c>
      <c r="Q180" t="s">
        <v>12</v>
      </c>
      <c r="S180" t="s">
        <v>224</v>
      </c>
      <c r="T180" s="6">
        <v>7999</v>
      </c>
      <c r="V180">
        <v>44</v>
      </c>
    </row>
    <row r="181" spans="1:22" x14ac:dyDescent="0.25">
      <c r="A181">
        <v>181</v>
      </c>
      <c r="B181" s="22">
        <v>45960</v>
      </c>
      <c r="C181" t="s">
        <v>154</v>
      </c>
      <c r="D181" t="s">
        <v>155</v>
      </c>
      <c r="E181" s="11" t="s">
        <v>128</v>
      </c>
      <c r="F181" s="6">
        <v>949719738</v>
      </c>
      <c r="G181" s="19" t="s">
        <v>156</v>
      </c>
      <c r="H181" s="11" t="s">
        <v>21</v>
      </c>
      <c r="I181" s="20">
        <v>20601646367</v>
      </c>
      <c r="K181" s="11" t="s">
        <v>157</v>
      </c>
      <c r="L181" s="11"/>
      <c r="M181" s="15" t="s">
        <v>76</v>
      </c>
      <c r="N181" t="s">
        <v>58</v>
      </c>
      <c r="O181" t="s">
        <v>38</v>
      </c>
      <c r="P181" s="1" t="s">
        <v>383</v>
      </c>
      <c r="Q181" t="s">
        <v>12</v>
      </c>
      <c r="S181" t="s">
        <v>225</v>
      </c>
      <c r="T181" s="6">
        <v>6500</v>
      </c>
      <c r="V181">
        <v>44</v>
      </c>
    </row>
    <row r="182" spans="1:22" ht="30" x14ac:dyDescent="0.25">
      <c r="A182">
        <v>182</v>
      </c>
      <c r="B182" s="22">
        <v>45960</v>
      </c>
      <c r="C182" t="s">
        <v>49</v>
      </c>
      <c r="D182" t="s">
        <v>190</v>
      </c>
      <c r="E182" s="11" t="s">
        <v>128</v>
      </c>
      <c r="F182" s="6">
        <v>971763270</v>
      </c>
      <c r="G182" s="19" t="s">
        <v>191</v>
      </c>
      <c r="H182" s="11" t="s">
        <v>19</v>
      </c>
      <c r="I182" s="16" t="s">
        <v>192</v>
      </c>
      <c r="K182" s="11" t="s">
        <v>140</v>
      </c>
      <c r="L182" s="11"/>
      <c r="M182" s="15" t="s">
        <v>57</v>
      </c>
      <c r="N182" t="s">
        <v>58</v>
      </c>
      <c r="O182" t="s">
        <v>38</v>
      </c>
      <c r="P182" s="1" t="s">
        <v>286</v>
      </c>
      <c r="Q182" t="s">
        <v>12</v>
      </c>
      <c r="S182" t="s">
        <v>287</v>
      </c>
      <c r="T182" s="6">
        <v>6949</v>
      </c>
      <c r="V182">
        <v>44</v>
      </c>
    </row>
    <row r="183" spans="1:22" ht="30" x14ac:dyDescent="0.25">
      <c r="A183">
        <v>183</v>
      </c>
      <c r="B183" s="22">
        <v>45960</v>
      </c>
      <c r="C183" t="s">
        <v>49</v>
      </c>
      <c r="D183" t="s">
        <v>195</v>
      </c>
      <c r="E183" s="11"/>
      <c r="F183" s="6">
        <v>990216016</v>
      </c>
      <c r="G183" s="19" t="s">
        <v>196</v>
      </c>
      <c r="H183" s="11" t="s">
        <v>228</v>
      </c>
      <c r="I183" s="16"/>
      <c r="K183" s="11"/>
      <c r="L183" s="11"/>
      <c r="M183" s="15" t="s">
        <v>57</v>
      </c>
      <c r="N183" t="s">
        <v>58</v>
      </c>
      <c r="O183" t="s">
        <v>38</v>
      </c>
      <c r="P183" s="25" t="s">
        <v>384</v>
      </c>
      <c r="Q183" t="s">
        <v>64</v>
      </c>
      <c r="T183" s="6"/>
      <c r="V183">
        <v>44</v>
      </c>
    </row>
    <row r="184" spans="1:22" ht="30" x14ac:dyDescent="0.25">
      <c r="A184">
        <v>184</v>
      </c>
      <c r="B184" s="22">
        <v>45960</v>
      </c>
      <c r="C184" t="s">
        <v>49</v>
      </c>
      <c r="D184" t="s">
        <v>240</v>
      </c>
      <c r="E184" s="11"/>
      <c r="F184" s="6">
        <v>931055469</v>
      </c>
      <c r="G184" s="19" t="s">
        <v>241</v>
      </c>
      <c r="H184" s="11" t="s">
        <v>228</v>
      </c>
      <c r="I184" s="16"/>
      <c r="K184" s="11"/>
      <c r="L184" s="11"/>
      <c r="M184" s="15"/>
      <c r="N184" t="s">
        <v>58</v>
      </c>
      <c r="O184" t="s">
        <v>38</v>
      </c>
      <c r="P184" s="25" t="s">
        <v>385</v>
      </c>
      <c r="Q184" t="s">
        <v>64</v>
      </c>
      <c r="T184" s="6"/>
      <c r="V184">
        <v>44</v>
      </c>
    </row>
    <row r="185" spans="1:22" ht="30" x14ac:dyDescent="0.25">
      <c r="A185">
        <v>185</v>
      </c>
      <c r="B185" s="22">
        <v>45960</v>
      </c>
      <c r="C185" t="s">
        <v>49</v>
      </c>
      <c r="D185" t="s">
        <v>26</v>
      </c>
      <c r="E185" s="11"/>
      <c r="F185" s="6">
        <v>959916260</v>
      </c>
      <c r="G185" s="19" t="s">
        <v>243</v>
      </c>
      <c r="H185" t="s">
        <v>26</v>
      </c>
      <c r="I185" s="16"/>
      <c r="K185" s="11"/>
      <c r="L185" s="15" t="s">
        <v>290</v>
      </c>
      <c r="M185" s="15" t="s">
        <v>57</v>
      </c>
      <c r="N185" t="s">
        <v>58</v>
      </c>
      <c r="O185" t="s">
        <v>38</v>
      </c>
      <c r="P185" s="1" t="s">
        <v>386</v>
      </c>
      <c r="Q185" t="s">
        <v>12</v>
      </c>
      <c r="S185" t="s">
        <v>292</v>
      </c>
      <c r="T185" s="6">
        <v>4340</v>
      </c>
      <c r="V185">
        <v>44</v>
      </c>
    </row>
    <row r="186" spans="1:22" ht="30" x14ac:dyDescent="0.25">
      <c r="A186">
        <v>186</v>
      </c>
      <c r="B186" s="22">
        <v>45960</v>
      </c>
      <c r="C186" t="s">
        <v>49</v>
      </c>
      <c r="D186" t="s">
        <v>255</v>
      </c>
      <c r="E186" s="11" t="s">
        <v>256</v>
      </c>
      <c r="F186" s="6">
        <v>3487500</v>
      </c>
      <c r="G186" s="19" t="s">
        <v>257</v>
      </c>
      <c r="H186" s="11" t="s">
        <v>258</v>
      </c>
      <c r="I186" s="16"/>
      <c r="K186" s="11"/>
      <c r="L186" s="11"/>
      <c r="M186" s="15" t="s">
        <v>76</v>
      </c>
      <c r="O186" t="s">
        <v>70</v>
      </c>
      <c r="P186" s="27" t="s">
        <v>387</v>
      </c>
      <c r="Q186" t="s">
        <v>78</v>
      </c>
      <c r="T186" s="6"/>
      <c r="V186">
        <v>44</v>
      </c>
    </row>
    <row r="187" spans="1:22" ht="45" x14ac:dyDescent="0.25">
      <c r="A187">
        <v>187</v>
      </c>
      <c r="B187" s="22">
        <v>45960</v>
      </c>
      <c r="C187" t="s">
        <v>49</v>
      </c>
      <c r="D187" s="1" t="s">
        <v>297</v>
      </c>
      <c r="E187" s="11" t="s">
        <v>298</v>
      </c>
      <c r="F187" s="6" t="s">
        <v>299</v>
      </c>
      <c r="G187" s="19" t="s">
        <v>300</v>
      </c>
      <c r="H187" s="11" t="s">
        <v>301</v>
      </c>
      <c r="I187" s="19" t="s">
        <v>300</v>
      </c>
      <c r="K187" s="11" t="s">
        <v>157</v>
      </c>
      <c r="L187" s="11"/>
      <c r="M187" s="15" t="s">
        <v>57</v>
      </c>
      <c r="O187" t="s">
        <v>70</v>
      </c>
      <c r="P187" s="1" t="s">
        <v>388</v>
      </c>
      <c r="Q187" t="s">
        <v>78</v>
      </c>
      <c r="T187" s="6"/>
      <c r="V187">
        <v>44</v>
      </c>
    </row>
    <row r="188" spans="1:22" ht="30" x14ac:dyDescent="0.25">
      <c r="A188">
        <v>188</v>
      </c>
      <c r="B188" s="22">
        <v>45960</v>
      </c>
      <c r="C188" t="s">
        <v>49</v>
      </c>
      <c r="D188" s="1"/>
      <c r="E188" s="11" t="s">
        <v>303</v>
      </c>
      <c r="F188" s="6">
        <v>2660155</v>
      </c>
      <c r="G188" s="19"/>
      <c r="H188" s="11" t="s">
        <v>304</v>
      </c>
      <c r="I188" s="19"/>
      <c r="K188" s="11"/>
      <c r="L188" s="11"/>
      <c r="M188" s="15"/>
      <c r="O188" t="s">
        <v>70</v>
      </c>
      <c r="P188" s="27" t="s">
        <v>326</v>
      </c>
      <c r="Q188" t="s">
        <v>78</v>
      </c>
      <c r="T188" s="6"/>
      <c r="V188">
        <v>44</v>
      </c>
    </row>
    <row r="189" spans="1:22" ht="30" x14ac:dyDescent="0.25">
      <c r="A189">
        <v>189</v>
      </c>
      <c r="B189" s="22">
        <v>45960</v>
      </c>
      <c r="C189" t="s">
        <v>49</v>
      </c>
      <c r="D189" s="1" t="s">
        <v>306</v>
      </c>
      <c r="E189" s="11"/>
      <c r="F189" s="6">
        <v>946686156</v>
      </c>
      <c r="G189" s="19"/>
      <c r="H189" s="1" t="s">
        <v>306</v>
      </c>
      <c r="I189" s="19"/>
      <c r="K189" s="11" t="s">
        <v>68</v>
      </c>
      <c r="L189" s="11"/>
      <c r="M189" s="15" t="s">
        <v>76</v>
      </c>
      <c r="O189" t="s">
        <v>38</v>
      </c>
      <c r="P189" s="1" t="s">
        <v>389</v>
      </c>
      <c r="Q189" t="s">
        <v>12</v>
      </c>
      <c r="S189" t="s">
        <v>308</v>
      </c>
      <c r="T189" s="6">
        <v>6949</v>
      </c>
      <c r="V189">
        <v>44</v>
      </c>
    </row>
    <row r="190" spans="1:22" x14ac:dyDescent="0.25">
      <c r="A190">
        <v>190</v>
      </c>
      <c r="B190" s="22">
        <v>45960</v>
      </c>
      <c r="C190" t="s">
        <v>49</v>
      </c>
      <c r="D190" s="1" t="s">
        <v>328</v>
      </c>
      <c r="E190" s="11" t="s">
        <v>329</v>
      </c>
      <c r="F190" s="6">
        <v>6516888</v>
      </c>
      <c r="G190" s="19" t="s">
        <v>330</v>
      </c>
      <c r="H190" s="11" t="s">
        <v>331</v>
      </c>
      <c r="I190" s="19"/>
      <c r="K190" s="11" t="s">
        <v>68</v>
      </c>
      <c r="L190" s="11" t="s">
        <v>246</v>
      </c>
      <c r="M190" s="15" t="s">
        <v>76</v>
      </c>
      <c r="O190" t="s">
        <v>70</v>
      </c>
      <c r="P190" s="1" t="s">
        <v>390</v>
      </c>
      <c r="Q190" t="s">
        <v>78</v>
      </c>
      <c r="T190" s="6"/>
      <c r="V190">
        <v>44</v>
      </c>
    </row>
    <row r="191" spans="1:22" ht="45" x14ac:dyDescent="0.25">
      <c r="A191">
        <v>191</v>
      </c>
      <c r="B191" s="22">
        <v>45960</v>
      </c>
      <c r="C191" t="s">
        <v>49</v>
      </c>
      <c r="D191" s="1" t="s">
        <v>333</v>
      </c>
      <c r="E191" s="11" t="s">
        <v>334</v>
      </c>
      <c r="F191" s="6">
        <v>6195200</v>
      </c>
      <c r="G191" s="19"/>
      <c r="H191" s="1" t="s">
        <v>335</v>
      </c>
      <c r="I191" s="19"/>
      <c r="K191" s="11" t="s">
        <v>68</v>
      </c>
      <c r="L191" s="11" t="s">
        <v>246</v>
      </c>
      <c r="M191" s="15" t="s">
        <v>76</v>
      </c>
      <c r="O191" t="s">
        <v>70</v>
      </c>
      <c r="P191" s="1" t="s">
        <v>336</v>
      </c>
      <c r="Q191" t="s">
        <v>78</v>
      </c>
      <c r="T191" s="6"/>
      <c r="V191">
        <f>WEEKNUM(CRM[[#This Row],[Fecha]])</f>
        <v>44</v>
      </c>
    </row>
    <row r="192" spans="1:22" ht="30" x14ac:dyDescent="0.25">
      <c r="A192">
        <v>192</v>
      </c>
      <c r="B192" s="22">
        <v>45960</v>
      </c>
      <c r="C192" t="s">
        <v>49</v>
      </c>
      <c r="D192" t="s">
        <v>337</v>
      </c>
      <c r="E192" t="s">
        <v>338</v>
      </c>
      <c r="F192" t="s">
        <v>339</v>
      </c>
      <c r="G192" s="19" t="s">
        <v>340</v>
      </c>
      <c r="H192" t="s">
        <v>341</v>
      </c>
      <c r="K192" s="11" t="s">
        <v>68</v>
      </c>
      <c r="L192" s="11" t="s">
        <v>246</v>
      </c>
      <c r="M192" s="15" t="s">
        <v>76</v>
      </c>
      <c r="O192" t="s">
        <v>70</v>
      </c>
      <c r="P192" s="1" t="s">
        <v>391</v>
      </c>
      <c r="Q192" t="s">
        <v>78</v>
      </c>
      <c r="T192" s="6"/>
      <c r="V192">
        <f>WEEKNUM(CRM[[#This Row],[Fecha]])</f>
        <v>44</v>
      </c>
    </row>
    <row r="193" spans="1:22" ht="30" x14ac:dyDescent="0.25">
      <c r="A193">
        <v>193</v>
      </c>
      <c r="B193" s="22">
        <v>45960</v>
      </c>
      <c r="C193" t="s">
        <v>49</v>
      </c>
      <c r="D193" t="s">
        <v>392</v>
      </c>
      <c r="E193" t="s">
        <v>344</v>
      </c>
      <c r="F193" s="6">
        <v>930932772</v>
      </c>
      <c r="H193" t="s">
        <v>345</v>
      </c>
      <c r="K193" s="11" t="s">
        <v>68</v>
      </c>
      <c r="L193" s="11" t="s">
        <v>246</v>
      </c>
      <c r="M193" s="15" t="s">
        <v>76</v>
      </c>
      <c r="O193" t="s">
        <v>70</v>
      </c>
      <c r="P193" s="1" t="s">
        <v>393</v>
      </c>
      <c r="Q193" t="s">
        <v>78</v>
      </c>
      <c r="T193" s="6"/>
      <c r="V193">
        <f>WEEKNUM(CRM[[#This Row],[Fecha]])</f>
        <v>44</v>
      </c>
    </row>
    <row r="194" spans="1:22" x14ac:dyDescent="0.25">
      <c r="A194">
        <v>194</v>
      </c>
      <c r="B194" s="22">
        <v>45960</v>
      </c>
      <c r="C194" t="s">
        <v>49</v>
      </c>
      <c r="E194" s="11" t="s">
        <v>303</v>
      </c>
      <c r="F194" s="6">
        <v>914773118</v>
      </c>
      <c r="H194" t="s">
        <v>347</v>
      </c>
      <c r="K194" t="s">
        <v>68</v>
      </c>
      <c r="L194" t="s">
        <v>348</v>
      </c>
      <c r="M194" s="15" t="s">
        <v>76</v>
      </c>
      <c r="O194" t="s">
        <v>70</v>
      </c>
      <c r="P194" s="1" t="s">
        <v>394</v>
      </c>
      <c r="Q194" t="s">
        <v>78</v>
      </c>
      <c r="T194" s="6"/>
      <c r="V194">
        <f>WEEKNUM(CRM[[#This Row],[Fecha]])</f>
        <v>44</v>
      </c>
    </row>
    <row r="195" spans="1:22" ht="30" x14ac:dyDescent="0.25">
      <c r="A195">
        <v>195</v>
      </c>
      <c r="B195" s="22">
        <v>45960</v>
      </c>
      <c r="C195" t="s">
        <v>49</v>
      </c>
      <c r="D195" t="s">
        <v>303</v>
      </c>
      <c r="E195" t="s">
        <v>350</v>
      </c>
      <c r="F195" s="6">
        <v>968213093</v>
      </c>
      <c r="H195" t="s">
        <v>350</v>
      </c>
      <c r="K195" t="s">
        <v>74</v>
      </c>
      <c r="L195" t="s">
        <v>351</v>
      </c>
      <c r="M195" s="15" t="s">
        <v>76</v>
      </c>
      <c r="O195" t="s">
        <v>70</v>
      </c>
      <c r="P195" s="29" t="s">
        <v>395</v>
      </c>
      <c r="Q195" t="s">
        <v>64</v>
      </c>
      <c r="T195" s="6"/>
      <c r="V195">
        <f>WEEKNUM(CRM[[#This Row],[Fecha]])</f>
        <v>44</v>
      </c>
    </row>
    <row r="196" spans="1:22" ht="45" x14ac:dyDescent="0.25">
      <c r="A196">
        <v>196</v>
      </c>
      <c r="B196" s="22">
        <v>45961</v>
      </c>
      <c r="C196" t="s">
        <v>49</v>
      </c>
      <c r="D196" t="s">
        <v>371</v>
      </c>
      <c r="E196" t="s">
        <v>372</v>
      </c>
      <c r="F196" s="6">
        <v>975031155</v>
      </c>
      <c r="G196" s="19" t="s">
        <v>373</v>
      </c>
      <c r="H196" t="s">
        <v>30</v>
      </c>
      <c r="I196" s="6">
        <v>20610091017</v>
      </c>
      <c r="K196" t="s">
        <v>68</v>
      </c>
      <c r="L196" t="s">
        <v>374</v>
      </c>
      <c r="M196" t="s">
        <v>76</v>
      </c>
      <c r="O196" t="s">
        <v>38</v>
      </c>
      <c r="P196" s="1" t="s">
        <v>31</v>
      </c>
      <c r="Q196" t="s">
        <v>12</v>
      </c>
      <c r="S196" t="s">
        <v>376</v>
      </c>
      <c r="T196" s="6">
        <v>4340</v>
      </c>
      <c r="V196">
        <v>44</v>
      </c>
    </row>
    <row r="197" spans="1:22" ht="45" x14ac:dyDescent="0.25">
      <c r="A197">
        <v>197</v>
      </c>
      <c r="B197" s="22">
        <v>45961</v>
      </c>
      <c r="C197" t="s">
        <v>49</v>
      </c>
      <c r="D197" t="s">
        <v>9</v>
      </c>
      <c r="E197" s="11"/>
      <c r="F197" s="6">
        <v>915244218</v>
      </c>
      <c r="G197" s="19" t="s">
        <v>198</v>
      </c>
      <c r="H197" t="s">
        <v>9</v>
      </c>
      <c r="I197" s="16" t="s">
        <v>200</v>
      </c>
      <c r="K197" s="11" t="s">
        <v>68</v>
      </c>
      <c r="L197" s="11" t="s">
        <v>201</v>
      </c>
      <c r="M197" s="15" t="s">
        <v>57</v>
      </c>
      <c r="O197" t="s">
        <v>38</v>
      </c>
      <c r="P197" s="15" t="s">
        <v>10</v>
      </c>
      <c r="Q197" s="1" t="s">
        <v>1</v>
      </c>
      <c r="S197" t="s">
        <v>203</v>
      </c>
      <c r="T197" s="6">
        <v>4340</v>
      </c>
      <c r="V197">
        <v>44</v>
      </c>
    </row>
    <row r="198" spans="1:22" ht="30" x14ac:dyDescent="0.25">
      <c r="A198">
        <v>198</v>
      </c>
      <c r="B198" s="22">
        <v>45961</v>
      </c>
      <c r="C198" t="s">
        <v>49</v>
      </c>
      <c r="D198" t="s">
        <v>228</v>
      </c>
      <c r="E198" s="11"/>
      <c r="F198" s="6">
        <v>960191115</v>
      </c>
      <c r="G198" s="19" t="s">
        <v>228</v>
      </c>
      <c r="H198" s="16" t="s">
        <v>228</v>
      </c>
      <c r="I198" s="16" t="s">
        <v>228</v>
      </c>
      <c r="K198" s="11" t="s">
        <v>228</v>
      </c>
      <c r="L198" s="11" t="s">
        <v>228</v>
      </c>
      <c r="M198" s="15" t="s">
        <v>57</v>
      </c>
      <c r="O198" t="s">
        <v>38</v>
      </c>
      <c r="P198" s="24" t="s">
        <v>396</v>
      </c>
      <c r="Q198" t="s">
        <v>64</v>
      </c>
      <c r="T198" s="6"/>
      <c r="V198">
        <v>44</v>
      </c>
    </row>
    <row r="199" spans="1:22" ht="30" x14ac:dyDescent="0.25">
      <c r="A199">
        <v>199</v>
      </c>
      <c r="B199" s="22">
        <v>45961</v>
      </c>
      <c r="C199" t="s">
        <v>49</v>
      </c>
      <c r="D199" t="s">
        <v>205</v>
      </c>
      <c r="E199" s="11"/>
      <c r="F199" s="6">
        <v>931775092</v>
      </c>
      <c r="G199" s="19" t="s">
        <v>206</v>
      </c>
      <c r="H199" s="1" t="s">
        <v>28</v>
      </c>
      <c r="I199" s="16" t="s">
        <v>208</v>
      </c>
      <c r="K199" s="11" t="s">
        <v>140</v>
      </c>
      <c r="L199" s="11"/>
      <c r="M199" s="15" t="s">
        <v>57</v>
      </c>
      <c r="O199" t="s">
        <v>38</v>
      </c>
      <c r="P199" s="25" t="s">
        <v>29</v>
      </c>
      <c r="Q199" t="s">
        <v>12</v>
      </c>
      <c r="S199" t="s">
        <v>210</v>
      </c>
      <c r="T199" s="6">
        <v>6949</v>
      </c>
      <c r="V199">
        <v>44</v>
      </c>
    </row>
    <row r="200" spans="1:22" ht="30" x14ac:dyDescent="0.25">
      <c r="A200">
        <v>200</v>
      </c>
      <c r="B200" s="22">
        <v>45961</v>
      </c>
      <c r="C200" t="s">
        <v>49</v>
      </c>
      <c r="D200" t="s">
        <v>228</v>
      </c>
      <c r="E200" s="11"/>
      <c r="F200" s="6">
        <v>966488772</v>
      </c>
      <c r="G200" s="19" t="s">
        <v>228</v>
      </c>
      <c r="H200" s="11" t="s">
        <v>228</v>
      </c>
      <c r="I200" s="16" t="s">
        <v>228</v>
      </c>
      <c r="K200" s="11" t="s">
        <v>228</v>
      </c>
      <c r="L200" s="11" t="s">
        <v>228</v>
      </c>
      <c r="M200" s="15"/>
      <c r="O200" t="s">
        <v>38</v>
      </c>
      <c r="P200" s="24" t="s">
        <v>27</v>
      </c>
      <c r="Q200" t="s">
        <v>64</v>
      </c>
      <c r="T200" s="6"/>
      <c r="V200">
        <v>44</v>
      </c>
    </row>
    <row r="201" spans="1:22" x14ac:dyDescent="0.25">
      <c r="A201">
        <v>201</v>
      </c>
      <c r="B201" s="22">
        <v>45961</v>
      </c>
      <c r="C201" t="s">
        <v>49</v>
      </c>
      <c r="D201" t="s">
        <v>312</v>
      </c>
      <c r="E201" s="11"/>
      <c r="F201" s="6">
        <v>932400450</v>
      </c>
      <c r="G201" s="19" t="s">
        <v>228</v>
      </c>
      <c r="H201" s="11" t="s">
        <v>228</v>
      </c>
      <c r="I201" s="16" t="s">
        <v>228</v>
      </c>
      <c r="K201" s="11" t="s">
        <v>228</v>
      </c>
      <c r="L201" s="11" t="s">
        <v>228</v>
      </c>
      <c r="M201" s="15"/>
      <c r="O201" t="s">
        <v>38</v>
      </c>
      <c r="P201" s="25" t="s">
        <v>397</v>
      </c>
      <c r="Q201" t="s">
        <v>78</v>
      </c>
      <c r="T201" s="6"/>
      <c r="V201">
        <v>44</v>
      </c>
    </row>
    <row r="202" spans="1:22" x14ac:dyDescent="0.25">
      <c r="A202">
        <v>202</v>
      </c>
      <c r="B202" s="22">
        <v>45961</v>
      </c>
      <c r="C202" t="s">
        <v>49</v>
      </c>
      <c r="E202" s="11"/>
      <c r="F202" s="6">
        <v>994894905</v>
      </c>
      <c r="G202" s="19" t="s">
        <v>114</v>
      </c>
      <c r="H202" s="11" t="s">
        <v>115</v>
      </c>
      <c r="I202" s="16"/>
      <c r="K202" s="11" t="s">
        <v>68</v>
      </c>
      <c r="L202" s="11" t="s">
        <v>116</v>
      </c>
      <c r="M202" s="15" t="s">
        <v>76</v>
      </c>
      <c r="O202" t="s">
        <v>70</v>
      </c>
      <c r="P202" s="30" t="s">
        <v>398</v>
      </c>
      <c r="Q202" t="s">
        <v>399</v>
      </c>
      <c r="T202" s="6"/>
      <c r="V202">
        <v>44</v>
      </c>
    </row>
    <row r="203" spans="1:22" ht="60" x14ac:dyDescent="0.25">
      <c r="A203">
        <v>203</v>
      </c>
      <c r="B203" s="22">
        <v>45961</v>
      </c>
      <c r="C203" t="s">
        <v>49</v>
      </c>
      <c r="D203" t="s">
        <v>400</v>
      </c>
      <c r="E203" s="11" t="s">
        <v>401</v>
      </c>
      <c r="F203" s="6">
        <v>997556407</v>
      </c>
      <c r="G203" s="19" t="s">
        <v>402</v>
      </c>
      <c r="H203" s="11" t="s">
        <v>119</v>
      </c>
      <c r="I203" s="16"/>
      <c r="K203" s="11" t="s">
        <v>68</v>
      </c>
      <c r="L203" s="11" t="s">
        <v>116</v>
      </c>
      <c r="M203" s="15" t="s">
        <v>76</v>
      </c>
      <c r="O203" t="s">
        <v>70</v>
      </c>
      <c r="P203" s="29" t="s">
        <v>403</v>
      </c>
      <c r="Q203" t="s">
        <v>78</v>
      </c>
      <c r="T203" s="6"/>
      <c r="V203">
        <v>44</v>
      </c>
    </row>
    <row r="204" spans="1:22" ht="30" x14ac:dyDescent="0.25">
      <c r="A204">
        <v>204</v>
      </c>
      <c r="B204" s="22">
        <v>45961</v>
      </c>
      <c r="C204" t="s">
        <v>49</v>
      </c>
      <c r="D204" t="s">
        <v>127</v>
      </c>
      <c r="E204" s="11" t="s">
        <v>128</v>
      </c>
      <c r="F204" s="6">
        <v>984755140</v>
      </c>
      <c r="G204" s="19" t="s">
        <v>129</v>
      </c>
      <c r="H204" s="11" t="s">
        <v>15</v>
      </c>
      <c r="I204" s="20">
        <v>10720799494</v>
      </c>
      <c r="K204" s="11" t="s">
        <v>130</v>
      </c>
      <c r="L204" s="11"/>
      <c r="M204" s="15" t="s">
        <v>76</v>
      </c>
      <c r="N204" t="s">
        <v>58</v>
      </c>
      <c r="O204" t="s">
        <v>38</v>
      </c>
      <c r="P204" s="25" t="s">
        <v>16</v>
      </c>
      <c r="Q204" t="s">
        <v>12</v>
      </c>
      <c r="T204" s="6"/>
      <c r="V204">
        <v>44</v>
      </c>
    </row>
    <row r="205" spans="1:22" ht="60" x14ac:dyDescent="0.25">
      <c r="A205">
        <v>205</v>
      </c>
      <c r="B205" s="22">
        <v>45961</v>
      </c>
      <c r="C205" t="s">
        <v>49</v>
      </c>
      <c r="D205" t="s">
        <v>148</v>
      </c>
      <c r="E205" s="11" t="s">
        <v>128</v>
      </c>
      <c r="F205" s="6">
        <v>905824331</v>
      </c>
      <c r="G205" s="19" t="s">
        <v>149</v>
      </c>
      <c r="H205" t="s">
        <v>463</v>
      </c>
      <c r="I205" s="20" t="s">
        <v>134</v>
      </c>
      <c r="K205" s="11" t="s">
        <v>140</v>
      </c>
      <c r="L205" s="11"/>
      <c r="M205" s="15" t="s">
        <v>57</v>
      </c>
      <c r="N205" t="s">
        <v>58</v>
      </c>
      <c r="O205" t="s">
        <v>38</v>
      </c>
      <c r="P205" s="1" t="s">
        <v>8</v>
      </c>
      <c r="Q205" s="1" t="s">
        <v>1</v>
      </c>
      <c r="S205" t="s">
        <v>180</v>
      </c>
      <c r="T205" s="6">
        <v>4340</v>
      </c>
      <c r="V205">
        <v>44</v>
      </c>
    </row>
    <row r="206" spans="1:22" ht="60" x14ac:dyDescent="0.25">
      <c r="A206">
        <v>206</v>
      </c>
      <c r="B206" s="22">
        <v>45961</v>
      </c>
      <c r="C206" t="s">
        <v>49</v>
      </c>
      <c r="D206" t="s">
        <v>138</v>
      </c>
      <c r="E206" s="11" t="s">
        <v>128</v>
      </c>
      <c r="F206" s="6">
        <v>927100074</v>
      </c>
      <c r="G206" s="19" t="s">
        <v>139</v>
      </c>
      <c r="H206" s="11" t="s">
        <v>17</v>
      </c>
      <c r="I206" s="20">
        <v>20609379821</v>
      </c>
      <c r="K206" s="11" t="s">
        <v>140</v>
      </c>
      <c r="L206" s="11"/>
      <c r="M206" s="15" t="s">
        <v>57</v>
      </c>
      <c r="N206" t="s">
        <v>58</v>
      </c>
      <c r="O206" t="s">
        <v>38</v>
      </c>
      <c r="P206" s="26" t="s">
        <v>18</v>
      </c>
      <c r="Q206" t="s">
        <v>12</v>
      </c>
      <c r="S206" t="s">
        <v>143</v>
      </c>
      <c r="T206" s="6">
        <v>4340</v>
      </c>
      <c r="V206">
        <v>44</v>
      </c>
    </row>
    <row r="207" spans="1:22" ht="45" x14ac:dyDescent="0.25">
      <c r="A207">
        <v>207</v>
      </c>
      <c r="B207" s="22">
        <v>45961</v>
      </c>
      <c r="C207" t="s">
        <v>49</v>
      </c>
      <c r="D207" t="s">
        <v>144</v>
      </c>
      <c r="E207" s="11" t="s">
        <v>128</v>
      </c>
      <c r="F207" s="6">
        <v>950308250</v>
      </c>
      <c r="G207" s="19" t="s">
        <v>145</v>
      </c>
      <c r="H207" s="11" t="s">
        <v>24</v>
      </c>
      <c r="I207" s="20">
        <v>20614800659</v>
      </c>
      <c r="K207" s="11" t="s">
        <v>140</v>
      </c>
      <c r="L207" s="11"/>
      <c r="M207" s="15" t="s">
        <v>57</v>
      </c>
      <c r="N207" t="s">
        <v>58</v>
      </c>
      <c r="O207" t="s">
        <v>38</v>
      </c>
      <c r="P207" s="29" t="s">
        <v>25</v>
      </c>
      <c r="Q207" t="s">
        <v>12</v>
      </c>
      <c r="S207" t="s">
        <v>404</v>
      </c>
      <c r="T207" s="6">
        <v>4340</v>
      </c>
      <c r="V207">
        <v>44</v>
      </c>
    </row>
    <row r="208" spans="1:22" ht="30" x14ac:dyDescent="0.25">
      <c r="A208">
        <v>208</v>
      </c>
      <c r="B208" s="22">
        <v>45961</v>
      </c>
      <c r="C208" t="s">
        <v>154</v>
      </c>
      <c r="D208" t="s">
        <v>155</v>
      </c>
      <c r="E208" s="11" t="s">
        <v>128</v>
      </c>
      <c r="F208" s="6">
        <v>949719738</v>
      </c>
      <c r="G208" s="19" t="s">
        <v>156</v>
      </c>
      <c r="H208" s="11" t="s">
        <v>21</v>
      </c>
      <c r="I208" s="20">
        <v>20601646367</v>
      </c>
      <c r="K208" s="11" t="s">
        <v>157</v>
      </c>
      <c r="L208" s="11"/>
      <c r="M208" s="15" t="s">
        <v>76</v>
      </c>
      <c r="N208" t="s">
        <v>58</v>
      </c>
      <c r="O208" t="s">
        <v>38</v>
      </c>
      <c r="P208" s="1" t="s">
        <v>23</v>
      </c>
      <c r="Q208" t="s">
        <v>12</v>
      </c>
      <c r="S208" t="s">
        <v>405</v>
      </c>
      <c r="T208" s="6">
        <v>7999</v>
      </c>
      <c r="V208">
        <v>44</v>
      </c>
    </row>
    <row r="209" spans="1:22" x14ac:dyDescent="0.25">
      <c r="A209">
        <v>209</v>
      </c>
      <c r="B209" s="22">
        <v>45961</v>
      </c>
      <c r="C209" t="s">
        <v>154</v>
      </c>
      <c r="D209" t="s">
        <v>155</v>
      </c>
      <c r="E209" s="11" t="s">
        <v>128</v>
      </c>
      <c r="F209" s="6">
        <v>949719738</v>
      </c>
      <c r="G209" s="19" t="s">
        <v>156</v>
      </c>
      <c r="H209" s="11" t="s">
        <v>21</v>
      </c>
      <c r="I209" s="20">
        <v>20601646367</v>
      </c>
      <c r="K209" s="11" t="s">
        <v>157</v>
      </c>
      <c r="L209" s="11"/>
      <c r="M209" s="15" t="s">
        <v>76</v>
      </c>
      <c r="N209" t="s">
        <v>58</v>
      </c>
      <c r="O209" t="s">
        <v>38</v>
      </c>
      <c r="P209" s="29" t="s">
        <v>473</v>
      </c>
      <c r="Q209" t="s">
        <v>12</v>
      </c>
      <c r="S209" t="s">
        <v>406</v>
      </c>
      <c r="T209" s="6">
        <v>6500</v>
      </c>
      <c r="V209">
        <v>44</v>
      </c>
    </row>
    <row r="210" spans="1:22" ht="30" x14ac:dyDescent="0.25">
      <c r="A210">
        <v>210</v>
      </c>
      <c r="B210" s="22">
        <v>45961</v>
      </c>
      <c r="C210" t="s">
        <v>49</v>
      </c>
      <c r="D210" t="s">
        <v>190</v>
      </c>
      <c r="E210" s="11" t="s">
        <v>128</v>
      </c>
      <c r="F210" s="6">
        <v>971763270</v>
      </c>
      <c r="G210" s="19" t="s">
        <v>191</v>
      </c>
      <c r="H210" s="11" t="s">
        <v>19</v>
      </c>
      <c r="I210" s="16" t="s">
        <v>192</v>
      </c>
      <c r="K210" s="11" t="s">
        <v>140</v>
      </c>
      <c r="L210" s="11"/>
      <c r="M210" s="15" t="s">
        <v>57</v>
      </c>
      <c r="N210" t="s">
        <v>58</v>
      </c>
      <c r="O210" t="s">
        <v>38</v>
      </c>
      <c r="P210" s="1" t="s">
        <v>20</v>
      </c>
      <c r="Q210" t="s">
        <v>12</v>
      </c>
      <c r="S210" t="s">
        <v>287</v>
      </c>
      <c r="T210" s="6">
        <v>6949</v>
      </c>
      <c r="V210">
        <v>44</v>
      </c>
    </row>
    <row r="211" spans="1:22" ht="30" x14ac:dyDescent="0.25">
      <c r="A211">
        <v>211</v>
      </c>
      <c r="B211" s="22">
        <v>45961</v>
      </c>
      <c r="C211" t="s">
        <v>49</v>
      </c>
      <c r="D211" t="s">
        <v>195</v>
      </c>
      <c r="E211" s="11"/>
      <c r="F211" s="6">
        <v>990216016</v>
      </c>
      <c r="G211" s="19" t="s">
        <v>196</v>
      </c>
      <c r="H211" s="11" t="s">
        <v>228</v>
      </c>
      <c r="I211" s="16"/>
      <c r="K211" s="11"/>
      <c r="L211" s="11"/>
      <c r="M211" s="15" t="s">
        <v>57</v>
      </c>
      <c r="N211" t="s">
        <v>58</v>
      </c>
      <c r="O211" t="s">
        <v>38</v>
      </c>
      <c r="P211" s="25" t="s">
        <v>384</v>
      </c>
      <c r="Q211" t="s">
        <v>64</v>
      </c>
      <c r="T211" s="6"/>
      <c r="V211">
        <v>44</v>
      </c>
    </row>
    <row r="212" spans="1:22" ht="30" x14ac:dyDescent="0.25">
      <c r="A212">
        <v>212</v>
      </c>
      <c r="B212" s="22">
        <v>45961</v>
      </c>
      <c r="C212" t="s">
        <v>49</v>
      </c>
      <c r="D212" t="s">
        <v>240</v>
      </c>
      <c r="E212" s="11"/>
      <c r="F212" s="6">
        <v>931055469</v>
      </c>
      <c r="G212" s="19" t="s">
        <v>241</v>
      </c>
      <c r="H212" s="11" t="s">
        <v>228</v>
      </c>
      <c r="I212" s="16"/>
      <c r="K212" s="11"/>
      <c r="L212" s="11"/>
      <c r="M212" s="15"/>
      <c r="N212" t="s">
        <v>58</v>
      </c>
      <c r="O212" t="s">
        <v>38</v>
      </c>
      <c r="P212" s="25" t="s">
        <v>385</v>
      </c>
      <c r="Q212" t="s">
        <v>64</v>
      </c>
      <c r="T212" s="6"/>
      <c r="V212">
        <v>44</v>
      </c>
    </row>
    <row r="213" spans="1:22" ht="30" x14ac:dyDescent="0.25">
      <c r="A213">
        <v>213</v>
      </c>
      <c r="B213" s="22">
        <v>45961</v>
      </c>
      <c r="C213" t="s">
        <v>49</v>
      </c>
      <c r="D213" t="s">
        <v>26</v>
      </c>
      <c r="E213" s="11"/>
      <c r="F213" s="6">
        <v>959916260</v>
      </c>
      <c r="G213" s="19" t="s">
        <v>243</v>
      </c>
      <c r="H213" t="s">
        <v>26</v>
      </c>
      <c r="I213" s="16"/>
      <c r="K213" s="11"/>
      <c r="L213" s="15" t="s">
        <v>290</v>
      </c>
      <c r="M213" s="15" t="s">
        <v>57</v>
      </c>
      <c r="N213" t="s">
        <v>58</v>
      </c>
      <c r="O213" t="s">
        <v>38</v>
      </c>
      <c r="P213" s="25" t="s">
        <v>27</v>
      </c>
      <c r="Q213" t="s">
        <v>12</v>
      </c>
      <c r="S213" t="s">
        <v>292</v>
      </c>
      <c r="T213" s="6">
        <v>4340</v>
      </c>
      <c r="V213">
        <v>44</v>
      </c>
    </row>
    <row r="214" spans="1:22" ht="45" x14ac:dyDescent="0.25">
      <c r="A214">
        <v>214</v>
      </c>
      <c r="B214" s="22">
        <v>45961</v>
      </c>
      <c r="C214" t="s">
        <v>49</v>
      </c>
      <c r="D214" t="s">
        <v>255</v>
      </c>
      <c r="E214" s="11" t="s">
        <v>256</v>
      </c>
      <c r="F214" s="6">
        <v>3487500</v>
      </c>
      <c r="G214" s="19" t="s">
        <v>257</v>
      </c>
      <c r="H214" s="11" t="s">
        <v>258</v>
      </c>
      <c r="I214" s="16"/>
      <c r="K214" s="11"/>
      <c r="L214" s="11"/>
      <c r="M214" s="15" t="s">
        <v>76</v>
      </c>
      <c r="O214" t="s">
        <v>70</v>
      </c>
      <c r="P214" s="27" t="s">
        <v>407</v>
      </c>
      <c r="Q214" t="s">
        <v>78</v>
      </c>
      <c r="T214" s="6"/>
      <c r="V214">
        <v>44</v>
      </c>
    </row>
    <row r="215" spans="1:22" ht="45" x14ac:dyDescent="0.25">
      <c r="A215">
        <v>215</v>
      </c>
      <c r="B215" s="22">
        <v>45961</v>
      </c>
      <c r="C215" t="s">
        <v>49</v>
      </c>
      <c r="D215" s="1" t="s">
        <v>297</v>
      </c>
      <c r="E215" s="11" t="s">
        <v>298</v>
      </c>
      <c r="F215" s="6" t="s">
        <v>299</v>
      </c>
      <c r="G215" s="19" t="s">
        <v>300</v>
      </c>
      <c r="H215" s="11" t="s">
        <v>301</v>
      </c>
      <c r="I215" s="19" t="s">
        <v>300</v>
      </c>
      <c r="K215" s="11" t="s">
        <v>157</v>
      </c>
      <c r="L215" s="11"/>
      <c r="M215" s="15" t="s">
        <v>57</v>
      </c>
      <c r="O215" t="s">
        <v>70</v>
      </c>
      <c r="P215" s="1" t="s">
        <v>408</v>
      </c>
      <c r="Q215" t="s">
        <v>78</v>
      </c>
      <c r="T215" s="6"/>
      <c r="V215">
        <v>44</v>
      </c>
    </row>
    <row r="216" spans="1:22" x14ac:dyDescent="0.25">
      <c r="A216">
        <v>216</v>
      </c>
      <c r="B216" s="22">
        <v>45961</v>
      </c>
      <c r="C216" t="s">
        <v>49</v>
      </c>
      <c r="D216" s="1"/>
      <c r="E216" s="11" t="s">
        <v>303</v>
      </c>
      <c r="F216" s="6">
        <v>2660155</v>
      </c>
      <c r="G216" s="19"/>
      <c r="H216" s="11" t="s">
        <v>304</v>
      </c>
      <c r="I216" s="19"/>
      <c r="K216" s="11"/>
      <c r="L216" s="11"/>
      <c r="M216" s="15"/>
      <c r="O216" t="s">
        <v>70</v>
      </c>
      <c r="P216" s="1" t="s">
        <v>409</v>
      </c>
      <c r="Q216" t="s">
        <v>399</v>
      </c>
      <c r="T216" s="6"/>
      <c r="V216">
        <v>44</v>
      </c>
    </row>
    <row r="217" spans="1:22" ht="30" x14ac:dyDescent="0.25">
      <c r="A217">
        <v>217</v>
      </c>
      <c r="B217" s="22">
        <v>45961</v>
      </c>
      <c r="C217" t="s">
        <v>49</v>
      </c>
      <c r="D217" s="1" t="s">
        <v>306</v>
      </c>
      <c r="E217" s="11"/>
      <c r="F217" s="6">
        <v>946686156</v>
      </c>
      <c r="G217" s="19"/>
      <c r="H217" s="1" t="s">
        <v>306</v>
      </c>
      <c r="I217" s="19"/>
      <c r="K217" s="11" t="s">
        <v>68</v>
      </c>
      <c r="L217" s="11"/>
      <c r="M217" s="15" t="s">
        <v>76</v>
      </c>
      <c r="O217" t="s">
        <v>38</v>
      </c>
      <c r="P217" s="1" t="s">
        <v>410</v>
      </c>
      <c r="Q217" t="s">
        <v>399</v>
      </c>
      <c r="S217" t="s">
        <v>308</v>
      </c>
      <c r="T217" s="6">
        <v>6949</v>
      </c>
      <c r="V217">
        <v>44</v>
      </c>
    </row>
    <row r="218" spans="1:22" x14ac:dyDescent="0.25">
      <c r="A218">
        <v>218</v>
      </c>
      <c r="B218" s="22">
        <v>45961</v>
      </c>
      <c r="C218" t="s">
        <v>49</v>
      </c>
      <c r="D218" s="1" t="s">
        <v>328</v>
      </c>
      <c r="E218" s="11" t="s">
        <v>329</v>
      </c>
      <c r="F218" s="6">
        <v>6516888</v>
      </c>
      <c r="G218" s="19" t="s">
        <v>330</v>
      </c>
      <c r="H218" s="11" t="s">
        <v>331</v>
      </c>
      <c r="I218" s="19"/>
      <c r="K218" s="11" t="s">
        <v>68</v>
      </c>
      <c r="L218" s="11" t="s">
        <v>246</v>
      </c>
      <c r="M218" s="15" t="s">
        <v>76</v>
      </c>
      <c r="O218" t="s">
        <v>70</v>
      </c>
      <c r="P218" s="1" t="s">
        <v>390</v>
      </c>
      <c r="Q218" t="s">
        <v>78</v>
      </c>
      <c r="T218" s="6"/>
      <c r="V218">
        <v>44</v>
      </c>
    </row>
    <row r="219" spans="1:22" ht="45" x14ac:dyDescent="0.25">
      <c r="A219">
        <v>219</v>
      </c>
      <c r="B219" s="22">
        <v>45961</v>
      </c>
      <c r="C219" t="s">
        <v>49</v>
      </c>
      <c r="D219" s="1" t="s">
        <v>333</v>
      </c>
      <c r="E219" s="11" t="s">
        <v>334</v>
      </c>
      <c r="F219" s="6">
        <v>6195200</v>
      </c>
      <c r="G219" s="19"/>
      <c r="H219" s="1" t="s">
        <v>335</v>
      </c>
      <c r="I219" s="19"/>
      <c r="K219" s="11" t="s">
        <v>68</v>
      </c>
      <c r="L219" s="11" t="s">
        <v>246</v>
      </c>
      <c r="M219" s="15" t="s">
        <v>76</v>
      </c>
      <c r="O219" t="s">
        <v>70</v>
      </c>
      <c r="P219" s="1" t="s">
        <v>336</v>
      </c>
      <c r="Q219" t="s">
        <v>78</v>
      </c>
      <c r="T219" s="6"/>
      <c r="V219">
        <v>44</v>
      </c>
    </row>
    <row r="220" spans="1:22" x14ac:dyDescent="0.25">
      <c r="A220">
        <v>220</v>
      </c>
      <c r="B220" s="22">
        <v>45961</v>
      </c>
      <c r="C220" t="s">
        <v>49</v>
      </c>
      <c r="D220" t="s">
        <v>337</v>
      </c>
      <c r="E220" t="s">
        <v>338</v>
      </c>
      <c r="F220" t="s">
        <v>339</v>
      </c>
      <c r="G220" s="19" t="s">
        <v>340</v>
      </c>
      <c r="H220" t="s">
        <v>341</v>
      </c>
      <c r="K220" s="11" t="s">
        <v>68</v>
      </c>
      <c r="L220" s="11" t="s">
        <v>246</v>
      </c>
      <c r="M220" s="15" t="s">
        <v>76</v>
      </c>
      <c r="O220" t="s">
        <v>70</v>
      </c>
      <c r="P220" s="1" t="s">
        <v>411</v>
      </c>
      <c r="Q220" t="s">
        <v>78</v>
      </c>
      <c r="T220" s="6"/>
      <c r="V220">
        <v>44</v>
      </c>
    </row>
    <row r="221" spans="1:22" ht="30" x14ac:dyDescent="0.25">
      <c r="A221">
        <v>221</v>
      </c>
      <c r="B221" s="22">
        <v>45961</v>
      </c>
      <c r="C221" t="s">
        <v>49</v>
      </c>
      <c r="D221" t="s">
        <v>392</v>
      </c>
      <c r="E221" t="s">
        <v>344</v>
      </c>
      <c r="F221" s="6">
        <v>930932772</v>
      </c>
      <c r="H221" t="s">
        <v>345</v>
      </c>
      <c r="K221" s="11" t="s">
        <v>68</v>
      </c>
      <c r="L221" s="11" t="s">
        <v>246</v>
      </c>
      <c r="M221" s="15" t="s">
        <v>76</v>
      </c>
      <c r="O221" t="s">
        <v>70</v>
      </c>
      <c r="P221" s="1" t="s">
        <v>393</v>
      </c>
      <c r="Q221" t="s">
        <v>78</v>
      </c>
      <c r="T221" s="6"/>
      <c r="V221">
        <v>44</v>
      </c>
    </row>
    <row r="222" spans="1:22" x14ac:dyDescent="0.25">
      <c r="A222">
        <v>222</v>
      </c>
      <c r="B222" s="22">
        <v>45961</v>
      </c>
      <c r="C222" t="s">
        <v>49</v>
      </c>
      <c r="D222" t="s">
        <v>303</v>
      </c>
      <c r="E222" t="s">
        <v>350</v>
      </c>
      <c r="F222" s="6">
        <v>968213093</v>
      </c>
      <c r="H222" t="s">
        <v>350</v>
      </c>
      <c r="K222" t="s">
        <v>74</v>
      </c>
      <c r="L222" t="s">
        <v>351</v>
      </c>
      <c r="M222" s="15" t="s">
        <v>76</v>
      </c>
      <c r="O222" t="s">
        <v>70</v>
      </c>
      <c r="P222" s="1" t="s">
        <v>412</v>
      </c>
      <c r="Q222" t="s">
        <v>64</v>
      </c>
      <c r="T222" s="6"/>
      <c r="V222">
        <v>44</v>
      </c>
    </row>
    <row r="223" spans="1:22" x14ac:dyDescent="0.25">
      <c r="A223">
        <v>223</v>
      </c>
      <c r="B223" s="22">
        <v>45961</v>
      </c>
      <c r="C223" t="s">
        <v>49</v>
      </c>
      <c r="D223" t="s">
        <v>413</v>
      </c>
      <c r="E223" t="s">
        <v>414</v>
      </c>
      <c r="F223" s="6">
        <v>4249438</v>
      </c>
      <c r="G223" s="19" t="s">
        <v>415</v>
      </c>
      <c r="H223" t="s">
        <v>416</v>
      </c>
      <c r="K223" t="s">
        <v>68</v>
      </c>
      <c r="L223" t="s">
        <v>69</v>
      </c>
      <c r="M223" s="15" t="s">
        <v>76</v>
      </c>
      <c r="O223" t="s">
        <v>70</v>
      </c>
      <c r="P223" s="29" t="s">
        <v>417</v>
      </c>
      <c r="Q223" t="s">
        <v>78</v>
      </c>
      <c r="T223" s="6"/>
      <c r="V223">
        <v>44</v>
      </c>
    </row>
    <row r="224" spans="1:22" x14ac:dyDescent="0.25">
      <c r="A224">
        <v>224</v>
      </c>
      <c r="B224" s="22">
        <v>45961</v>
      </c>
      <c r="C224" t="s">
        <v>49</v>
      </c>
      <c r="D224" t="s">
        <v>418</v>
      </c>
      <c r="E224" t="s">
        <v>419</v>
      </c>
      <c r="F224" s="6">
        <v>4442829</v>
      </c>
      <c r="G224" s="19" t="s">
        <v>420</v>
      </c>
      <c r="H224" t="s">
        <v>421</v>
      </c>
      <c r="K224" t="s">
        <v>68</v>
      </c>
      <c r="L224" t="s">
        <v>69</v>
      </c>
      <c r="M224" s="15" t="s">
        <v>76</v>
      </c>
      <c r="O224" t="s">
        <v>70</v>
      </c>
      <c r="P224" t="s">
        <v>422</v>
      </c>
      <c r="Q224" t="s">
        <v>78</v>
      </c>
      <c r="T224" s="6"/>
      <c r="V224">
        <f>WEEKNUM(CRM[[#This Row],[Fecha]])</f>
        <v>44</v>
      </c>
    </row>
    <row r="225" spans="1:22" x14ac:dyDescent="0.25">
      <c r="A225">
        <v>225</v>
      </c>
      <c r="B225" s="22">
        <v>45961</v>
      </c>
      <c r="C225" t="s">
        <v>49</v>
      </c>
      <c r="D225" t="s">
        <v>423</v>
      </c>
      <c r="E225" t="s">
        <v>414</v>
      </c>
      <c r="F225" s="6">
        <v>2719039</v>
      </c>
      <c r="G225" s="19" t="s">
        <v>424</v>
      </c>
      <c r="H225" t="s">
        <v>425</v>
      </c>
      <c r="K225" t="s">
        <v>68</v>
      </c>
      <c r="L225" t="s">
        <v>69</v>
      </c>
      <c r="M225" s="15" t="s">
        <v>76</v>
      </c>
      <c r="O225" t="s">
        <v>70</v>
      </c>
      <c r="P225" t="s">
        <v>422</v>
      </c>
      <c r="Q225" t="s">
        <v>78</v>
      </c>
      <c r="T225" s="6"/>
      <c r="V225">
        <f>WEEKNUM(CRM[[#This Row],[Fecha]])</f>
        <v>44</v>
      </c>
    </row>
    <row r="226" spans="1:22" x14ac:dyDescent="0.25">
      <c r="A226">
        <v>226</v>
      </c>
      <c r="B226" s="22">
        <v>45961</v>
      </c>
      <c r="C226" t="s">
        <v>49</v>
      </c>
      <c r="D226" t="s">
        <v>426</v>
      </c>
      <c r="E226" t="s">
        <v>338</v>
      </c>
      <c r="F226" s="6">
        <v>6100700</v>
      </c>
      <c r="G226" s="19" t="s">
        <v>427</v>
      </c>
      <c r="H226" t="s">
        <v>428</v>
      </c>
      <c r="K226" t="s">
        <v>68</v>
      </c>
      <c r="L226" t="s">
        <v>69</v>
      </c>
      <c r="M226" s="15" t="s">
        <v>76</v>
      </c>
      <c r="O226" t="s">
        <v>70</v>
      </c>
      <c r="P226" t="s">
        <v>422</v>
      </c>
      <c r="Q226" t="s">
        <v>78</v>
      </c>
      <c r="T226" s="6"/>
      <c r="V226">
        <f>WEEKNUM(CRM[[#This Row],[Fecha]])</f>
        <v>44</v>
      </c>
    </row>
    <row r="227" spans="1:22" x14ac:dyDescent="0.25">
      <c r="A227">
        <v>227</v>
      </c>
      <c r="B227" s="22">
        <v>45961</v>
      </c>
      <c r="C227" t="s">
        <v>49</v>
      </c>
      <c r="D227" t="s">
        <v>429</v>
      </c>
      <c r="E227" t="s">
        <v>430</v>
      </c>
      <c r="F227" s="6">
        <v>2412942</v>
      </c>
      <c r="G227" s="19" t="s">
        <v>431</v>
      </c>
      <c r="H227" t="s">
        <v>432</v>
      </c>
      <c r="K227" t="s">
        <v>68</v>
      </c>
      <c r="L227" t="s">
        <v>69</v>
      </c>
      <c r="M227" s="15" t="s">
        <v>76</v>
      </c>
      <c r="O227" t="s">
        <v>70</v>
      </c>
      <c r="P227" t="s">
        <v>422</v>
      </c>
      <c r="Q227" t="s">
        <v>78</v>
      </c>
      <c r="T227" s="6"/>
      <c r="V227">
        <f>WEEKNUM(CRM[[#This Row],[Fecha]])</f>
        <v>44</v>
      </c>
    </row>
    <row r="228" spans="1:22" x14ac:dyDescent="0.25">
      <c r="A228">
        <v>228</v>
      </c>
      <c r="B228" s="22">
        <v>45961</v>
      </c>
      <c r="C228" t="s">
        <v>49</v>
      </c>
      <c r="D228" t="s">
        <v>433</v>
      </c>
      <c r="E228" t="s">
        <v>338</v>
      </c>
      <c r="F228" s="6">
        <v>4446571</v>
      </c>
      <c r="G228" s="19" t="s">
        <v>434</v>
      </c>
      <c r="H228" t="s">
        <v>435</v>
      </c>
      <c r="K228" t="s">
        <v>68</v>
      </c>
      <c r="L228" t="s">
        <v>69</v>
      </c>
      <c r="M228" s="15" t="s">
        <v>76</v>
      </c>
      <c r="O228" t="s">
        <v>70</v>
      </c>
      <c r="P228" t="s">
        <v>422</v>
      </c>
      <c r="Q228" t="s">
        <v>78</v>
      </c>
      <c r="T228" s="6"/>
      <c r="V228">
        <f>WEEKNUM(CRM[[#This Row],[Fecha]])</f>
        <v>44</v>
      </c>
    </row>
    <row r="229" spans="1:22" x14ac:dyDescent="0.25">
      <c r="A229">
        <v>229</v>
      </c>
      <c r="B229" s="22">
        <v>45961</v>
      </c>
      <c r="C229" t="s">
        <v>49</v>
      </c>
      <c r="D229" t="s">
        <v>436</v>
      </c>
      <c r="E229" t="s">
        <v>338</v>
      </c>
      <c r="F229" s="6">
        <v>6251200</v>
      </c>
      <c r="G229" s="19" t="s">
        <v>437</v>
      </c>
      <c r="H229" t="s">
        <v>438</v>
      </c>
      <c r="K229" t="s">
        <v>68</v>
      </c>
      <c r="L229" t="s">
        <v>69</v>
      </c>
      <c r="M229" s="15" t="s">
        <v>76</v>
      </c>
      <c r="O229" t="s">
        <v>70</v>
      </c>
      <c r="P229" t="s">
        <v>422</v>
      </c>
      <c r="Q229" t="s">
        <v>78</v>
      </c>
      <c r="T229" s="6"/>
      <c r="V229">
        <f>WEEKNUM(CRM[[#This Row],[Fecha]])</f>
        <v>44</v>
      </c>
    </row>
    <row r="230" spans="1:22" x14ac:dyDescent="0.25">
      <c r="A230">
        <v>230</v>
      </c>
      <c r="B230" s="22">
        <v>45961</v>
      </c>
      <c r="C230" t="s">
        <v>49</v>
      </c>
      <c r="D230" t="s">
        <v>439</v>
      </c>
      <c r="E230" t="s">
        <v>261</v>
      </c>
      <c r="F230" s="6">
        <v>6281040</v>
      </c>
      <c r="G230" s="19" t="s">
        <v>440</v>
      </c>
      <c r="H230" t="s">
        <v>441</v>
      </c>
      <c r="K230" t="s">
        <v>68</v>
      </c>
      <c r="L230" t="s">
        <v>69</v>
      </c>
      <c r="M230" s="15" t="s">
        <v>76</v>
      </c>
      <c r="O230" t="s">
        <v>70</v>
      </c>
      <c r="P230" t="s">
        <v>422</v>
      </c>
      <c r="Q230" t="s">
        <v>78</v>
      </c>
      <c r="T230" s="6"/>
      <c r="V230">
        <f>WEEKNUM(CRM[[#This Row],[Fecha]])</f>
        <v>44</v>
      </c>
    </row>
    <row r="231" spans="1:22" x14ac:dyDescent="0.25">
      <c r="A231">
        <v>231</v>
      </c>
      <c r="B231" s="22">
        <v>45961</v>
      </c>
      <c r="C231" t="s">
        <v>49</v>
      </c>
      <c r="D231" t="s">
        <v>303</v>
      </c>
      <c r="F231" s="6">
        <v>975478181</v>
      </c>
      <c r="H231" t="s">
        <v>442</v>
      </c>
      <c r="K231" t="s">
        <v>68</v>
      </c>
      <c r="L231" t="s">
        <v>69</v>
      </c>
      <c r="M231" s="15" t="s">
        <v>76</v>
      </c>
      <c r="O231" t="s">
        <v>70</v>
      </c>
      <c r="P231" t="s">
        <v>443</v>
      </c>
      <c r="Q231" t="s">
        <v>78</v>
      </c>
      <c r="T231" s="6"/>
      <c r="V231">
        <f>WEEKNUM(CRM[[#This Row],[Fecha]])</f>
        <v>44</v>
      </c>
    </row>
    <row r="232" spans="1:22" x14ac:dyDescent="0.25">
      <c r="A232">
        <v>232</v>
      </c>
      <c r="B232" s="22">
        <v>45961</v>
      </c>
      <c r="C232" t="s">
        <v>49</v>
      </c>
      <c r="D232" t="s">
        <v>303</v>
      </c>
      <c r="F232" s="6">
        <v>2664531</v>
      </c>
      <c r="G232" s="19" t="s">
        <v>444</v>
      </c>
      <c r="H232" t="s">
        <v>445</v>
      </c>
      <c r="K232" t="s">
        <v>68</v>
      </c>
      <c r="L232" t="s">
        <v>69</v>
      </c>
      <c r="M232" s="15" t="s">
        <v>76</v>
      </c>
      <c r="O232" t="s">
        <v>70</v>
      </c>
      <c r="P232" t="s">
        <v>422</v>
      </c>
      <c r="Q232" t="s">
        <v>78</v>
      </c>
      <c r="T232" s="6"/>
      <c r="V232">
        <f>WEEKNUM(CRM[[#This Row],[Fecha]])</f>
        <v>44</v>
      </c>
    </row>
    <row r="233" spans="1:22" x14ac:dyDescent="0.25">
      <c r="A233">
        <v>233</v>
      </c>
      <c r="B233" s="22">
        <v>45961</v>
      </c>
      <c r="C233" t="s">
        <v>49</v>
      </c>
      <c r="D233" t="s">
        <v>303</v>
      </c>
      <c r="F233" s="6">
        <v>2423492</v>
      </c>
      <c r="G233" s="19" t="s">
        <v>446</v>
      </c>
      <c r="H233" t="s">
        <v>447</v>
      </c>
      <c r="K233" t="s">
        <v>68</v>
      </c>
      <c r="L233" t="s">
        <v>69</v>
      </c>
      <c r="M233" s="15" t="s">
        <v>76</v>
      </c>
      <c r="O233" t="s">
        <v>70</v>
      </c>
      <c r="P233" t="s">
        <v>422</v>
      </c>
      <c r="Q233" t="s">
        <v>78</v>
      </c>
      <c r="T233" s="6"/>
      <c r="V233">
        <f>WEEKNUM(CRM[[#This Row],[Fecha]])</f>
        <v>44</v>
      </c>
    </row>
    <row r="234" spans="1:22" ht="45" x14ac:dyDescent="0.25">
      <c r="A234">
        <v>234</v>
      </c>
      <c r="B234" s="22">
        <v>45965</v>
      </c>
      <c r="C234" t="s">
        <v>154</v>
      </c>
      <c r="D234" t="s">
        <v>148</v>
      </c>
      <c r="E234" s="11" t="s">
        <v>128</v>
      </c>
      <c r="F234" s="6">
        <v>905824331</v>
      </c>
      <c r="G234" s="19" t="s">
        <v>149</v>
      </c>
      <c r="H234" t="s">
        <v>463</v>
      </c>
      <c r="I234" s="20" t="s">
        <v>134</v>
      </c>
      <c r="K234" s="11" t="s">
        <v>140</v>
      </c>
      <c r="L234" s="11"/>
      <c r="M234" s="15" t="s">
        <v>57</v>
      </c>
      <c r="N234" t="s">
        <v>58</v>
      </c>
      <c r="O234" t="s">
        <v>38</v>
      </c>
      <c r="P234" s="1" t="s">
        <v>467</v>
      </c>
      <c r="Q234" s="1" t="s">
        <v>1</v>
      </c>
      <c r="S234" t="s">
        <v>180</v>
      </c>
      <c r="T234" s="6">
        <v>4340</v>
      </c>
      <c r="V234">
        <v>44</v>
      </c>
    </row>
    <row r="235" spans="1:22" ht="60" x14ac:dyDescent="0.25">
      <c r="A235">
        <v>235</v>
      </c>
      <c r="B235" s="22">
        <v>45965</v>
      </c>
      <c r="C235" t="s">
        <v>154</v>
      </c>
      <c r="D235" t="s">
        <v>144</v>
      </c>
      <c r="E235" s="11" t="s">
        <v>128</v>
      </c>
      <c r="F235" s="6">
        <v>950308250</v>
      </c>
      <c r="G235" s="19" t="s">
        <v>145</v>
      </c>
      <c r="H235" s="11" t="s">
        <v>24</v>
      </c>
      <c r="I235" s="20">
        <v>20614800659</v>
      </c>
      <c r="K235" s="11" t="s">
        <v>140</v>
      </c>
      <c r="L235" s="11"/>
      <c r="M235" s="15" t="s">
        <v>57</v>
      </c>
      <c r="N235" t="s">
        <v>58</v>
      </c>
      <c r="O235" t="s">
        <v>38</v>
      </c>
      <c r="P235" s="1" t="s">
        <v>464</v>
      </c>
      <c r="Q235" t="s">
        <v>399</v>
      </c>
      <c r="T235" s="6">
        <v>6898</v>
      </c>
      <c r="U235" s="22">
        <v>45992</v>
      </c>
      <c r="V235">
        <f>WEEKNUM(CRM[[#This Row],[Fecha]])</f>
        <v>45</v>
      </c>
    </row>
    <row r="236" spans="1:22" ht="45" x14ac:dyDescent="0.25">
      <c r="A236">
        <v>236</v>
      </c>
      <c r="B236" s="22">
        <v>45965</v>
      </c>
      <c r="C236" t="s">
        <v>154</v>
      </c>
      <c r="D236" t="s">
        <v>9</v>
      </c>
      <c r="E236" s="11" t="s">
        <v>128</v>
      </c>
      <c r="F236" s="6">
        <v>915244218</v>
      </c>
      <c r="G236" s="19" t="s">
        <v>198</v>
      </c>
      <c r="H236" t="s">
        <v>9</v>
      </c>
      <c r="I236" s="31" t="s">
        <v>465</v>
      </c>
      <c r="K236" s="11" t="s">
        <v>68</v>
      </c>
      <c r="L236" s="11" t="s">
        <v>201</v>
      </c>
      <c r="M236" s="15" t="s">
        <v>57</v>
      </c>
      <c r="O236" t="s">
        <v>38</v>
      </c>
      <c r="P236" s="1" t="s">
        <v>466</v>
      </c>
      <c r="Q236" s="1" t="s">
        <v>1</v>
      </c>
      <c r="S236" t="s">
        <v>203</v>
      </c>
      <c r="T236" s="6">
        <v>4340</v>
      </c>
      <c r="U236" s="22">
        <v>45968</v>
      </c>
      <c r="V236">
        <v>44</v>
      </c>
    </row>
    <row r="237" spans="1:22" ht="45" x14ac:dyDescent="0.25">
      <c r="A237">
        <v>237</v>
      </c>
      <c r="B237" s="22">
        <v>45975</v>
      </c>
      <c r="C237" t="s">
        <v>49</v>
      </c>
      <c r="D237" t="s">
        <v>190</v>
      </c>
      <c r="E237" s="11" t="s">
        <v>128</v>
      </c>
      <c r="F237" s="6">
        <v>971763270</v>
      </c>
      <c r="G237" s="19" t="s">
        <v>191</v>
      </c>
      <c r="H237" s="11" t="s">
        <v>19</v>
      </c>
      <c r="I237" s="16" t="s">
        <v>192</v>
      </c>
      <c r="K237" s="11" t="s">
        <v>140</v>
      </c>
      <c r="L237" s="11"/>
      <c r="M237" s="15" t="s">
        <v>57</v>
      </c>
      <c r="N237" t="s">
        <v>58</v>
      </c>
      <c r="O237" t="s">
        <v>38</v>
      </c>
      <c r="P237" s="1" t="s">
        <v>472</v>
      </c>
      <c r="Q237" t="s">
        <v>12</v>
      </c>
      <c r="S237" t="s">
        <v>287</v>
      </c>
      <c r="T237" s="6">
        <v>6949</v>
      </c>
      <c r="V237">
        <v>44</v>
      </c>
    </row>
    <row r="238" spans="1:22" ht="30" x14ac:dyDescent="0.25">
      <c r="A238">
        <v>238</v>
      </c>
      <c r="B238" s="22">
        <v>45979</v>
      </c>
      <c r="C238" t="s">
        <v>49</v>
      </c>
      <c r="D238" t="s">
        <v>190</v>
      </c>
      <c r="E238" s="11" t="s">
        <v>128</v>
      </c>
      <c r="F238" s="6">
        <v>971763270</v>
      </c>
      <c r="G238" s="19" t="s">
        <v>191</v>
      </c>
      <c r="H238" s="11" t="s">
        <v>19</v>
      </c>
      <c r="I238" s="16" t="s">
        <v>192</v>
      </c>
      <c r="K238" s="11" t="s">
        <v>140</v>
      </c>
      <c r="L238" s="11"/>
      <c r="M238" s="15" t="s">
        <v>57</v>
      </c>
      <c r="N238" t="s">
        <v>58</v>
      </c>
      <c r="O238" t="s">
        <v>38</v>
      </c>
      <c r="P238" s="1" t="s">
        <v>483</v>
      </c>
      <c r="Q238" t="s">
        <v>12</v>
      </c>
      <c r="S238" t="s">
        <v>287</v>
      </c>
      <c r="T238" s="6">
        <v>6949</v>
      </c>
      <c r="V238">
        <v>44</v>
      </c>
    </row>
  </sheetData>
  <hyperlinks>
    <hyperlink ref="G11" r:id="rId1" xr:uid="{0B5843A1-C030-4805-8AC2-8BAD2A87050F}"/>
    <hyperlink ref="G12" r:id="rId2" xr:uid="{FDE5A13E-B585-4BF5-8FFF-C3EBABF749FE}"/>
    <hyperlink ref="G13" r:id="rId3" xr:uid="{DC6E9F2E-2C4E-413A-9F39-069786F09C9E}"/>
    <hyperlink ref="G14" r:id="rId4" xr:uid="{79A423C1-BA4F-44ED-A28F-23F809310212}"/>
    <hyperlink ref="G15" r:id="rId5" xr:uid="{DE152CDE-8930-40FE-BB1D-FDD4CABA315B}"/>
    <hyperlink ref="G16" r:id="rId6" xr:uid="{3A706973-519F-47E8-A09C-335C300213BA}"/>
    <hyperlink ref="G17" r:id="rId7" xr:uid="{DD8470A7-6A2F-487A-B170-4E2B9ACDAB8D}"/>
    <hyperlink ref="G18" r:id="rId8" xr:uid="{C9F09302-68DC-479D-9189-777B8D26926C}"/>
    <hyperlink ref="G19" r:id="rId9" xr:uid="{A4EE6645-9F5C-46B9-BC25-46E5A4EDC824}"/>
    <hyperlink ref="G20" r:id="rId10" xr:uid="{83091B1F-0841-43DB-ABCE-3519FA8554FF}"/>
    <hyperlink ref="G22" r:id="rId11" xr:uid="{D26CD019-EAAE-4490-BB59-173B9510EE7D}"/>
    <hyperlink ref="G23" r:id="rId12" xr:uid="{FB012323-1FA6-4BF3-9AE4-CB4386A92DB1}"/>
    <hyperlink ref="G24" r:id="rId13" xr:uid="{EEF14858-B43B-479E-9B1E-37E2DEF72CB9}"/>
    <hyperlink ref="G25" r:id="rId14" xr:uid="{04D0EEC1-BDA1-40B5-85DC-1F128473B2B8}"/>
    <hyperlink ref="G28" r:id="rId15" xr:uid="{B3B989E3-931B-49B3-93AA-3CF30E0E7DD3}"/>
    <hyperlink ref="G34" r:id="rId16" xr:uid="{7361E331-C426-4496-A3AA-0B0FA7D9668E}"/>
    <hyperlink ref="G35" r:id="rId17" xr:uid="{E9091C2E-26EC-4649-95AE-98AFB78B1494}"/>
    <hyperlink ref="G36" r:id="rId18" xr:uid="{1DB2F7B3-C82E-4DA5-A80E-C198C094151F}"/>
    <hyperlink ref="G37" r:id="rId19" xr:uid="{13CE44B6-FC1A-4D48-AFFC-5D5F5CFD614B}"/>
    <hyperlink ref="G38" r:id="rId20" xr:uid="{4EDE8438-FB84-422B-8639-94DE583CD6A3}"/>
    <hyperlink ref="G39" r:id="rId21" xr:uid="{F4E8D58B-3A09-4E56-B682-66336F27FE4F}"/>
    <hyperlink ref="G40" r:id="rId22" xr:uid="{B8D1F61A-0A92-4B04-B491-193A7CD4BCBD}"/>
    <hyperlink ref="G41" r:id="rId23" xr:uid="{EA9860E8-B4D1-4F65-B31D-BB334BD45032}"/>
    <hyperlink ref="G42" r:id="rId24" xr:uid="{2395BF1E-90F1-471D-8207-3559E0CA1871}"/>
    <hyperlink ref="G43" r:id="rId25" xr:uid="{C174B976-6760-4B46-999F-79771FB160CB}"/>
    <hyperlink ref="G45" r:id="rId26" xr:uid="{00C478B0-ABAC-4926-AB51-FD9106282EBF}"/>
    <hyperlink ref="G46" r:id="rId27" xr:uid="{5972ABF3-02AA-4C65-A0ED-AA5343E1DD0C}"/>
    <hyperlink ref="G47" r:id="rId28" xr:uid="{B3EB00B4-2F59-466B-981B-77A8DBDC22A0}"/>
    <hyperlink ref="G48" r:id="rId29" xr:uid="{174E86AB-F1E8-49D7-9011-75C6181A8D7E}"/>
    <hyperlink ref="G49" r:id="rId30" xr:uid="{651A175E-DAA8-4D4E-9E61-9A0509853609}"/>
    <hyperlink ref="G50" r:id="rId31" xr:uid="{A064D54B-EC3F-4FC2-A599-0BAEC9168716}"/>
    <hyperlink ref="G51" r:id="rId32" xr:uid="{A02351A1-E2DD-4610-997E-403F828DF7F2}"/>
    <hyperlink ref="G52" r:id="rId33" xr:uid="{249AAC51-EB48-4438-8966-DA44A25BF04C}"/>
    <hyperlink ref="G54" r:id="rId34" xr:uid="{FFFA263B-37E0-4504-A2C8-515BB7BD52A2}"/>
    <hyperlink ref="G59" r:id="rId35" xr:uid="{B0C05F64-B3E6-4A1C-80E9-306E343864EE}"/>
    <hyperlink ref="G65" r:id="rId36" xr:uid="{2D959189-48B8-45C3-9579-41903A19931A}"/>
    <hyperlink ref="G66" r:id="rId37" xr:uid="{C9A7C9E0-CE5F-4481-B038-170A3A6FCD25}"/>
    <hyperlink ref="G67" r:id="rId38" xr:uid="{EBD91A42-7B57-4076-9A46-E91CA85A3A93}"/>
    <hyperlink ref="G68" r:id="rId39" xr:uid="{D37A59EF-87B8-4016-86FD-AEEA86DB54E1}"/>
    <hyperlink ref="G69" r:id="rId40" xr:uid="{24EEF215-148A-4A8C-B0D6-9F25C2A01F9E}"/>
    <hyperlink ref="G70" r:id="rId41" xr:uid="{8E356798-60B8-4D69-8954-656E59A6F4F3}"/>
    <hyperlink ref="G71" r:id="rId42" xr:uid="{B0996B1E-D42E-4C0E-8522-5EB36B1BF587}"/>
    <hyperlink ref="G72" r:id="rId43" xr:uid="{99D37558-4611-46B6-8C2E-9FC651EDC31A}"/>
    <hyperlink ref="G73" r:id="rId44" xr:uid="{2CCC42D9-EF6C-45ED-A851-046C92403223}"/>
    <hyperlink ref="G75" r:id="rId45" xr:uid="{A41B5B18-EE11-43A9-A80B-0F285F706559}"/>
    <hyperlink ref="G76" r:id="rId46" xr:uid="{76C51CD1-82B6-4949-BCAD-97EC13D50D05}"/>
    <hyperlink ref="G77" r:id="rId47" xr:uid="{54573382-AB2D-4B0B-B05D-DB885F98B540}"/>
    <hyperlink ref="G78" r:id="rId48" xr:uid="{A3B072CE-AAF8-43E8-8644-3BFCA1ADEA59}"/>
    <hyperlink ref="G79" r:id="rId49" xr:uid="{05BA0CEE-F811-447B-9E5A-739F18239D73}"/>
    <hyperlink ref="G80" r:id="rId50" xr:uid="{5742C45E-5BA1-44A6-BB79-D1EA7A1D6047}"/>
    <hyperlink ref="G82" r:id="rId51" xr:uid="{615E657B-2C20-4C36-8560-49865A191E43}"/>
    <hyperlink ref="G86" r:id="rId52" xr:uid="{0621215F-94EC-46BC-94F4-A0803698530D}"/>
    <hyperlink ref="G87" r:id="rId53" xr:uid="{11832132-C8A1-4A85-AD30-2E5F7EE3C103}"/>
    <hyperlink ref="G88" r:id="rId54" xr:uid="{634419C1-1066-408C-9E0C-A4678373D10A}"/>
    <hyperlink ref="G89" r:id="rId55" xr:uid="{6FE2EFB8-1E38-4BE0-92FE-AE99190577DF}"/>
    <hyperlink ref="G91" r:id="rId56" xr:uid="{23109614-76AE-4EFD-AB59-04FBB18D099B}"/>
    <hyperlink ref="G92" r:id="rId57" xr:uid="{788B7620-5C92-4665-8A52-B61D1DEBCB69}"/>
    <hyperlink ref="G93" r:id="rId58" xr:uid="{AA6F8BE5-A0C1-40D3-BB85-DC1871CAE911}"/>
    <hyperlink ref="G94" r:id="rId59" xr:uid="{288E1929-B7D0-41E8-9F7B-37C47AF9D58C}"/>
    <hyperlink ref="G95" r:id="rId60" xr:uid="{F3126786-27EC-4146-8884-F8BF11FB1C4C}"/>
    <hyperlink ref="G96" r:id="rId61" xr:uid="{0C60FEC4-C278-436D-8DAD-64DC1A8ECB04}"/>
    <hyperlink ref="G97" r:id="rId62" xr:uid="{CE6216CD-0B1F-4D85-B32C-41D5C4299C7E}"/>
    <hyperlink ref="G98" r:id="rId63" xr:uid="{FB875BF8-25BE-4BB2-8390-738D04874975}"/>
    <hyperlink ref="G99" r:id="rId64" xr:uid="{0867D642-F983-4BFD-9CA9-0FBBD84EDEF8}"/>
    <hyperlink ref="G90" r:id="rId65" xr:uid="{81ABB1FA-AE23-4A4B-9535-1BA736698CC8}"/>
    <hyperlink ref="G102" r:id="rId66" xr:uid="{9D4A3F14-1845-448D-9083-F31893EAC15D}"/>
    <hyperlink ref="G103" r:id="rId67" xr:uid="{280D192C-5B84-4762-86A7-A0E721361379}"/>
    <hyperlink ref="G106" r:id="rId68" xr:uid="{245A65A7-9764-4E66-99D1-ED35D81A5FB7}"/>
    <hyperlink ref="G107" r:id="rId69" xr:uid="{E7CB6F7F-065C-4FD0-BFDC-496C05D25EA6}"/>
    <hyperlink ref="G105" r:id="rId70" xr:uid="{E30966D7-4051-4625-8C72-BABFD79F67F3}"/>
    <hyperlink ref="G108" r:id="rId71" xr:uid="{4AEA1EE3-B9A4-498D-97B9-BABC0F7C736F}"/>
    <hyperlink ref="G110" r:id="rId72" xr:uid="{E88242F9-1F93-4D12-9778-E43DDC5034E7}"/>
    <hyperlink ref="G113" r:id="rId73" xr:uid="{FA66526B-1957-44FD-8B3B-18148D3BCF3A}"/>
    <hyperlink ref="G114" r:id="rId74" xr:uid="{F27A43DD-2DDC-4A8F-A42C-CE68593D0B80}"/>
    <hyperlink ref="G134" r:id="rId75" xr:uid="{3A1C1ECD-439A-4A42-8EE1-122114E8228D}"/>
    <hyperlink ref="G136" r:id="rId76" xr:uid="{C43DD15D-0F66-451F-95E2-49B60FA3E00D}"/>
    <hyperlink ref="G139" r:id="rId77" xr:uid="{4B1FAAE2-9E45-49EF-B60E-6FE260DB643B}"/>
    <hyperlink ref="G140" r:id="rId78" xr:uid="{4636AF83-162D-4D27-AEA8-6F9BA7861CAC}"/>
    <hyperlink ref="G158" r:id="rId79" xr:uid="{EC1C7A3E-A0D4-45B0-A50F-3E8E0F03B6EF}"/>
    <hyperlink ref="G160" r:id="rId80" xr:uid="{2E13AC31-9586-4999-A8A0-6BB3A5A3B617}"/>
    <hyperlink ref="G148" r:id="rId81" xr:uid="{13CBC728-1714-4DA7-99AA-EE6C74F0C0D5}"/>
    <hyperlink ref="G164" r:id="rId82" xr:uid="{2857C56E-45A0-4333-A2F2-79B8EEDDF96B}"/>
    <hyperlink ref="G165" r:id="rId83" xr:uid="{16A6F144-E61D-4A01-8A7A-09375E604BCC}"/>
    <hyperlink ref="G166" r:id="rId84" xr:uid="{ADEB0B9D-4682-4123-8D7C-311A6598A9D1}"/>
    <hyperlink ref="G167" r:id="rId85" xr:uid="{DE33D339-842F-46D8-B8C2-54AA6DB0E407}"/>
    <hyperlink ref="G168" r:id="rId86" xr:uid="{E36F295F-DDFC-41F0-A9C9-8C0F6B42ACF8}"/>
    <hyperlink ref="G169" r:id="rId87" xr:uid="{643BD9F7-AC38-4A39-9215-72C9412E01FC}"/>
    <hyperlink ref="G171" r:id="rId88" xr:uid="{5F02BDB8-43F9-4F12-8F33-7445B4E73FCE}"/>
    <hyperlink ref="G174" r:id="rId89" xr:uid="{6A06C616-84E8-4CD7-A44E-D09F7CCFC917}"/>
    <hyperlink ref="G175" r:id="rId90" xr:uid="{D041CF7D-C31A-43A8-8008-A9F64AAB1C9F}"/>
    <hyperlink ref="G196" r:id="rId91" xr:uid="{36DD387E-DA30-46CF-A8D2-E7F8B706936A}"/>
    <hyperlink ref="G197" r:id="rId92" display="leonardo.rodriguez@decapolisperu.com" xr:uid="{8EA9E0E8-0D39-43AD-9ED6-AF4079D5275F}"/>
    <hyperlink ref="G230" r:id="rId93" xr:uid="{6D6878BA-7C9C-4599-BD54-BEF70D1B4AFB}"/>
    <hyperlink ref="G232" r:id="rId94" xr:uid="{633CBBFC-1D3A-4DE0-9EE9-2C3930F79B58}"/>
    <hyperlink ref="G233" r:id="rId95" xr:uid="{8CCCCC10-48E2-48CD-90B8-6AA391839314}"/>
    <hyperlink ref="G235" r:id="rId96" xr:uid="{36281D58-ABF1-4731-8ADC-3E8804C64810}"/>
    <hyperlink ref="G236" r:id="rId97" display="leonardo.rodriguez@decapolisperu.com" xr:uid="{040CDC87-8D87-45C6-B42F-AFED4733FBFB}"/>
  </hyperlinks>
  <pageMargins left="0.7" right="0.7" top="0.75" bottom="0.75" header="0.3" footer="0.3"/>
  <tableParts count="1">
    <tablePart r:id="rId98"/>
  </tableParts>
  <extLst>
    <ext xmlns:x14="http://schemas.microsoft.com/office/spreadsheetml/2009/9/main" uri="{CCE6A557-97BC-4b89-ADB6-D9C93CAAB3DF}">
      <x14:dataValidations xmlns:xm="http://schemas.microsoft.com/office/excel/2006/main" count="4">
        <x14:dataValidation type="list" allowBlank="1" showInputMessage="1" showErrorMessage="1" xr:uid="{B6E115BD-0AAA-43BC-853F-11DECBCB3E13}">
          <x14:formula1>
            <xm:f>Detalle!$C$14:$C$26</xm:f>
          </x14:formula1>
          <xm:sqref>M3:M97 M100:M104 M106:M123 M126:M127 M129:M130 M133:M149 M152:M153 M157 M169:M183 M186 M189 M217 M214 M197:M211 M234:M238</xm:sqref>
        </x14:dataValidation>
        <x14:dataValidation type="list" allowBlank="1" showInputMessage="1" showErrorMessage="1" xr:uid="{E19EC71B-3740-4C72-9930-4FA00374D9B6}">
          <x14:formula1>
            <xm:f>Detalle!$E$4:$E$6</xm:f>
          </x14:formula1>
          <xm:sqref>N3:N101 N108:N125 N134:N151 N169:N185 N197:N213 N234:N238</xm:sqref>
        </x14:dataValidation>
        <x14:dataValidation type="list" allowBlank="1" showInputMessage="1" showErrorMessage="1" xr:uid="{516FE536-30A9-46B6-B2E6-7B1BE7F88067}">
          <x14:formula1>
            <xm:f>Detalle!$G$4:$G$8</xm:f>
          </x14:formula1>
          <xm:sqref>O3:O101 O108:O125 O134:O151 O169:O185 O197:O213 O234:O238</xm:sqref>
        </x14:dataValidation>
        <x14:dataValidation type="list" allowBlank="1" showInputMessage="1" showErrorMessage="1" xr:uid="{D6A222C1-0EF7-4ADF-8EAD-AD9F5DB725FC}">
          <x14:formula1>
            <xm:f>Detalle!$C$4:$C$10</xm:f>
          </x14:formula1>
          <xm:sqref>Q3:Q98 Q108:Q125 Q134:Q151 Q169:Q185 Q197:Q213 Q234:Q238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D3D11-C8E8-46E1-A1D0-BE587CF31503}">
  <sheetPr>
    <tabColor theme="8" tint="0.39997558519241921"/>
  </sheetPr>
  <dimension ref="A1:N6"/>
  <sheetViews>
    <sheetView tabSelected="1" zoomScale="78" workbookViewId="0">
      <selection activeCell="F9" sqref="F9"/>
    </sheetView>
  </sheetViews>
  <sheetFormatPr baseColWidth="10" defaultRowHeight="15" x14ac:dyDescent="0.25"/>
  <cols>
    <col min="4" max="4" width="12.5703125" bestFit="1" customWidth="1"/>
  </cols>
  <sheetData>
    <row r="1" spans="1:14" ht="15.75" x14ac:dyDescent="0.25">
      <c r="A1" s="38" t="s">
        <v>474</v>
      </c>
      <c r="B1" s="38"/>
      <c r="C1" s="38"/>
      <c r="D1" s="38"/>
      <c r="E1" s="38"/>
      <c r="F1" s="38"/>
      <c r="G1" s="38"/>
      <c r="H1" s="38"/>
      <c r="I1" s="38"/>
      <c r="J1" s="38"/>
      <c r="K1" s="38"/>
      <c r="L1" s="38"/>
      <c r="M1" s="38"/>
      <c r="N1" s="38"/>
    </row>
    <row r="3" spans="1:14" s="34" customFormat="1" ht="15.75" x14ac:dyDescent="0.25">
      <c r="A3" s="33" t="s">
        <v>32</v>
      </c>
      <c r="B3" s="33" t="s">
        <v>3</v>
      </c>
      <c r="C3" s="33" t="s">
        <v>485</v>
      </c>
      <c r="D3" s="33" t="s">
        <v>475</v>
      </c>
      <c r="E3" s="33" t="s">
        <v>37</v>
      </c>
      <c r="F3" s="33" t="s">
        <v>486</v>
      </c>
      <c r="G3" s="33" t="s">
        <v>476</v>
      </c>
      <c r="H3" s="33" t="s">
        <v>477</v>
      </c>
      <c r="I3" s="33" t="s">
        <v>478</v>
      </c>
      <c r="J3" s="33" t="s">
        <v>479</v>
      </c>
      <c r="K3" s="33" t="s">
        <v>484</v>
      </c>
      <c r="L3" s="33" t="s">
        <v>480</v>
      </c>
      <c r="M3" s="33" t="s">
        <v>481</v>
      </c>
      <c r="N3" s="33" t="s">
        <v>482</v>
      </c>
    </row>
    <row r="4" spans="1:14" x14ac:dyDescent="0.25">
      <c r="A4">
        <v>1</v>
      </c>
      <c r="B4" s="22">
        <v>45974</v>
      </c>
      <c r="C4" s="22"/>
      <c r="D4" t="s">
        <v>487</v>
      </c>
      <c r="F4" t="s">
        <v>501</v>
      </c>
      <c r="G4" t="s">
        <v>488</v>
      </c>
      <c r="H4" t="s">
        <v>489</v>
      </c>
      <c r="I4" s="36" t="s">
        <v>490</v>
      </c>
      <c r="J4" t="s">
        <v>491</v>
      </c>
      <c r="L4" s="37">
        <v>3474.58</v>
      </c>
      <c r="M4" s="37">
        <v>625.42399999999998</v>
      </c>
      <c r="N4" s="37">
        <f>+M4+L4</f>
        <v>4100.0039999999999</v>
      </c>
    </row>
    <row r="5" spans="1:14" x14ac:dyDescent="0.25">
      <c r="A5">
        <v>2</v>
      </c>
      <c r="B5" s="22">
        <v>45976</v>
      </c>
      <c r="C5" s="22"/>
      <c r="D5" t="s">
        <v>492</v>
      </c>
      <c r="E5">
        <v>20601646367</v>
      </c>
      <c r="F5" t="s">
        <v>502</v>
      </c>
      <c r="G5" t="s">
        <v>493</v>
      </c>
      <c r="H5" t="s">
        <v>494</v>
      </c>
      <c r="I5" t="s">
        <v>495</v>
      </c>
      <c r="J5" t="s">
        <v>496</v>
      </c>
      <c r="L5" s="37">
        <f>+N5/1.18</f>
        <v>14406.77966101695</v>
      </c>
      <c r="M5" s="37">
        <f>+N5-L5</f>
        <v>2593.2203389830502</v>
      </c>
      <c r="N5" s="37">
        <v>17000</v>
      </c>
    </row>
    <row r="6" spans="1:14" x14ac:dyDescent="0.25">
      <c r="A6">
        <v>3</v>
      </c>
      <c r="B6" s="22">
        <v>45980</v>
      </c>
      <c r="C6" s="22"/>
      <c r="D6" t="s">
        <v>497</v>
      </c>
      <c r="E6">
        <v>20613618687</v>
      </c>
      <c r="F6" t="s">
        <v>503</v>
      </c>
      <c r="G6" t="s">
        <v>498</v>
      </c>
      <c r="H6" t="s">
        <v>499</v>
      </c>
      <c r="I6" t="s">
        <v>500</v>
      </c>
      <c r="J6" t="s">
        <v>491</v>
      </c>
      <c r="L6" s="37">
        <v>3950</v>
      </c>
      <c r="M6" s="37">
        <f>+N6-L6</f>
        <v>711</v>
      </c>
      <c r="N6" s="37">
        <v>4661</v>
      </c>
    </row>
  </sheetData>
  <mergeCells count="1">
    <mergeCell ref="A1:N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0EFC-9D35-4D2E-A398-3B526EE0AEF2}">
  <dimension ref="A2:G27"/>
  <sheetViews>
    <sheetView zoomScale="83" zoomScaleNormal="220" workbookViewId="0">
      <selection activeCell="C11" sqref="C11"/>
    </sheetView>
  </sheetViews>
  <sheetFormatPr baseColWidth="10" defaultColWidth="11.42578125" defaultRowHeight="15" x14ac:dyDescent="0.25"/>
  <cols>
    <col min="1" max="1" width="16.7109375" customWidth="1"/>
    <col min="3" max="3" width="23" bestFit="1" customWidth="1"/>
    <col min="4" max="4" width="3.140625" customWidth="1"/>
  </cols>
  <sheetData>
    <row r="2" spans="1:7" x14ac:dyDescent="0.25">
      <c r="C2" s="8" t="s">
        <v>0</v>
      </c>
      <c r="D2" s="8"/>
      <c r="E2" s="8" t="s">
        <v>42</v>
      </c>
      <c r="F2" s="8"/>
      <c r="G2" s="8" t="s">
        <v>43</v>
      </c>
    </row>
    <row r="4" spans="1:7" x14ac:dyDescent="0.25">
      <c r="A4" t="s">
        <v>468</v>
      </c>
      <c r="C4" t="s">
        <v>64</v>
      </c>
      <c r="E4" t="s">
        <v>58</v>
      </c>
      <c r="G4" t="s">
        <v>448</v>
      </c>
    </row>
    <row r="5" spans="1:7" x14ac:dyDescent="0.25">
      <c r="A5" t="s">
        <v>469</v>
      </c>
      <c r="C5" t="s">
        <v>78</v>
      </c>
      <c r="E5" t="s">
        <v>449</v>
      </c>
      <c r="G5" t="s">
        <v>38</v>
      </c>
    </row>
    <row r="6" spans="1:7" x14ac:dyDescent="0.25">
      <c r="C6" t="s">
        <v>1</v>
      </c>
      <c r="E6" t="s">
        <v>450</v>
      </c>
      <c r="G6" t="s">
        <v>451</v>
      </c>
    </row>
    <row r="7" spans="1:7" x14ac:dyDescent="0.25">
      <c r="C7" t="s">
        <v>12</v>
      </c>
      <c r="G7" t="s">
        <v>59</v>
      </c>
    </row>
    <row r="8" spans="1:7" x14ac:dyDescent="0.25">
      <c r="C8" t="s">
        <v>182</v>
      </c>
      <c r="G8" t="s">
        <v>70</v>
      </c>
    </row>
    <row r="9" spans="1:7" x14ac:dyDescent="0.25">
      <c r="C9" t="s">
        <v>452</v>
      </c>
    </row>
    <row r="10" spans="1:7" x14ac:dyDescent="0.25">
      <c r="C10" t="s">
        <v>399</v>
      </c>
    </row>
    <row r="11" spans="1:7" x14ac:dyDescent="0.25">
      <c r="C11" s="32" t="s">
        <v>471</v>
      </c>
    </row>
    <row r="13" spans="1:7" x14ac:dyDescent="0.25">
      <c r="C13" s="10" t="s">
        <v>41</v>
      </c>
    </row>
    <row r="14" spans="1:7" x14ac:dyDescent="0.25">
      <c r="C14" s="10" t="s">
        <v>453</v>
      </c>
    </row>
    <row r="15" spans="1:7" x14ac:dyDescent="0.25">
      <c r="C15" s="10" t="s">
        <v>454</v>
      </c>
    </row>
    <row r="16" spans="1:7" x14ac:dyDescent="0.25">
      <c r="C16" s="10" t="s">
        <v>455</v>
      </c>
    </row>
    <row r="17" spans="3:3" x14ac:dyDescent="0.25">
      <c r="C17" s="10" t="s">
        <v>76</v>
      </c>
    </row>
    <row r="18" spans="3:3" x14ac:dyDescent="0.25">
      <c r="C18" s="10" t="s">
        <v>456</v>
      </c>
    </row>
    <row r="19" spans="3:3" x14ac:dyDescent="0.25">
      <c r="C19" s="10" t="s">
        <v>57</v>
      </c>
    </row>
    <row r="20" spans="3:3" x14ac:dyDescent="0.25">
      <c r="C20" s="10" t="s">
        <v>457</v>
      </c>
    </row>
    <row r="21" spans="3:3" x14ac:dyDescent="0.25">
      <c r="C21" s="10" t="s">
        <v>458</v>
      </c>
    </row>
    <row r="22" spans="3:3" x14ac:dyDescent="0.25">
      <c r="C22" s="10" t="s">
        <v>459</v>
      </c>
    </row>
    <row r="23" spans="3:3" x14ac:dyDescent="0.25">
      <c r="C23" s="10" t="s">
        <v>460</v>
      </c>
    </row>
    <row r="24" spans="3:3" x14ac:dyDescent="0.25">
      <c r="C24" s="10" t="s">
        <v>461</v>
      </c>
    </row>
    <row r="25" spans="3:3" x14ac:dyDescent="0.25">
      <c r="C25" s="10" t="s">
        <v>462</v>
      </c>
    </row>
    <row r="26" spans="3:3" x14ac:dyDescent="0.25">
      <c r="C26" s="10" t="s">
        <v>187</v>
      </c>
    </row>
    <row r="27" spans="3:3" x14ac:dyDescent="0.25">
      <c r="C27" s="1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AGENDA</vt:lpstr>
      <vt:lpstr>Base CRM</vt:lpstr>
      <vt:lpstr>CIERRE</vt:lpstr>
      <vt:lpstr>Detalle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comercial1</dc:creator>
  <cp:keywords/>
  <dc:description/>
  <cp:lastModifiedBy>Office</cp:lastModifiedBy>
  <cp:revision/>
  <dcterms:created xsi:type="dcterms:W3CDTF">2025-10-10T14:21:47Z</dcterms:created>
  <dcterms:modified xsi:type="dcterms:W3CDTF">2025-11-29T13:54:08Z</dcterms:modified>
  <cp:category/>
  <cp:contentStatus/>
</cp:coreProperties>
</file>