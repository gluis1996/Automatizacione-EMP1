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ompa\Documents\COMPASS\Lista de Precios\"/>
    </mc:Choice>
  </mc:AlternateContent>
  <xr:revisionPtr revIDLastSave="0" documentId="13_ncr:1_{BE49C3EF-7ACC-48B1-911A-48ABC2A37AB4}" xr6:coauthVersionLast="47" xr6:coauthVersionMax="47" xr10:uidLastSave="{00000000-0000-0000-0000-000000000000}"/>
  <bookViews>
    <workbookView xWindow="-110" yWindow="-110" windowWidth="19420" windowHeight="11500" tabRatio="591" xr2:uid="{00000000-000D-0000-FFFF-FFFF00000000}"/>
  </bookViews>
  <sheets>
    <sheet name="UNIMAC " sheetId="10" r:id="rId1"/>
    <sheet name="PRIMUS" sheetId="7" r:id="rId2"/>
    <sheet name="Hoja2" sheetId="18" r:id="rId3"/>
    <sheet name="GMP" sheetId="14" r:id="rId4"/>
    <sheet name="SAILSTAR" sheetId="11" r:id="rId5"/>
    <sheet name="ADC" sheetId="13" r:id="rId6"/>
    <sheet name="SIDI" sheetId="15" state="hidden" r:id="rId7"/>
    <sheet name="BIMAP" sheetId="16" state="hidden" r:id="rId8"/>
    <sheet name="MILNOR" sheetId="17" state="hidden" r:id="rId9"/>
    <sheet name="Hoja1" sheetId="8" state="hidden" r:id="rId10"/>
    <sheet name="PRIMUS 10-02-2021" sheetId="3" state="hidden" r:id="rId11"/>
    <sheet name="SOFTWASH" sheetId="5" state="hidden" r:id="rId12"/>
    <sheet name="PRIMUS 09-02-2021" sheetId="6" state="hidden" r:id="rId13"/>
  </sheets>
  <definedNames>
    <definedName name="_xlnm._FilterDatabase" localSheetId="5" hidden="1">ADC!#REF!</definedName>
    <definedName name="_xlnm._FilterDatabase" localSheetId="3" hidden="1">GMP!$B$4:$L$20</definedName>
    <definedName name="_xlnm._FilterDatabase" localSheetId="1" hidden="1">PRIMUS!$B$4:$P$53</definedName>
    <definedName name="_xlnm._FilterDatabase" localSheetId="10" hidden="1">'PRIMUS 10-02-2021'!$B$3:$S$188</definedName>
    <definedName name="_xlnm._FilterDatabase" localSheetId="4" hidden="1">SAILSTAR!$B$4:$P$20</definedName>
    <definedName name="_xlnm._FilterDatabase" localSheetId="6" hidden="1">SIDI!$B$1:$Y$21</definedName>
    <definedName name="_xlnm.Print_Area" localSheetId="1">PRIMUS!$B$1:$P$57</definedName>
    <definedName name="_xlnm.Print_Area" localSheetId="10">'PRIMUS 10-02-2021'!$A$1:$Y$77</definedName>
    <definedName name="_xlnm.Print_Area" localSheetId="0">'UNIMAC '!$B$1:$T$63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" i="13" l="1"/>
  <c r="P9" i="13"/>
  <c r="P8" i="13"/>
  <c r="P7" i="13"/>
  <c r="P6" i="13"/>
  <c r="P5" i="13"/>
  <c r="R21" i="11"/>
  <c r="R20" i="11"/>
  <c r="R17" i="11"/>
  <c r="R16" i="11"/>
  <c r="R12" i="11"/>
  <c r="R11" i="11"/>
  <c r="R10" i="11"/>
  <c r="R9" i="11"/>
  <c r="R8" i="11"/>
  <c r="R7" i="11"/>
  <c r="R6" i="11"/>
  <c r="R5" i="11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27" i="7"/>
  <c r="R26" i="7"/>
  <c r="R25" i="7"/>
  <c r="R24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S62" i="10"/>
  <c r="S61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4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62" i="10"/>
  <c r="U61" i="10"/>
  <c r="Q3" i="7" l="1"/>
  <c r="J21" i="14"/>
  <c r="N56" i="7" l="1"/>
  <c r="O1" i="13" l="1"/>
  <c r="S1" i="11"/>
  <c r="M3" i="14"/>
  <c r="N21" i="7"/>
  <c r="O30" i="10" l="1"/>
  <c r="O58" i="10" l="1"/>
  <c r="V21" i="15" l="1"/>
  <c r="W21" i="15" s="1"/>
  <c r="X21" i="15" s="1"/>
  <c r="V20" i="15" l="1"/>
  <c r="W20" i="15" s="1"/>
  <c r="X20" i="15" s="1"/>
  <c r="V15" i="15"/>
  <c r="W15" i="15" s="1"/>
  <c r="X15" i="15" s="1"/>
  <c r="V10" i="15"/>
  <c r="W10" i="15" s="1"/>
  <c r="X10" i="15" s="1"/>
  <c r="V7" i="15"/>
  <c r="W7" i="15" s="1"/>
  <c r="X7" i="15" s="1"/>
  <c r="V6" i="15"/>
  <c r="U6" i="16" l="1"/>
  <c r="V6" i="16" s="1"/>
  <c r="W6" i="16" s="1"/>
  <c r="N28" i="7" l="1"/>
  <c r="U6" i="17" l="1"/>
  <c r="V6" i="17" s="1"/>
  <c r="W6" i="17" s="1"/>
  <c r="U5" i="17"/>
  <c r="V5" i="17" s="1"/>
  <c r="W5" i="17" s="1"/>
  <c r="U19" i="16"/>
  <c r="V19" i="16" s="1"/>
  <c r="W19" i="16" s="1"/>
  <c r="U11" i="16"/>
  <c r="V11" i="16" s="1"/>
  <c r="W11" i="16" s="1"/>
  <c r="U9" i="16"/>
  <c r="V9" i="16" s="1"/>
  <c r="W9" i="16" s="1"/>
  <c r="U7" i="16"/>
  <c r="V7" i="16" s="1"/>
  <c r="W7" i="16" s="1"/>
  <c r="U8" i="16"/>
  <c r="V8" i="16" s="1"/>
  <c r="W8" i="16" s="1"/>
  <c r="S8" i="16"/>
  <c r="U5" i="16"/>
  <c r="V5" i="16" s="1"/>
  <c r="W5" i="16" s="1"/>
  <c r="U16" i="16"/>
  <c r="V16" i="16" s="1"/>
  <c r="W16" i="16" s="1"/>
  <c r="U17" i="16"/>
  <c r="V17" i="16" s="1"/>
  <c r="W17" i="16" s="1"/>
  <c r="U18" i="16"/>
  <c r="V18" i="16" s="1"/>
  <c r="W18" i="16" s="1"/>
  <c r="U15" i="16"/>
  <c r="V15" i="16" s="1"/>
  <c r="W15" i="16" s="1"/>
  <c r="U14" i="16"/>
  <c r="V14" i="16" s="1"/>
  <c r="W14" i="16" s="1"/>
  <c r="U13" i="16"/>
  <c r="V13" i="16" s="1"/>
  <c r="W13" i="16" s="1"/>
  <c r="U12" i="16"/>
  <c r="V12" i="16" s="1"/>
  <c r="W12" i="16" s="1"/>
  <c r="U10" i="16"/>
  <c r="V10" i="16" s="1"/>
  <c r="W10" i="16" s="1"/>
  <c r="V17" i="15"/>
  <c r="W17" i="15" s="1"/>
  <c r="X17" i="15" s="1"/>
  <c r="V16" i="15"/>
  <c r="W16" i="15" s="1"/>
  <c r="X16" i="15" s="1"/>
  <c r="V12" i="15"/>
  <c r="W12" i="15" s="1"/>
  <c r="X12" i="15" s="1"/>
  <c r="V11" i="15"/>
  <c r="W11" i="15" s="1"/>
  <c r="X11" i="15" s="1"/>
  <c r="V14" i="15"/>
  <c r="W14" i="15" s="1"/>
  <c r="X14" i="15" s="1"/>
  <c r="W6" i="15"/>
  <c r="X6" i="15" s="1"/>
  <c r="V19" i="15" l="1"/>
  <c r="W19" i="15" s="1"/>
  <c r="X19" i="15" s="1"/>
  <c r="V18" i="15"/>
  <c r="W18" i="15" s="1"/>
  <c r="X18" i="15" s="1"/>
  <c r="V13" i="15"/>
  <c r="W13" i="15" s="1"/>
  <c r="X13" i="15" s="1"/>
  <c r="V9" i="15"/>
  <c r="W9" i="15" s="1"/>
  <c r="X9" i="15" s="1"/>
  <c r="V8" i="15"/>
  <c r="W8" i="15" s="1"/>
  <c r="X8" i="15" s="1"/>
  <c r="V5" i="15"/>
  <c r="W5" i="15" s="1"/>
  <c r="X5" i="15" s="1"/>
  <c r="C6" i="8" l="1"/>
  <c r="D6" i="8"/>
  <c r="E6" i="8" s="1"/>
  <c r="F6" i="8" s="1"/>
  <c r="C5" i="8"/>
  <c r="D5" i="8" s="1"/>
  <c r="E5" i="8" s="1"/>
  <c r="C4" i="8"/>
  <c r="D4" i="8" s="1"/>
  <c r="E4" i="8" s="1"/>
  <c r="F4" i="8" l="1"/>
  <c r="G4" i="8" s="1"/>
  <c r="G6" i="8"/>
  <c r="F5" i="8"/>
  <c r="G5" i="8" s="1"/>
  <c r="C16" i="8"/>
  <c r="D16" i="8" s="1"/>
  <c r="E16" i="8" s="1"/>
  <c r="C15" i="8"/>
  <c r="D15" i="8" s="1"/>
  <c r="E15" i="8" s="1"/>
  <c r="F15" i="8" s="1"/>
  <c r="I15" i="8"/>
  <c r="F16" i="8" l="1"/>
  <c r="G16" i="8"/>
  <c r="G15" i="8"/>
  <c r="U72" i="3" l="1"/>
  <c r="V70" i="3" l="1"/>
  <c r="W70" i="3"/>
  <c r="X70" i="3" s="1"/>
  <c r="V72" i="3"/>
  <c r="W72" i="3" s="1"/>
  <c r="X72" i="3" s="1"/>
  <c r="V49" i="3"/>
  <c r="W49" i="3" s="1"/>
  <c r="X49" i="3" s="1"/>
  <c r="V46" i="3"/>
  <c r="W46" i="3" s="1"/>
  <c r="X46" i="3" s="1"/>
  <c r="V43" i="3"/>
  <c r="W43" i="3" s="1"/>
  <c r="X43" i="3" s="1"/>
  <c r="V47" i="3"/>
  <c r="W47" i="3" s="1"/>
  <c r="X47" i="3" s="1"/>
  <c r="V48" i="3"/>
  <c r="W48" i="3"/>
  <c r="X48" i="3" s="1"/>
  <c r="V50" i="3"/>
  <c r="W50" i="3" s="1"/>
  <c r="X50" i="3" s="1"/>
  <c r="V53" i="3"/>
  <c r="W53" i="3" s="1"/>
  <c r="X53" i="3" s="1"/>
  <c r="V54" i="3"/>
  <c r="W54" i="3"/>
  <c r="X54" i="3" s="1"/>
  <c r="V55" i="3"/>
  <c r="W55" i="3" s="1"/>
  <c r="X55" i="3" s="1"/>
  <c r="V56" i="3"/>
  <c r="W56" i="3" s="1"/>
  <c r="X56" i="3" s="1"/>
  <c r="V57" i="3"/>
  <c r="W57" i="3"/>
  <c r="X57" i="3" s="1"/>
  <c r="V58" i="3"/>
  <c r="W58" i="3" s="1"/>
  <c r="X58" i="3" s="1"/>
  <c r="V59" i="3"/>
  <c r="W59" i="3" s="1"/>
  <c r="X59" i="3" s="1"/>
  <c r="V60" i="3"/>
  <c r="W60" i="3" s="1"/>
  <c r="X60" i="3" s="1"/>
  <c r="V61" i="3"/>
  <c r="W61" i="3"/>
  <c r="X61" i="3" s="1"/>
  <c r="V62" i="3"/>
  <c r="W62" i="3" s="1"/>
  <c r="X62" i="3" s="1"/>
  <c r="V65" i="3"/>
  <c r="W65" i="3" s="1"/>
  <c r="X65" i="3" s="1"/>
  <c r="V66" i="3"/>
  <c r="W66" i="3"/>
  <c r="X66" i="3"/>
  <c r="V67" i="3"/>
  <c r="W67" i="3" s="1"/>
  <c r="X67" i="3" s="1"/>
  <c r="V68" i="3"/>
  <c r="W68" i="3" s="1"/>
  <c r="X68" i="3" s="1"/>
  <c r="V69" i="3"/>
  <c r="W69" i="3" s="1"/>
  <c r="X69" i="3" s="1"/>
  <c r="V42" i="3"/>
  <c r="W42" i="3" s="1"/>
  <c r="X42" i="3" s="1"/>
  <c r="V28" i="3"/>
  <c r="W28" i="3" s="1"/>
  <c r="X28" i="3" s="1"/>
  <c r="V26" i="3"/>
  <c r="W26" i="3" s="1"/>
  <c r="X26" i="3" s="1"/>
  <c r="V27" i="3"/>
  <c r="W27" i="3" s="1"/>
  <c r="X27" i="3" s="1"/>
  <c r="V30" i="3"/>
  <c r="W30" i="3" s="1"/>
  <c r="X30" i="3" s="1"/>
  <c r="V31" i="3"/>
  <c r="W31" i="3" s="1"/>
  <c r="X31" i="3" s="1"/>
  <c r="V32" i="3"/>
  <c r="W32" i="3" s="1"/>
  <c r="X32" i="3" s="1"/>
  <c r="V34" i="3"/>
  <c r="W34" i="3" s="1"/>
  <c r="X34" i="3" s="1"/>
  <c r="V35" i="3"/>
  <c r="W35" i="3" s="1"/>
  <c r="X35" i="3" s="1"/>
  <c r="V24" i="3"/>
  <c r="W24" i="3" s="1"/>
  <c r="X24" i="3" s="1"/>
  <c r="V9" i="3"/>
  <c r="W9" i="3" s="1"/>
  <c r="X9" i="3" s="1"/>
  <c r="V4" i="3"/>
  <c r="W4" i="3" s="1"/>
  <c r="X4" i="3" s="1"/>
  <c r="V5" i="3"/>
  <c r="W5" i="3" s="1"/>
  <c r="X5" i="3" s="1"/>
  <c r="V7" i="3"/>
  <c r="W7" i="3" s="1"/>
  <c r="X7" i="3" s="1"/>
  <c r="V8" i="3"/>
  <c r="W8" i="3" s="1"/>
  <c r="X8" i="3" s="1"/>
  <c r="V10" i="3"/>
  <c r="W10" i="3" s="1"/>
  <c r="X10" i="3" s="1"/>
  <c r="V12" i="3"/>
  <c r="W12" i="3" s="1"/>
  <c r="X12" i="3" s="1"/>
  <c r="V13" i="3"/>
  <c r="W13" i="3" s="1"/>
  <c r="X13" i="3" s="1"/>
  <c r="V14" i="3"/>
  <c r="W14" i="3" s="1"/>
  <c r="X14" i="3" s="1"/>
  <c r="V16" i="3"/>
  <c r="W16" i="3"/>
  <c r="X16" i="3" s="1"/>
  <c r="V17" i="3"/>
  <c r="W17" i="3" s="1"/>
  <c r="X17" i="3" s="1"/>
  <c r="V18" i="3"/>
  <c r="W18" i="3" s="1"/>
  <c r="X18" i="3" s="1"/>
  <c r="U44" i="3" l="1"/>
  <c r="V44" i="3" l="1"/>
  <c r="W44" i="3"/>
  <c r="X44" i="3" s="1"/>
  <c r="U72" i="6"/>
  <c r="U71" i="6"/>
  <c r="U64" i="6"/>
  <c r="U63" i="6"/>
  <c r="U52" i="6"/>
  <c r="U51" i="6"/>
  <c r="U45" i="6"/>
  <c r="U44" i="6"/>
  <c r="Q38" i="6"/>
  <c r="U36" i="6"/>
  <c r="U33" i="6"/>
  <c r="U29" i="6"/>
  <c r="U25" i="6"/>
  <c r="Q20" i="6"/>
  <c r="U19" i="6"/>
  <c r="U15" i="6"/>
  <c r="U11" i="6"/>
  <c r="U6" i="6"/>
  <c r="U16" i="5"/>
  <c r="U15" i="5"/>
  <c r="U14" i="5"/>
  <c r="U13" i="5"/>
  <c r="U10" i="5"/>
  <c r="U9" i="5"/>
  <c r="U7" i="5"/>
  <c r="U6" i="5"/>
  <c r="U71" i="3" l="1"/>
  <c r="U64" i="3"/>
  <c r="U63" i="3"/>
  <c r="V63" i="3" s="1"/>
  <c r="W63" i="3" s="1"/>
  <c r="X63" i="3" s="1"/>
  <c r="U52" i="3"/>
  <c r="U51" i="3"/>
  <c r="U45" i="3"/>
  <c r="U36" i="3"/>
  <c r="U33" i="3"/>
  <c r="U29" i="3"/>
  <c r="U25" i="3"/>
  <c r="U19" i="3"/>
  <c r="U15" i="3"/>
  <c r="U11" i="3"/>
  <c r="U6" i="3"/>
  <c r="V6" i="3" s="1"/>
  <c r="W6" i="3" s="1"/>
  <c r="X6" i="3" s="1"/>
  <c r="Q20" i="3"/>
  <c r="V15" i="3" l="1"/>
  <c r="W15" i="3"/>
  <c r="X15" i="3" s="1"/>
  <c r="V33" i="3"/>
  <c r="W33" i="3" s="1"/>
  <c r="X33" i="3" s="1"/>
  <c r="V52" i="3"/>
  <c r="W52" i="3" s="1"/>
  <c r="X52" i="3" s="1"/>
  <c r="V25" i="3"/>
  <c r="W25" i="3"/>
  <c r="X25" i="3" s="1"/>
  <c r="V45" i="3"/>
  <c r="W45" i="3" s="1"/>
  <c r="X45" i="3" s="1"/>
  <c r="V64" i="3"/>
  <c r="W64" i="3"/>
  <c r="X64" i="3" s="1"/>
  <c r="V19" i="3"/>
  <c r="W19" i="3" s="1"/>
  <c r="X19" i="3" s="1"/>
  <c r="V36" i="3"/>
  <c r="W36" i="3" s="1"/>
  <c r="X36" i="3" s="1"/>
  <c r="V11" i="3"/>
  <c r="W11" i="3"/>
  <c r="X11" i="3" s="1"/>
  <c r="V29" i="3"/>
  <c r="W29" i="3" s="1"/>
  <c r="X29" i="3" s="1"/>
  <c r="V51" i="3"/>
  <c r="W51" i="3" s="1"/>
  <c r="X51" i="3" s="1"/>
  <c r="V71" i="3"/>
  <c r="W71" i="3" s="1"/>
  <c r="X71" i="3" s="1"/>
  <c r="Q38" i="3"/>
</calcChain>
</file>

<file path=xl/sharedStrings.xml><?xml version="1.0" encoding="utf-8"?>
<sst xmlns="http://schemas.openxmlformats.org/spreadsheetml/2006/main" count="4498" uniqueCount="619">
  <si>
    <t>Ítem</t>
  </si>
  <si>
    <t>Nombre comercial</t>
  </si>
  <si>
    <t>Modelo</t>
  </si>
  <si>
    <t>Marca</t>
  </si>
  <si>
    <t>Sistema</t>
  </si>
  <si>
    <t>Control</t>
  </si>
  <si>
    <t>Fuerza G</t>
  </si>
  <si>
    <t>Calentamiento</t>
  </si>
  <si>
    <t>Voltaje</t>
  </si>
  <si>
    <t>Doble rotación (secadoras)</t>
  </si>
  <si>
    <t>Panel frontal de acero inox. (todo)</t>
  </si>
  <si>
    <t>Capacidad</t>
  </si>
  <si>
    <t>PRIMUS</t>
  </si>
  <si>
    <t>SOFTWASH</t>
  </si>
  <si>
    <t>OPL</t>
  </si>
  <si>
    <t>N/A</t>
  </si>
  <si>
    <t>STANDARD</t>
  </si>
  <si>
    <t>NO</t>
  </si>
  <si>
    <t>FX280</t>
  </si>
  <si>
    <t>SI</t>
  </si>
  <si>
    <t>SECADORA</t>
  </si>
  <si>
    <t>ELECTRICO</t>
  </si>
  <si>
    <t>17 KG</t>
  </si>
  <si>
    <t>27 KG</t>
  </si>
  <si>
    <t>GAS</t>
  </si>
  <si>
    <t>DX16</t>
  </si>
  <si>
    <t>DX25</t>
  </si>
  <si>
    <t>25 KG</t>
  </si>
  <si>
    <t>RX280</t>
  </si>
  <si>
    <t>RX350</t>
  </si>
  <si>
    <t>35 KG</t>
  </si>
  <si>
    <t>34 KG</t>
  </si>
  <si>
    <t>DUAL DIGITAL CONTROL</t>
  </si>
  <si>
    <t>DX34</t>
  </si>
  <si>
    <t>32 KG</t>
  </si>
  <si>
    <t>EQUIPOS ALLIANCE</t>
  </si>
  <si>
    <t>LAVADORAS RIGIDAS PRIMUS</t>
  </si>
  <si>
    <t>SKU</t>
  </si>
  <si>
    <t>Montaje</t>
  </si>
  <si>
    <t>Cilindro</t>
  </si>
  <si>
    <t>CANTIDAD</t>
  </si>
  <si>
    <t xml:space="preserve">FECHA DE LLEGADA </t>
  </si>
  <si>
    <t>COSTO EXW</t>
  </si>
  <si>
    <t>COSTO DDP</t>
  </si>
  <si>
    <t>LAVADORA 2020 III</t>
  </si>
  <si>
    <t>PAC240XN0NXB20C0AA</t>
  </si>
  <si>
    <t xml:space="preserve">LAVADORA INDUSTRIAL </t>
  </si>
  <si>
    <t>RÍGIDA</t>
  </si>
  <si>
    <t xml:space="preserve">RX240 </t>
  </si>
  <si>
    <t xml:space="preserve">XCONTROL </t>
  </si>
  <si>
    <t xml:space="preserve">100G </t>
  </si>
  <si>
    <t>220/60HZ/1PH</t>
  </si>
  <si>
    <t>PAC332XN0MXB2PS0AA</t>
  </si>
  <si>
    <t xml:space="preserve">150G </t>
  </si>
  <si>
    <r>
      <t>PAC280XN0NXB20</t>
    </r>
    <r>
      <rPr>
        <b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>0AA</t>
    </r>
  </si>
  <si>
    <t>TOTAL</t>
  </si>
  <si>
    <t>UNIMAC 2020</t>
  </si>
  <si>
    <t>200-240V/50-60Hz/1Ph</t>
  </si>
  <si>
    <t>UNIMAC 2020 I</t>
  </si>
  <si>
    <t>200-240V/50-60/1-3Ph</t>
  </si>
  <si>
    <t>LAVADORA FLOTANTE PRIMUS</t>
  </si>
  <si>
    <t>PYC240XN0HQB20C0AA</t>
  </si>
  <si>
    <t>FLOTANTE</t>
  </si>
  <si>
    <t xml:space="preserve">FX240 </t>
  </si>
  <si>
    <t>400G</t>
  </si>
  <si>
    <t xml:space="preserve">220/60HZ/3PH </t>
  </si>
  <si>
    <t>SECADORAS PRIMUS</t>
  </si>
  <si>
    <t>Material</t>
  </si>
  <si>
    <t>PG075EFN0RHG3G0000</t>
  </si>
  <si>
    <t>380V/50-60Hz/3Ph</t>
  </si>
  <si>
    <t>PG050LNN01XB3N0000</t>
  </si>
  <si>
    <t>PROFESSIONAL OPL</t>
  </si>
  <si>
    <t>GAS GLP</t>
  </si>
  <si>
    <t>PG035LNN01XB3N0000</t>
  </si>
  <si>
    <t>TAMBOR INOX</t>
  </si>
  <si>
    <t>PG050LFN0RXS3G0000</t>
  </si>
  <si>
    <t>SECADORA PREMIUM</t>
  </si>
  <si>
    <t>PG035EFN0NGG3G0000</t>
  </si>
  <si>
    <t>230-240V/50-60/3Ph</t>
  </si>
  <si>
    <t>TAMBOR GALV</t>
  </si>
  <si>
    <t>ELÉCTRICO</t>
  </si>
  <si>
    <t>PG035EFN0RES3G0000</t>
  </si>
  <si>
    <t>PG050EFN0RGS3G0000</t>
  </si>
  <si>
    <t>PG050EFN0NGG3G0000</t>
  </si>
  <si>
    <t>PAC280XN0NXB20C0AA</t>
  </si>
  <si>
    <t>LAVADORA 2020 II</t>
  </si>
  <si>
    <t xml:space="preserve">RX180  </t>
  </si>
  <si>
    <t>20KG</t>
  </si>
  <si>
    <t>32KG</t>
  </si>
  <si>
    <t>27KG</t>
  </si>
  <si>
    <t>PYC280XN0HQB20E0AA</t>
  </si>
  <si>
    <t xml:space="preserve">350G </t>
  </si>
  <si>
    <t>PAC180XN0NXB20C0AA</t>
  </si>
  <si>
    <t>PYC180XN0HQB20C0AA</t>
  </si>
  <si>
    <t>PAC332XN0MQB2PS0AA</t>
  </si>
  <si>
    <t>LAVADORA 2020</t>
  </si>
  <si>
    <t>220/60HZ/3PH</t>
  </si>
  <si>
    <t xml:space="preserve">FX180 </t>
  </si>
  <si>
    <t xml:space="preserve">400G </t>
  </si>
  <si>
    <t>PYC135TN02QB20D0AS</t>
  </si>
  <si>
    <t>PYC180TN02QB20D0AS</t>
  </si>
  <si>
    <t>PAC332XN0NXB2PS0AA</t>
  </si>
  <si>
    <t xml:space="preserve">220/60HZ/1PH </t>
  </si>
  <si>
    <t>2019 II</t>
  </si>
  <si>
    <t>150G</t>
  </si>
  <si>
    <r>
      <t xml:space="preserve">LAVADORA INDUSTRIAL </t>
    </r>
    <r>
      <rPr>
        <b/>
        <sz val="10"/>
        <color theme="1"/>
        <rFont val="Arial"/>
        <family val="2"/>
      </rPr>
      <t>SOFTWASH</t>
    </r>
  </si>
  <si>
    <t xml:space="preserve">XCONTROL+ </t>
  </si>
  <si>
    <t>FX135</t>
  </si>
  <si>
    <t>15KG</t>
  </si>
  <si>
    <t>PG030LNN01XB3N0000</t>
  </si>
  <si>
    <t>PG035LFN0NXG3G0000</t>
  </si>
  <si>
    <t>PT050LQTF3G2G01</t>
  </si>
  <si>
    <t>PT075LQTF3G2G01</t>
  </si>
  <si>
    <t>PT075LRQB2G2G01</t>
  </si>
  <si>
    <r>
      <t xml:space="preserve">SECADORA </t>
    </r>
    <r>
      <rPr>
        <b/>
        <sz val="11"/>
        <color rgb="FF000000"/>
        <rFont val="Calibri"/>
        <family val="2"/>
      </rPr>
      <t>SOFTWASH</t>
    </r>
  </si>
  <si>
    <t>DX13</t>
  </si>
  <si>
    <t xml:space="preserve"> FULL OPL MICROPROCCESOR</t>
  </si>
  <si>
    <t>14 KG</t>
  </si>
  <si>
    <t xml:space="preserve">SECADORA </t>
  </si>
  <si>
    <t xml:space="preserve">DUAL DIGITAL CONTROL </t>
  </si>
  <si>
    <t>2019 SECADORAS</t>
  </si>
  <si>
    <r>
      <t xml:space="preserve">SECADORA </t>
    </r>
    <r>
      <rPr>
        <b/>
        <sz val="10"/>
        <color theme="1"/>
        <rFont val="Arial"/>
        <family val="2"/>
      </rPr>
      <t>SOFTWASH</t>
    </r>
  </si>
  <si>
    <t>FULL OPL MICROPROCCESOR</t>
  </si>
  <si>
    <t>Aprox</t>
  </si>
  <si>
    <t>200-240/60/1</t>
  </si>
  <si>
    <t>200-240/60/3</t>
  </si>
  <si>
    <t>PG035EFN0RGG3G0000</t>
  </si>
  <si>
    <t>PG050LFN0NXG3G0000</t>
  </si>
  <si>
    <t>PG050LFN0RXG3G0000</t>
  </si>
  <si>
    <t>PG075LFN0NXG3G0000</t>
  </si>
  <si>
    <t>PG075LFN0RXS3G0000</t>
  </si>
  <si>
    <t>PG075EFN0RGG3G0000</t>
  </si>
  <si>
    <t>2020 I SECADORAS</t>
  </si>
  <si>
    <t>XCONTROL +</t>
  </si>
  <si>
    <t>PAC***TN0N*U2***AN</t>
  </si>
  <si>
    <t>PACK  4</t>
  </si>
  <si>
    <t xml:space="preserve">XCONTROL + </t>
  </si>
  <si>
    <t>PAC***XN0M*U2***AJ</t>
  </si>
  <si>
    <t>PACK  2</t>
  </si>
  <si>
    <t>PACK 5</t>
  </si>
  <si>
    <t>XCONTROL  +</t>
  </si>
  <si>
    <t>PYC***TN0H*U2***AS</t>
  </si>
  <si>
    <t>LAVADORA INDUSTRIAL</t>
  </si>
  <si>
    <t>PACK 2</t>
  </si>
  <si>
    <t>PYC***TN0H*U2*F*AS</t>
  </si>
  <si>
    <t>PACK 3</t>
  </si>
  <si>
    <t>PROFESSIONAL OPL MICRO.</t>
  </si>
  <si>
    <t>P*****NN0R*S3N0000</t>
  </si>
  <si>
    <t>PACK 1 BASIC</t>
  </si>
  <si>
    <t>P*****NN0N*G3G0000</t>
  </si>
  <si>
    <t>Utilidad</t>
  </si>
  <si>
    <t>Valor de venta</t>
  </si>
  <si>
    <t>PRECIO DE VENTA</t>
  </si>
  <si>
    <t>X CONTROL +</t>
  </si>
  <si>
    <t>220V/60HZ/1PH</t>
  </si>
  <si>
    <t>-</t>
  </si>
  <si>
    <t>220V/60HZ/3PH</t>
  </si>
  <si>
    <t>FX -UY</t>
  </si>
  <si>
    <t>RX</t>
  </si>
  <si>
    <t>Lista Precio</t>
  </si>
  <si>
    <t>1% recargo</t>
  </si>
  <si>
    <t>Precio EXW</t>
  </si>
  <si>
    <t>Cantidad</t>
  </si>
  <si>
    <t>Fecha de llegada</t>
  </si>
  <si>
    <t>Costo EXW</t>
  </si>
  <si>
    <t>Costo DDP</t>
  </si>
  <si>
    <t>Precio de venta</t>
  </si>
  <si>
    <t>UNIMAC</t>
  </si>
  <si>
    <t xml:space="preserve">DUAL DIGITAL </t>
  </si>
  <si>
    <t>24 KG</t>
  </si>
  <si>
    <t>UNILINC</t>
  </si>
  <si>
    <t>GAS NATURAL</t>
  </si>
  <si>
    <t>5 Disp.</t>
  </si>
  <si>
    <t>45 KG</t>
  </si>
  <si>
    <t>200G</t>
  </si>
  <si>
    <t>M9</t>
  </si>
  <si>
    <t>LAVADORA</t>
  </si>
  <si>
    <t>36 KG</t>
  </si>
  <si>
    <t>100G</t>
  </si>
  <si>
    <t>18 KG</t>
  </si>
  <si>
    <t>38.5 KG</t>
  </si>
  <si>
    <t xml:space="preserve">M30 </t>
  </si>
  <si>
    <t xml:space="preserve">PREPARADO PARA VAPOR </t>
  </si>
  <si>
    <t>30 KG</t>
  </si>
  <si>
    <t>20 KG</t>
  </si>
  <si>
    <t>LAVADORAS RIGIDAS UNIMAC</t>
  </si>
  <si>
    <t xml:space="preserve">IMPORTACIÓN  </t>
  </si>
  <si>
    <t>SS40</t>
  </si>
  <si>
    <t>SS17</t>
  </si>
  <si>
    <t xml:space="preserve"> A VAPOR </t>
  </si>
  <si>
    <t>40 KG</t>
  </si>
  <si>
    <t>SAILSTAR</t>
  </si>
  <si>
    <t xml:space="preserve">FLOTANTE </t>
  </si>
  <si>
    <t>100 KG</t>
  </si>
  <si>
    <t>GP50</t>
  </si>
  <si>
    <t>50 KG</t>
  </si>
  <si>
    <t>SGP100</t>
  </si>
  <si>
    <t>BW-50II</t>
  </si>
  <si>
    <t>LAVADORA BARRERA CON SISTEMA DE PESAJE</t>
  </si>
  <si>
    <t>SECADORA INDUSTRIAL</t>
  </si>
  <si>
    <t>GZZ-50DII</t>
  </si>
  <si>
    <t>GDZ-20E</t>
  </si>
  <si>
    <t>Panel lateral/Front</t>
  </si>
  <si>
    <t>PANEL INOX.</t>
  </si>
  <si>
    <t>WET23</t>
  </si>
  <si>
    <t>SS23</t>
  </si>
  <si>
    <t>LAVADORA EXTRACTORA</t>
  </si>
  <si>
    <t xml:space="preserve">LAVADORA EXTRACTORA </t>
  </si>
  <si>
    <t>23 KG</t>
  </si>
  <si>
    <t>220V/60HZ/3P</t>
  </si>
  <si>
    <t>70 KG</t>
  </si>
  <si>
    <t>PRENSA DE PLANCHADO NEUMÁTICA</t>
  </si>
  <si>
    <t>ADC</t>
  </si>
  <si>
    <t>100 G</t>
  </si>
  <si>
    <t>RIGIDA</t>
  </si>
  <si>
    <t>ADE-120i</t>
  </si>
  <si>
    <t>54 KG</t>
  </si>
  <si>
    <t>ADG-758V</t>
  </si>
  <si>
    <t>ADE-80i</t>
  </si>
  <si>
    <t>200 G</t>
  </si>
  <si>
    <t xml:space="preserve">CROMADO </t>
  </si>
  <si>
    <t>RODILLO PLANCHADOR</t>
  </si>
  <si>
    <t>GMP</t>
  </si>
  <si>
    <t>GMP120.20</t>
  </si>
  <si>
    <t>GMP120.25</t>
  </si>
  <si>
    <t>G14.25</t>
  </si>
  <si>
    <t>PULIDO</t>
  </si>
  <si>
    <t>CROMADO</t>
  </si>
  <si>
    <t>CALANDRIA DE PLANCHADO</t>
  </si>
  <si>
    <t>RODILLOS Y CALANDRIAS</t>
  </si>
  <si>
    <t>G18.35</t>
  </si>
  <si>
    <t>GMP100.20</t>
  </si>
  <si>
    <t xml:space="preserve">ELÉCTRICO </t>
  </si>
  <si>
    <t>EQUIPOS SIDI</t>
  </si>
  <si>
    <t>MESAS Y CALDERINES</t>
  </si>
  <si>
    <t>SIDI 2019</t>
  </si>
  <si>
    <t>ARIES</t>
  </si>
  <si>
    <t>OMEGA 2000</t>
  </si>
  <si>
    <t>SIDI 2021</t>
  </si>
  <si>
    <t>1.8 L</t>
  </si>
  <si>
    <t>Plancha</t>
  </si>
  <si>
    <t>MINI</t>
  </si>
  <si>
    <t>230/1/60HZ</t>
  </si>
  <si>
    <t>CALDERIN CON PLANCHA</t>
  </si>
  <si>
    <t>2.3 L</t>
  </si>
  <si>
    <t>4.0 L</t>
  </si>
  <si>
    <t>220/1/60HZ</t>
  </si>
  <si>
    <t>MESA DE PLANCHAR ASPIRANTE CON TERMOSTATO</t>
  </si>
  <si>
    <t>SIDI</t>
  </si>
  <si>
    <t xml:space="preserve">CT-750/ULL </t>
  </si>
  <si>
    <t>CT-750/U</t>
  </si>
  <si>
    <t>NOVA</t>
  </si>
  <si>
    <t>BR-8</t>
  </si>
  <si>
    <t>BR-1</t>
  </si>
  <si>
    <t>C1 PS1000/9AC4LA</t>
  </si>
  <si>
    <t>C1 PS1000/9AC4UA</t>
  </si>
  <si>
    <t>C1 T1210/1S02A</t>
  </si>
  <si>
    <t>C4 G0200/1E00A</t>
  </si>
  <si>
    <t>C4 G0200/1E13A</t>
  </si>
  <si>
    <t>Código</t>
  </si>
  <si>
    <t>380V/60HZ/3PH</t>
  </si>
  <si>
    <t>STAR
SIDI</t>
  </si>
  <si>
    <t>PRENSA DE PLANCHADO NEUMÁTICA CON PLANCHA, CALDERA, C/COMPRESORA</t>
  </si>
  <si>
    <t>9 L</t>
  </si>
  <si>
    <t>5 L</t>
  </si>
  <si>
    <t>MESA DE PLANCHADO ASPIRANTE-SOPLANTE CON CALDERA 5LT+BRAZO+PLANCHA SIDI</t>
  </si>
  <si>
    <t xml:space="preserve">CALDERIN MOD. BR-8 CAP.5LT, 6KW </t>
  </si>
  <si>
    <t xml:space="preserve">CALDERIN CON PLANCHA DE MANO MOD. BR-1 CAP.5LT, 3,3KW </t>
  </si>
  <si>
    <t xml:space="preserve">MESA DE PLANCHADO ASPIRANTE,CON TERMOSTATO </t>
  </si>
  <si>
    <t>C4 ARS/SBS</t>
  </si>
  <si>
    <t>C1 03357</t>
  </si>
  <si>
    <t>SIDI 2021 II</t>
  </si>
  <si>
    <t>SIDI 2021 I</t>
  </si>
  <si>
    <t>EQUIPOS BIMAP</t>
  </si>
  <si>
    <t>PROFLEX A/S</t>
  </si>
  <si>
    <t>220V/60HZ</t>
  </si>
  <si>
    <t>BIMAP 2021 - OPEN</t>
  </si>
  <si>
    <t>100-16-00/226</t>
  </si>
  <si>
    <t xml:space="preserve">MESA DE PLANCHADO ASPIRANTE - SOPLANTE + BRAZO PARA MANGAS </t>
  </si>
  <si>
    <t>BIMAP</t>
  </si>
  <si>
    <t>BIMAP 2019</t>
  </si>
  <si>
    <t>150-03</t>
  </si>
  <si>
    <t>100-03</t>
  </si>
  <si>
    <t>PROGEN</t>
  </si>
  <si>
    <t>PROFIX</t>
  </si>
  <si>
    <t>MESA DE PLANCHADO ASPIRANTE CON BRAZO PARA MANGAS</t>
  </si>
  <si>
    <t>MESA DE PLANCHADO ASPIRANTE-SOPLANTE CON BRAZO PARA MANGAS</t>
  </si>
  <si>
    <t>001-03 EXTR</t>
  </si>
  <si>
    <t>003-03 EXTR</t>
  </si>
  <si>
    <t>005-03EXTR</t>
  </si>
  <si>
    <t>150-03EXTR</t>
  </si>
  <si>
    <t>150-01/SK E</t>
  </si>
  <si>
    <t>006-20 EXTR</t>
  </si>
  <si>
    <t>100-03 EXTR</t>
  </si>
  <si>
    <t>AS-S00-00E</t>
  </si>
  <si>
    <t>080 -50 EXTR</t>
  </si>
  <si>
    <t>080 -30 EXTR-</t>
  </si>
  <si>
    <t>330 -00 EXTR</t>
  </si>
  <si>
    <t>BIMAP 2016</t>
  </si>
  <si>
    <t>JASMIN</t>
  </si>
  <si>
    <t>DALIA</t>
  </si>
  <si>
    <t>IRIS</t>
  </si>
  <si>
    <t>RUBINO</t>
  </si>
  <si>
    <t>MONOVAP</t>
  </si>
  <si>
    <t>VAPOBOY</t>
  </si>
  <si>
    <t>PRONTOVAP 50</t>
  </si>
  <si>
    <t>PRONTOVAP 80</t>
  </si>
  <si>
    <t>PRONTOVAP 100</t>
  </si>
  <si>
    <t>220V/60HZ/1P</t>
  </si>
  <si>
    <t>CALDERIN CON PLANCHA  DE MANO</t>
  </si>
  <si>
    <t>3 L</t>
  </si>
  <si>
    <t xml:space="preserve">CALDERIN CON PLANCHA  DE MANO </t>
  </si>
  <si>
    <t>MESA PLANCHADO C/ CALDERINA + PLANCHA 1,8 LT</t>
  </si>
  <si>
    <t xml:space="preserve">MESA DE PLANCHADO ASPIRANTE SEMI-INDUSTRIAL </t>
  </si>
  <si>
    <t xml:space="preserve">CALDERA VERTICAL DE 2KW CON UNA PLANCHA </t>
  </si>
  <si>
    <t>MESA DE PLANCHADO ASPIRANTE SEMI-INDUSTRIAL</t>
  </si>
  <si>
    <t xml:space="preserve">GRUPO SEPARADOR DE CONDENSADO  </t>
  </si>
  <si>
    <t>CALDERIN AUTOMATICO</t>
  </si>
  <si>
    <t>8 L</t>
  </si>
  <si>
    <t>10 L</t>
  </si>
  <si>
    <t>LAVADORAS</t>
  </si>
  <si>
    <t>LAVADORA EXTRACTORA INDUSTRIAL</t>
  </si>
  <si>
    <t>30022V8Z</t>
  </si>
  <si>
    <t>30015V8Z</t>
  </si>
  <si>
    <t>MILNOR</t>
  </si>
  <si>
    <t>300 G</t>
  </si>
  <si>
    <t>CONTROL MILTOUCH</t>
  </si>
  <si>
    <t>MILNOR 2020</t>
  </si>
  <si>
    <t>EQUIPOS MILNOR</t>
  </si>
  <si>
    <t>X (220V/60HZ/1-3PH)</t>
  </si>
  <si>
    <t>BOILER FED</t>
  </si>
  <si>
    <t>M30</t>
  </si>
  <si>
    <t>BOILER FED + PREPARADO PARA VAPOR</t>
  </si>
  <si>
    <t>PREPARADO PARA VAPOR</t>
  </si>
  <si>
    <t>Q (220V/60HZ/3PH)</t>
  </si>
  <si>
    <t>H (380V/60Hz/3PH)</t>
  </si>
  <si>
    <t>Q (220V/60Hz/3Ph)</t>
  </si>
  <si>
    <t>55KG</t>
  </si>
  <si>
    <t>X (220/60HZ/1PH)</t>
  </si>
  <si>
    <t xml:space="preserve">X CONTROL </t>
  </si>
  <si>
    <t>47.6 KG</t>
  </si>
  <si>
    <t>Yasmin Ñahuin</t>
  </si>
  <si>
    <t>AÑO 22</t>
  </si>
  <si>
    <t>RX180</t>
  </si>
  <si>
    <t>28 KG</t>
  </si>
  <si>
    <t>RX135</t>
  </si>
  <si>
    <t xml:space="preserve">200 G </t>
  </si>
  <si>
    <t>400 G</t>
  </si>
  <si>
    <t>18KG</t>
  </si>
  <si>
    <t>DX24</t>
  </si>
  <si>
    <t xml:space="preserve">SECADORA INDUSTRIAL </t>
  </si>
  <si>
    <t xml:space="preserve">34 KG </t>
  </si>
  <si>
    <t xml:space="preserve">54 KG </t>
  </si>
  <si>
    <t>Serie</t>
  </si>
  <si>
    <t>UCT060</t>
  </si>
  <si>
    <t>UWT130</t>
  </si>
  <si>
    <t>SECADORA INDUSTRA</t>
  </si>
  <si>
    <t>NDENXAGS543MW01</t>
  </si>
  <si>
    <t>FDE</t>
  </si>
  <si>
    <t>SECADORA SEMI INDUSTRIAL</t>
  </si>
  <si>
    <t>HEC ELECTRONIC</t>
  </si>
  <si>
    <t>QUANTUM GOLD</t>
  </si>
  <si>
    <t>QUANTUM H7S-A4</t>
  </si>
  <si>
    <t>NSE</t>
  </si>
  <si>
    <t>10.2 KG</t>
  </si>
  <si>
    <t>SECADORA SEMI INDUSTRIAL - APILABLE</t>
  </si>
  <si>
    <t>UWT105</t>
  </si>
  <si>
    <t>UCT080</t>
  </si>
  <si>
    <t>55 KG</t>
  </si>
  <si>
    <t>GP70</t>
  </si>
  <si>
    <t>A VAPOR</t>
  </si>
  <si>
    <t>SIDI 2022-I</t>
  </si>
  <si>
    <t>MESA DE PLANCHADO ASPIRANTE CON TERMOSTATO</t>
  </si>
  <si>
    <t>FENIX</t>
  </si>
  <si>
    <t>ARS/LBS</t>
  </si>
  <si>
    <t>ST-702/U</t>
  </si>
  <si>
    <t>X CONTROL</t>
  </si>
  <si>
    <t>PRENSA UTILITARIA</t>
  </si>
  <si>
    <t>SAU45-II</t>
  </si>
  <si>
    <t>77 KG</t>
  </si>
  <si>
    <t>UNILINC TOUCH</t>
  </si>
  <si>
    <t>SINGLE DRYER</t>
  </si>
  <si>
    <t>UNLINC TOUCH</t>
  </si>
  <si>
    <t>DUAL DIGITAL</t>
  </si>
  <si>
    <t>P(380V/60Hz/3Ph)</t>
  </si>
  <si>
    <t>Q(220/60Hz/3Ph)</t>
  </si>
  <si>
    <t>GALVANIZADO</t>
  </si>
  <si>
    <t>INOXIDABLE</t>
  </si>
  <si>
    <t>UWT065</t>
  </si>
  <si>
    <t>UCT040</t>
  </si>
  <si>
    <t>X(200-240V/60Hz/1Ph)</t>
  </si>
  <si>
    <t>UWT085</t>
  </si>
  <si>
    <t>PRECIO DE VENTA A EFAMEINSA SIN INCL IGV</t>
  </si>
  <si>
    <t>PS0100/ 0A00UA</t>
  </si>
  <si>
    <t>PRENSA UNIVERSAL ST-702/U ASPIRADOR COLOR BLANCO, VAPOR PARA EL PLATO SUPERIOR COLT 230/1/60 HZ</t>
  </si>
  <si>
    <t>230/60HZ/3PH</t>
  </si>
  <si>
    <t>CT-750</t>
  </si>
  <si>
    <t>PRENSA NEUMATICA CT-750 PLATO UNIVERSAL,ASPIRADOR, 2PULSAD. COLOR BLANCO, PLATO UNIVERSAL, VAPOR PARA EL PLATO SUPERIOR, CIERRE PLATO SUPERIOR POR DOS PULSADORES PARA CONECTAR A CALDERA Y COMPRESOR EXTERIORES CON ASPIRADOR INCORPORADO VOLT. 230/1/60HZ</t>
  </si>
  <si>
    <t>PS100/0A04UA</t>
  </si>
  <si>
    <t>UWG045</t>
  </si>
  <si>
    <t xml:space="preserve">UNILINC TOUCH </t>
  </si>
  <si>
    <t>Q(220V/60HZ/3PH)</t>
  </si>
  <si>
    <t xml:space="preserve">PREPARADO PAR VAPOR </t>
  </si>
  <si>
    <t xml:space="preserve"> </t>
  </si>
  <si>
    <t xml:space="preserve">INOXIDABLE </t>
  </si>
  <si>
    <t xml:space="preserve">PREPARADO A VAPOR </t>
  </si>
  <si>
    <t>X(220V/60HZ/1-3PH)</t>
  </si>
  <si>
    <t xml:space="preserve">GAS NATURAL </t>
  </si>
  <si>
    <t>UST030</t>
  </si>
  <si>
    <t>SECADORA / LAVADORA INDUSTRIAL</t>
  </si>
  <si>
    <t>UST050</t>
  </si>
  <si>
    <t>46 KG</t>
  </si>
  <si>
    <t>X(220V/60HZ/1PH)</t>
  </si>
  <si>
    <t>Q(220/60HZ/3PH)</t>
  </si>
  <si>
    <t>G26.35</t>
  </si>
  <si>
    <t>GMP 140.25</t>
  </si>
  <si>
    <t>GMP E2 140.25</t>
  </si>
  <si>
    <t>GMP E2 120.25</t>
  </si>
  <si>
    <t>UCG080</t>
  </si>
  <si>
    <t>X (220V/60Hz/1-3Ph)</t>
  </si>
  <si>
    <t>UCT100</t>
  </si>
  <si>
    <t>UWG105</t>
  </si>
  <si>
    <t>90 KG</t>
  </si>
  <si>
    <t xml:space="preserve">P. SUPERIOR, FRONTAL Y LATERAL INOX. </t>
  </si>
  <si>
    <t xml:space="preserve">PANEL INOX. </t>
  </si>
  <si>
    <t>P. FRONTAL INOX</t>
  </si>
  <si>
    <t xml:space="preserve">P. FRONTAL INOX. </t>
  </si>
  <si>
    <t xml:space="preserve">P. FRONTAL, LATERAL INOX. </t>
  </si>
  <si>
    <t>OPTISPRAY</t>
  </si>
  <si>
    <t>P. FRONTAL, LATERAL INOX.</t>
  </si>
  <si>
    <t xml:space="preserve">STOCK </t>
  </si>
  <si>
    <t xml:space="preserve">Sistema C/ ENJUAGUE </t>
  </si>
  <si>
    <t>60 KG</t>
  </si>
  <si>
    <t xml:space="preserve">P. FRONTAL, LATERAL INOX </t>
  </si>
  <si>
    <t>P. FRONTAL, LATERAL INOX</t>
  </si>
  <si>
    <t>PREPARADO A VAPOR</t>
  </si>
  <si>
    <t>X (220V/50-60HZ/3PH)</t>
  </si>
  <si>
    <t>G (220V/60Hz/3PH)</t>
  </si>
  <si>
    <t xml:space="preserve">SISTEMA C/ SECADO </t>
  </si>
  <si>
    <t>OPTIDRY</t>
  </si>
  <si>
    <t>H (380V/60HZ/3PH)</t>
  </si>
  <si>
    <t>STOCK</t>
  </si>
  <si>
    <t>Q (220V/60HZ/1-3PH)</t>
  </si>
  <si>
    <t xml:space="preserve">GAS NATIRAL </t>
  </si>
  <si>
    <t xml:space="preserve">LISTA DE PRECIO - PRIMUS </t>
  </si>
  <si>
    <t xml:space="preserve">P. SUPERIOR INOX. </t>
  </si>
  <si>
    <t>MICROPROCESADOR</t>
  </si>
  <si>
    <t>13 KG</t>
  </si>
  <si>
    <t xml:space="preserve">SECADORA INDUSTRIAL - UNIMAC </t>
  </si>
  <si>
    <t xml:space="preserve">DOBLE CABINA SECADORA / LAVADORA APILABLE </t>
  </si>
  <si>
    <t xml:space="preserve">LISTA DE PRECIOS - UNIMAC </t>
  </si>
  <si>
    <t>220V/60HZ/1N</t>
  </si>
  <si>
    <t>380V/60HZ/3N</t>
  </si>
  <si>
    <t>TOUCH</t>
  </si>
  <si>
    <t xml:space="preserve">TOUCH </t>
  </si>
  <si>
    <t xml:space="preserve">Panel Inox. </t>
  </si>
  <si>
    <t xml:space="preserve">P. SUPERIOR, P. FRONTAL INOX. </t>
  </si>
  <si>
    <t>RIDIGA</t>
  </si>
  <si>
    <t>P. SUPERIOR, P. FRONTAL INOX.</t>
  </si>
  <si>
    <t xml:space="preserve">TODO INOX. </t>
  </si>
  <si>
    <t xml:space="preserve">P. FRONTAL, P. LATERAL INOX. </t>
  </si>
  <si>
    <t xml:space="preserve">Stock </t>
  </si>
  <si>
    <t>LISTA DE PRECIO - GMP</t>
  </si>
  <si>
    <t>LISTA DE PRECIO - SAILSTAR</t>
  </si>
  <si>
    <t>LAVADORAS INDUSTRIALES</t>
  </si>
  <si>
    <t>LISTA DE PRECIO - ADC</t>
  </si>
  <si>
    <t>15 KG</t>
  </si>
  <si>
    <t>37 KG</t>
  </si>
  <si>
    <t>Stock</t>
  </si>
  <si>
    <t>UG120E</t>
  </si>
  <si>
    <t>UG120L</t>
  </si>
  <si>
    <t>UT120L</t>
  </si>
  <si>
    <t>UT120N</t>
  </si>
  <si>
    <t>UT170N</t>
  </si>
  <si>
    <t>UT200L</t>
  </si>
  <si>
    <t>UT200N</t>
  </si>
  <si>
    <t>UT075L</t>
  </si>
  <si>
    <t>UT075N</t>
  </si>
  <si>
    <t>UT075E</t>
  </si>
  <si>
    <t>UT055N</t>
  </si>
  <si>
    <t>UG050E</t>
  </si>
  <si>
    <t xml:space="preserve">UNILINC </t>
  </si>
  <si>
    <t>Q(380V/60HZ/3PH)</t>
  </si>
  <si>
    <t xml:space="preserve">100 G </t>
  </si>
  <si>
    <t xml:space="preserve">Código </t>
  </si>
  <si>
    <t>I21451</t>
  </si>
  <si>
    <t>I22728</t>
  </si>
  <si>
    <t>I22219</t>
  </si>
  <si>
    <t>I22729</t>
  </si>
  <si>
    <t>I22730</t>
  </si>
  <si>
    <t>I21970</t>
  </si>
  <si>
    <t>I22472</t>
  </si>
  <si>
    <t>I22471</t>
  </si>
  <si>
    <t>I22724</t>
  </si>
  <si>
    <t>I22899</t>
  </si>
  <si>
    <t>I22900</t>
  </si>
  <si>
    <t>I25050</t>
  </si>
  <si>
    <t>I25051</t>
  </si>
  <si>
    <t>I25052</t>
  </si>
  <si>
    <t>I25053</t>
  </si>
  <si>
    <t>I25055</t>
  </si>
  <si>
    <t>I22895</t>
  </si>
  <si>
    <t>I22897</t>
  </si>
  <si>
    <t>I22898</t>
  </si>
  <si>
    <t>I22474</t>
  </si>
  <si>
    <t>I22475</t>
  </si>
  <si>
    <t>I22476</t>
  </si>
  <si>
    <t>I22162</t>
  </si>
  <si>
    <t>I22222</t>
  </si>
  <si>
    <t>I21975</t>
  </si>
  <si>
    <t>I22733</t>
  </si>
  <si>
    <t>I22889</t>
  </si>
  <si>
    <t>I22890</t>
  </si>
  <si>
    <t>I22154</t>
  </si>
  <si>
    <t>I22886</t>
  </si>
  <si>
    <t>I25043</t>
  </si>
  <si>
    <t>I25044</t>
  </si>
  <si>
    <t>I25045</t>
  </si>
  <si>
    <t>I25046</t>
  </si>
  <si>
    <t>I25047</t>
  </si>
  <si>
    <t>I25048</t>
  </si>
  <si>
    <t>I25049</t>
  </si>
  <si>
    <t>I21981</t>
  </si>
  <si>
    <t>I21982</t>
  </si>
  <si>
    <t>I22158</t>
  </si>
  <si>
    <t>I22159</t>
  </si>
  <si>
    <t>I22161</t>
  </si>
  <si>
    <t>I22481</t>
  </si>
  <si>
    <t>I22479</t>
  </si>
  <si>
    <t>I22891</t>
  </si>
  <si>
    <t>I22739</t>
  </si>
  <si>
    <t>I25056</t>
  </si>
  <si>
    <t>I22894</t>
  </si>
  <si>
    <t>I22901</t>
  </si>
  <si>
    <t>I22297</t>
  </si>
  <si>
    <t>I22298</t>
  </si>
  <si>
    <t>I25019</t>
  </si>
  <si>
    <t>I22563</t>
  </si>
  <si>
    <t>I22566</t>
  </si>
  <si>
    <t>I25009</t>
  </si>
  <si>
    <t>I25014</t>
  </si>
  <si>
    <t>I25015</t>
  </si>
  <si>
    <t>I25016</t>
  </si>
  <si>
    <t>I25017</t>
  </si>
  <si>
    <t>I25018</t>
  </si>
  <si>
    <t>X(220V/60Hz/1Ph)</t>
  </si>
  <si>
    <t>I22051</t>
  </si>
  <si>
    <t>I22817</t>
  </si>
  <si>
    <t>I22818</t>
  </si>
  <si>
    <t>I22819</t>
  </si>
  <si>
    <t>I21786</t>
  </si>
  <si>
    <t>I22294</t>
  </si>
  <si>
    <t>I22293</t>
  </si>
  <si>
    <t>I21383</t>
  </si>
  <si>
    <t>I22731</t>
  </si>
  <si>
    <t>I22732</t>
  </si>
  <si>
    <t>I22229</t>
  </si>
  <si>
    <t>I22482</t>
  </si>
  <si>
    <t>I22487</t>
  </si>
  <si>
    <t>I22483</t>
  </si>
  <si>
    <t>I22484</t>
  </si>
  <si>
    <t>I22486</t>
  </si>
  <si>
    <t>I22492</t>
  </si>
  <si>
    <t>I22493</t>
  </si>
  <si>
    <t>I22490</t>
  </si>
  <si>
    <t>I22491</t>
  </si>
  <si>
    <t>I22740</t>
  </si>
  <si>
    <t>I22741</t>
  </si>
  <si>
    <t>I22742</t>
  </si>
  <si>
    <t>I22743</t>
  </si>
  <si>
    <t>I22744</t>
  </si>
  <si>
    <t>I22745</t>
  </si>
  <si>
    <t>I22746</t>
  </si>
  <si>
    <t>I22747</t>
  </si>
  <si>
    <t>I22748</t>
  </si>
  <si>
    <t>I22749</t>
  </si>
  <si>
    <t>I22227</t>
  </si>
  <si>
    <t>I22228</t>
  </si>
  <si>
    <t>I22637</t>
  </si>
  <si>
    <t>I22638</t>
  </si>
  <si>
    <t>I21069</t>
  </si>
  <si>
    <t>I25024</t>
  </si>
  <si>
    <t>I22650</t>
  </si>
  <si>
    <t>I25025</t>
  </si>
  <si>
    <t>I25028</t>
  </si>
  <si>
    <t>I25029</t>
  </si>
  <si>
    <t>I25030</t>
  </si>
  <si>
    <t>I25031</t>
  </si>
  <si>
    <t>I25032</t>
  </si>
  <si>
    <t>I25033</t>
  </si>
  <si>
    <t>I25035</t>
  </si>
  <si>
    <t>I25036</t>
  </si>
  <si>
    <t xml:space="preserve">   </t>
  </si>
  <si>
    <t>I25040</t>
  </si>
  <si>
    <t>I25039</t>
  </si>
  <si>
    <t>Costo Octubre 2025</t>
  </si>
  <si>
    <t xml:space="preserve">Valor de venta oferta </t>
  </si>
  <si>
    <t>I21869</t>
  </si>
  <si>
    <t>I22175</t>
  </si>
  <si>
    <t>I22173</t>
  </si>
  <si>
    <t>I22167</t>
  </si>
  <si>
    <t>I22165</t>
  </si>
  <si>
    <t>I22573</t>
  </si>
  <si>
    <t>I22574</t>
  </si>
  <si>
    <t>I22164</t>
  </si>
  <si>
    <t>I22174</t>
  </si>
  <si>
    <t>I21020</t>
  </si>
  <si>
    <t>I21882</t>
  </si>
  <si>
    <t>I21881</t>
  </si>
  <si>
    <t>I22577</t>
  </si>
  <si>
    <t>I22578</t>
  </si>
  <si>
    <t>I22323</t>
  </si>
  <si>
    <t>I22324</t>
  </si>
  <si>
    <t>I22325</t>
  </si>
  <si>
    <t>I22322</t>
  </si>
  <si>
    <t>I22326</t>
  </si>
  <si>
    <t>I21009</t>
  </si>
  <si>
    <t>Valor sin IGV</t>
  </si>
  <si>
    <t>COSTO COMPASS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</si>
</sst>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dd/mm/yyyy;@"/>
    <numFmt numFmtId="166" formatCode="0.0%"/>
    <numFmt numFmtId="167" formatCode="0.000"/>
    <numFmt numFmtId="168" formatCode="_-[$$-540A]* #,##0.00_ ;_-[$$-540A]* \-#,##0.00\ ;_-[$$-540A]* &quot;-&quot;??_ ;_-@_ "/>
    <numFmt numFmtId="169" formatCode="[$$-409]#,##0.00"/>
  </numFmts>
  <fonts count="2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color rgb="FF444444"/>
      <name val="Arial"/>
      <family val="2"/>
    </font>
    <font>
      <sz val="10"/>
      <color theme="1"/>
      <name val="Calibri"/>
      <family val="2"/>
      <scheme val="minor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444444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7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7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17" fontId="0" fillId="0" borderId="0" xfId="0" applyNumberFormat="1" applyAlignment="1">
      <alignment horizontal="center" vertical="center"/>
    </xf>
    <xf numFmtId="16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17" fontId="0" fillId="5" borderId="1" xfId="0" applyNumberForma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 wrapText="1"/>
    </xf>
    <xf numFmtId="17" fontId="2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/>
    </xf>
    <xf numFmtId="17" fontId="0" fillId="5" borderId="9" xfId="0" applyNumberForma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17" fontId="2" fillId="5" borderId="9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17" fontId="2" fillId="0" borderId="9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17" fontId="0" fillId="0" borderId="9" xfId="0" applyNumberForma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3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164" fontId="2" fillId="6" borderId="3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9" fontId="0" fillId="9" borderId="1" xfId="0" applyNumberFormat="1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7" fontId="0" fillId="0" borderId="0" xfId="0" applyNumberFormat="1"/>
    <xf numFmtId="9" fontId="0" fillId="9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0" fontId="0" fillId="8" borderId="1" xfId="0" applyFill="1" applyBorder="1"/>
    <xf numFmtId="164" fontId="2" fillId="8" borderId="1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165" fontId="2" fillId="0" borderId="0" xfId="0" applyNumberFormat="1" applyFont="1"/>
    <xf numFmtId="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17" fontId="2" fillId="0" borderId="9" xfId="0" applyNumberFormat="1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17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7" fontId="2" fillId="6" borderId="1" xfId="0" applyNumberFormat="1" applyFont="1" applyFill="1" applyBorder="1" applyAlignment="1">
      <alignment horizontal="center" vertical="center"/>
    </xf>
    <xf numFmtId="0" fontId="2" fillId="6" borderId="0" xfId="0" applyFont="1" applyFill="1"/>
    <xf numFmtId="0" fontId="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17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17" fontId="9" fillId="0" borderId="12" xfId="0" applyNumberFormat="1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8" fontId="2" fillId="0" borderId="0" xfId="0" applyNumberFormat="1" applyFont="1"/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17" fontId="2" fillId="0" borderId="12" xfId="0" applyNumberFormat="1" applyFont="1" applyBorder="1" applyAlignment="1">
      <alignment horizontal="center" vertical="center"/>
    </xf>
    <xf numFmtId="168" fontId="2" fillId="0" borderId="22" xfId="0" applyNumberFormat="1" applyFont="1" applyBorder="1" applyAlignment="1">
      <alignment horizontal="center" vertical="center"/>
    </xf>
    <xf numFmtId="168" fontId="2" fillId="0" borderId="19" xfId="0" applyNumberFormat="1" applyFont="1" applyBorder="1" applyAlignment="1">
      <alignment horizontal="center" vertical="center"/>
    </xf>
    <xf numFmtId="168" fontId="1" fillId="0" borderId="0" xfId="0" applyNumberFormat="1" applyFont="1" applyAlignment="1">
      <alignment horizontal="left" vertical="center"/>
    </xf>
    <xf numFmtId="168" fontId="1" fillId="2" borderId="2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8" fontId="2" fillId="0" borderId="11" xfId="0" applyNumberFormat="1" applyFont="1" applyBorder="1" applyAlignment="1">
      <alignment horizontal="center" vertical="center"/>
    </xf>
    <xf numFmtId="168" fontId="2" fillId="0" borderId="17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7" fontId="2" fillId="0" borderId="31" xfId="0" applyNumberFormat="1" applyFont="1" applyBorder="1" applyAlignment="1">
      <alignment horizontal="center" vertical="center"/>
    </xf>
    <xf numFmtId="17" fontId="2" fillId="6" borderId="24" xfId="0" applyNumberFormat="1" applyFont="1" applyFill="1" applyBorder="1" applyAlignment="1">
      <alignment horizontal="center" vertical="center"/>
    </xf>
    <xf numFmtId="164" fontId="2" fillId="6" borderId="24" xfId="0" applyNumberFormat="1" applyFont="1" applyFill="1" applyBorder="1" applyAlignment="1">
      <alignment horizontal="center" vertical="center" wrapText="1"/>
    </xf>
    <xf numFmtId="17" fontId="2" fillId="6" borderId="29" xfId="0" applyNumberFormat="1" applyFont="1" applyFill="1" applyBorder="1" applyAlignment="1">
      <alignment horizontal="center" vertical="center"/>
    </xf>
    <xf numFmtId="17" fontId="2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/>
    </xf>
    <xf numFmtId="17" fontId="2" fillId="6" borderId="31" xfId="0" applyNumberFormat="1" applyFont="1" applyFill="1" applyBorder="1" applyAlignment="1">
      <alignment horizontal="center" vertical="center"/>
    </xf>
    <xf numFmtId="169" fontId="14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164" fontId="2" fillId="6" borderId="3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14" fontId="1" fillId="6" borderId="0" xfId="0" applyNumberFormat="1" applyFont="1" applyFill="1" applyAlignment="1">
      <alignment horizontal="left"/>
    </xf>
    <xf numFmtId="0" fontId="1" fillId="2" borderId="43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17" fontId="2" fillId="6" borderId="24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" borderId="37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17" fontId="2" fillId="6" borderId="13" xfId="0" applyNumberFormat="1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 wrapText="1"/>
    </xf>
    <xf numFmtId="168" fontId="2" fillId="0" borderId="32" xfId="0" applyNumberFormat="1" applyFont="1" applyBorder="1" applyAlignment="1">
      <alignment horizontal="center" vertical="center"/>
    </xf>
    <xf numFmtId="0" fontId="24" fillId="0" borderId="0" xfId="0" applyFont="1"/>
    <xf numFmtId="0" fontId="16" fillId="6" borderId="29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26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164" fontId="2" fillId="6" borderId="32" xfId="0" applyNumberFormat="1" applyFont="1" applyFill="1" applyBorder="1" applyAlignment="1">
      <alignment horizontal="center" vertical="center" wrapText="1"/>
    </xf>
    <xf numFmtId="14" fontId="1" fillId="6" borderId="0" xfId="0" applyNumberFormat="1" applyFont="1" applyFill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164" fontId="2" fillId="6" borderId="25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1" fontId="2" fillId="6" borderId="26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17" fontId="2" fillId="0" borderId="29" xfId="0" applyNumberFormat="1" applyFont="1" applyBorder="1" applyAlignment="1">
      <alignment horizontal="center" vertical="center"/>
    </xf>
    <xf numFmtId="164" fontId="2" fillId="6" borderId="29" xfId="0" applyNumberFormat="1" applyFont="1" applyFill="1" applyBorder="1" applyAlignment="1">
      <alignment horizontal="center" vertical="center" wrapText="1"/>
    </xf>
    <xf numFmtId="164" fontId="2" fillId="6" borderId="29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7" fontId="2" fillId="0" borderId="24" xfId="0" applyNumberFormat="1" applyFont="1" applyBorder="1" applyAlignment="1">
      <alignment horizontal="center" vertical="center"/>
    </xf>
    <xf numFmtId="164" fontId="2" fillId="6" borderId="24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/>
    </xf>
    <xf numFmtId="168" fontId="2" fillId="0" borderId="24" xfId="0" applyNumberFormat="1" applyFont="1" applyBorder="1" applyAlignment="1">
      <alignment horizontal="center" vertical="center"/>
    </xf>
    <xf numFmtId="168" fontId="2" fillId="0" borderId="25" xfId="0" applyNumberFormat="1" applyFont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168" fontId="2" fillId="0" borderId="29" xfId="0" applyNumberFormat="1" applyFont="1" applyBorder="1" applyAlignment="1">
      <alignment horizontal="center" vertical="center"/>
    </xf>
    <xf numFmtId="168" fontId="2" fillId="0" borderId="30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4" fillId="6" borderId="24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4" fillId="6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2" fillId="0" borderId="5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24" fillId="6" borderId="1" xfId="0" applyFont="1" applyFill="1" applyBorder="1" applyAlignment="1" applyProtection="1">
      <alignment horizontal="center" vertical="center"/>
      <protection locked="0"/>
    </xf>
    <xf numFmtId="0" fontId="24" fillId="6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4" fillId="6" borderId="31" xfId="0" applyFont="1" applyFill="1" applyBorder="1" applyAlignment="1" applyProtection="1">
      <alignment horizontal="center" vertical="center"/>
      <protection locked="0"/>
    </xf>
    <xf numFmtId="164" fontId="2" fillId="0" borderId="32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164" fontId="2" fillId="0" borderId="27" xfId="0" applyNumberFormat="1" applyFont="1" applyBorder="1" applyAlignment="1">
      <alignment horizontal="center" vertical="center"/>
    </xf>
    <xf numFmtId="164" fontId="2" fillId="6" borderId="27" xfId="0" applyNumberFormat="1" applyFont="1" applyFill="1" applyBorder="1" applyAlignment="1">
      <alignment horizontal="center" vertical="center" wrapText="1"/>
    </xf>
    <xf numFmtId="0" fontId="24" fillId="6" borderId="24" xfId="0" applyFont="1" applyFill="1" applyBorder="1" applyAlignment="1" applyProtection="1">
      <alignment horizontal="center" vertical="center" wrapText="1"/>
      <protection locked="0"/>
    </xf>
    <xf numFmtId="0" fontId="24" fillId="0" borderId="24" xfId="0" applyFont="1" applyBorder="1" applyAlignment="1" applyProtection="1">
      <alignment horizontal="center" vertical="center" wrapText="1"/>
      <protection locked="0"/>
    </xf>
    <xf numFmtId="0" fontId="18" fillId="0" borderId="24" xfId="0" applyFont="1" applyBorder="1" applyAlignment="1">
      <alignment horizontal="center" vertical="center"/>
    </xf>
    <xf numFmtId="0" fontId="24" fillId="0" borderId="1" xfId="0" applyFont="1" applyBorder="1" applyAlignment="1" applyProtection="1">
      <alignment horizontal="center" vertical="center"/>
      <protection locked="0"/>
    </xf>
    <xf numFmtId="1" fontId="2" fillId="6" borderId="41" xfId="0" applyNumberFormat="1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1" fontId="2" fillId="6" borderId="49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4" fillId="6" borderId="24" xfId="0" applyFont="1" applyFill="1" applyBorder="1" applyAlignment="1" applyProtection="1">
      <alignment horizontal="center" vertical="center"/>
      <protection locked="0"/>
    </xf>
    <xf numFmtId="0" fontId="24" fillId="6" borderId="29" xfId="0" applyFont="1" applyFill="1" applyBorder="1" applyAlignment="1" applyProtection="1">
      <alignment horizontal="center" vertical="center"/>
      <protection locked="0"/>
    </xf>
    <xf numFmtId="164" fontId="2" fillId="0" borderId="30" xfId="0" applyNumberFormat="1" applyFont="1" applyBorder="1" applyAlignment="1">
      <alignment horizontal="center" vertical="center"/>
    </xf>
    <xf numFmtId="17" fontId="9" fillId="0" borderId="24" xfId="0" applyNumberFormat="1" applyFont="1" applyBorder="1" applyAlignment="1">
      <alignment horizontal="center" vertical="center" wrapText="1"/>
    </xf>
    <xf numFmtId="164" fontId="2" fillId="6" borderId="30" xfId="0" applyNumberFormat="1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168" fontId="2" fillId="0" borderId="45" xfId="0" applyNumberFormat="1" applyFont="1" applyBorder="1"/>
    <xf numFmtId="168" fontId="2" fillId="0" borderId="33" xfId="0" applyNumberFormat="1" applyFont="1" applyBorder="1"/>
    <xf numFmtId="168" fontId="2" fillId="0" borderId="56" xfId="0" applyNumberFormat="1" applyFont="1" applyBorder="1"/>
    <xf numFmtId="168" fontId="2" fillId="0" borderId="48" xfId="0" applyNumberFormat="1" applyFont="1" applyBorder="1"/>
    <xf numFmtId="168" fontId="2" fillId="0" borderId="42" xfId="0" applyNumberFormat="1" applyFont="1" applyBorder="1" applyAlignment="1">
      <alignment horizontal="center" vertical="center"/>
    </xf>
    <xf numFmtId="168" fontId="2" fillId="0" borderId="44" xfId="0" applyNumberFormat="1" applyFont="1" applyBorder="1"/>
    <xf numFmtId="168" fontId="2" fillId="0" borderId="36" xfId="0" applyNumberFormat="1" applyFont="1" applyBorder="1"/>
    <xf numFmtId="168" fontId="2" fillId="0" borderId="55" xfId="0" applyNumberFormat="1" applyFont="1" applyBorder="1"/>
    <xf numFmtId="14" fontId="2" fillId="0" borderId="0" xfId="0" applyNumberFormat="1" applyFont="1" applyAlignment="1">
      <alignment horizontal="center" vertical="center"/>
    </xf>
    <xf numFmtId="0" fontId="2" fillId="6" borderId="35" xfId="0" applyFont="1" applyFill="1" applyBorder="1" applyAlignment="1">
      <alignment horizontal="center" vertical="center" wrapText="1"/>
    </xf>
    <xf numFmtId="0" fontId="2" fillId="6" borderId="57" xfId="0" applyFont="1" applyFill="1" applyBorder="1" applyAlignment="1">
      <alignment horizontal="center" vertical="center" wrapText="1"/>
    </xf>
    <xf numFmtId="168" fontId="2" fillId="0" borderId="31" xfId="0" applyNumberFormat="1" applyFont="1" applyBorder="1" applyAlignment="1">
      <alignment horizontal="center" vertical="center"/>
    </xf>
    <xf numFmtId="168" fontId="2" fillId="0" borderId="13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168" fontId="2" fillId="0" borderId="56" xfId="0" applyNumberFormat="1" applyFont="1" applyBorder="1" applyAlignment="1">
      <alignment horizontal="center" vertical="center"/>
    </xf>
    <xf numFmtId="168" fontId="2" fillId="0" borderId="34" xfId="0" applyNumberFormat="1" applyFont="1" applyBorder="1" applyAlignment="1">
      <alignment horizontal="center" vertical="center"/>
    </xf>
    <xf numFmtId="164" fontId="2" fillId="6" borderId="38" xfId="0" applyNumberFormat="1" applyFont="1" applyFill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164" fontId="2" fillId="6" borderId="25" xfId="0" applyNumberFormat="1" applyFont="1" applyFill="1" applyBorder="1" applyAlignment="1">
      <alignment horizontal="center" vertical="center"/>
    </xf>
    <xf numFmtId="164" fontId="2" fillId="6" borderId="30" xfId="0" applyNumberFormat="1" applyFont="1" applyFill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17" fontId="2" fillId="0" borderId="13" xfId="0" applyNumberFormat="1" applyFont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 wrapText="1"/>
    </xf>
    <xf numFmtId="164" fontId="2" fillId="6" borderId="31" xfId="0" applyNumberFormat="1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0" fontId="16" fillId="6" borderId="29" xfId="0" applyFont="1" applyFill="1" applyBorder="1" applyAlignment="1">
      <alignment horizontal="center" vertical="center" wrapText="1"/>
    </xf>
    <xf numFmtId="0" fontId="24" fillId="6" borderId="29" xfId="0" applyFont="1" applyFill="1" applyBorder="1" applyAlignment="1" applyProtection="1">
      <alignment horizontal="center" vertical="center" wrapText="1"/>
      <protection locked="0"/>
    </xf>
    <xf numFmtId="0" fontId="13" fillId="6" borderId="29" xfId="0" applyFont="1" applyFill="1" applyBorder="1" applyAlignment="1">
      <alignment horizontal="center" vertical="center" wrapText="1"/>
    </xf>
    <xf numFmtId="0" fontId="18" fillId="6" borderId="29" xfId="0" applyFont="1" applyFill="1" applyBorder="1" applyAlignment="1">
      <alignment horizontal="center" vertical="center" wrapText="1"/>
    </xf>
    <xf numFmtId="169" fontId="14" fillId="6" borderId="29" xfId="0" applyNumberFormat="1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 wrapText="1"/>
    </xf>
    <xf numFmtId="0" fontId="18" fillId="6" borderId="31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/>
    </xf>
    <xf numFmtId="17" fontId="2" fillId="6" borderId="29" xfId="0" applyNumberFormat="1" applyFont="1" applyFill="1" applyBorder="1" applyAlignment="1">
      <alignment horizontal="center" vertical="center" wrapText="1"/>
    </xf>
    <xf numFmtId="0" fontId="16" fillId="6" borderId="31" xfId="0" applyFont="1" applyFill="1" applyBorder="1" applyAlignment="1">
      <alignment horizontal="center" vertical="center" wrapText="1"/>
    </xf>
    <xf numFmtId="17" fontId="2" fillId="6" borderId="31" xfId="0" applyNumberFormat="1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22" fillId="3" borderId="34" xfId="0" applyFont="1" applyFill="1" applyBorder="1" applyAlignment="1">
      <alignment horizontal="center" vertical="center"/>
    </xf>
    <xf numFmtId="0" fontId="22" fillId="3" borderId="44" xfId="0" applyFont="1" applyFill="1" applyBorder="1" applyAlignment="1">
      <alignment horizontal="center" vertical="center"/>
    </xf>
    <xf numFmtId="0" fontId="22" fillId="3" borderId="36" xfId="0" applyFont="1" applyFill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44" xfId="0" applyFont="1" applyFill="1" applyBorder="1" applyAlignment="1">
      <alignment horizontal="center" vertical="center"/>
    </xf>
    <xf numFmtId="0" fontId="23" fillId="3" borderId="36" xfId="0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2" fillId="6" borderId="60" xfId="0" applyNumberFormat="1" applyFont="1" applyFill="1" applyBorder="1" applyAlignment="1">
      <alignment horizontal="center" vertical="center" wrapText="1"/>
    </xf>
    <xf numFmtId="164" fontId="2" fillId="6" borderId="61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164" fontId="2" fillId="6" borderId="62" xfId="0" applyNumberFormat="1" applyFont="1" applyFill="1" applyBorder="1" applyAlignment="1">
      <alignment horizontal="center" vertical="center" wrapText="1"/>
    </xf>
    <xf numFmtId="164" fontId="2" fillId="0" borderId="61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6" borderId="62" xfId="0" applyNumberFormat="1" applyFont="1" applyFill="1" applyBorder="1" applyAlignment="1">
      <alignment horizontal="center" vertical="center"/>
    </xf>
    <xf numFmtId="164" fontId="2" fillId="6" borderId="61" xfId="0" applyNumberFormat="1" applyFont="1" applyFill="1" applyBorder="1" applyAlignment="1">
      <alignment horizontal="center" vertical="center"/>
    </xf>
    <xf numFmtId="164" fontId="2" fillId="6" borderId="60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168" fontId="2" fillId="0" borderId="60" xfId="0" applyNumberFormat="1" applyFont="1" applyBorder="1" applyAlignment="1">
      <alignment horizontal="center" vertical="center"/>
    </xf>
    <xf numFmtId="168" fontId="2" fillId="0" borderId="61" xfId="0" applyNumberFormat="1" applyFont="1" applyBorder="1" applyAlignment="1">
      <alignment horizontal="center" vertical="center"/>
    </xf>
    <xf numFmtId="168" fontId="2" fillId="0" borderId="62" xfId="0" applyNumberFormat="1" applyFont="1" applyBorder="1" applyAlignment="1">
      <alignment horizontal="center" vertical="center"/>
    </xf>
    <xf numFmtId="168" fontId="2" fillId="0" borderId="63" xfId="0" applyNumberFormat="1" applyFont="1" applyBorder="1" applyAlignment="1">
      <alignment horizontal="center" vertical="center"/>
    </xf>
    <xf numFmtId="0" fontId="1" fillId="11" borderId="59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12" borderId="38" xfId="0" applyFont="1" applyFill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center" vertical="center" wrapText="1"/>
    </xf>
    <xf numFmtId="0" fontId="1" fillId="0" borderId="4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2" borderId="4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1" fillId="11" borderId="31" xfId="0" applyFont="1" applyFill="1" applyBorder="1" applyAlignment="1">
      <alignment horizontal="center" vertical="center" wrapText="1"/>
    </xf>
    <xf numFmtId="0" fontId="1" fillId="12" borderId="31" xfId="0" applyFont="1" applyFill="1" applyBorder="1" applyAlignment="1">
      <alignment horizontal="center" vertical="center" wrapText="1"/>
    </xf>
    <xf numFmtId="0" fontId="1" fillId="11" borderId="32" xfId="0" applyFont="1" applyFill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10" borderId="31" xfId="0" applyFont="1" applyFill="1" applyBorder="1" applyAlignment="1">
      <alignment horizontal="center" vertical="center" wrapText="1"/>
    </xf>
    <xf numFmtId="0" fontId="1" fillId="12" borderId="60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FFCCFF"/>
      <color rgb="FFCC660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U62"/>
  <sheetViews>
    <sheetView tabSelected="1" zoomScale="57" zoomScaleNormal="57" zoomScaleSheetLayoutView="55" workbookViewId="0">
      <pane xSplit="6" topLeftCell="G1" activePane="topRight" state="frozen"/>
      <selection pane="topRight" activeCell="B6" sqref="B6"/>
    </sheetView>
  </sheetViews>
  <sheetFormatPr baseColWidth="10" defaultColWidth="11.453125" defaultRowHeight="17.5" x14ac:dyDescent="0.35"/>
  <cols>
    <col min="1" max="1" width="1.453125" style="34" customWidth="1"/>
    <col min="2" max="2" width="5.6328125" style="34" customWidth="1"/>
    <col min="3" max="3" width="13.81640625" style="34" customWidth="1"/>
    <col min="4" max="4" width="14.453125" style="34" customWidth="1"/>
    <col min="5" max="5" width="11.1796875" style="34" customWidth="1"/>
    <col min="6" max="6" width="11.453125" style="34" customWidth="1"/>
    <col min="7" max="7" width="11.6328125" style="34" customWidth="1"/>
    <col min="8" max="8" width="21.1796875" style="34" customWidth="1"/>
    <col min="9" max="9" width="9.453125" style="34" customWidth="1"/>
    <col min="10" max="10" width="16" style="14" customWidth="1"/>
    <col min="11" max="11" width="13.1796875" style="34" customWidth="1"/>
    <col min="12" max="12" width="13.453125" style="34" customWidth="1"/>
    <col min="13" max="13" width="25.6328125" style="34" customWidth="1"/>
    <col min="14" max="14" width="9" style="34" customWidth="1"/>
    <col min="15" max="15" width="10.453125" style="214" customWidth="1"/>
    <col min="16" max="16" width="12.6328125" style="34" customWidth="1"/>
    <col min="17" max="17" width="11.453125" style="34" customWidth="1"/>
    <col min="18" max="18" width="17.453125" style="234" bestFit="1" customWidth="1"/>
    <col min="19" max="19" width="17.453125" style="234" customWidth="1"/>
    <col min="20" max="21" width="12.453125" style="34" bestFit="1" customWidth="1"/>
    <col min="22" max="16384" width="11.453125" style="34"/>
  </cols>
  <sheetData>
    <row r="1" spans="2:21" ht="23.5" thickBot="1" x14ac:dyDescent="0.4">
      <c r="B1" s="409" t="s">
        <v>450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1"/>
      <c r="R1" s="34"/>
      <c r="S1" s="34"/>
    </row>
    <row r="2" spans="2:21" ht="18" thickBot="1" x14ac:dyDescent="0.4">
      <c r="B2" s="401" t="s">
        <v>185</v>
      </c>
      <c r="C2" s="402"/>
      <c r="D2" s="402"/>
      <c r="E2" s="402"/>
      <c r="F2" s="402"/>
      <c r="G2" s="403"/>
      <c r="R2" s="241">
        <v>45950</v>
      </c>
      <c r="S2" s="241"/>
    </row>
    <row r="3" spans="2:21" ht="26.5" thickBot="1" x14ac:dyDescent="0.4">
      <c r="B3" s="461" t="s">
        <v>0</v>
      </c>
      <c r="C3" s="462" t="s">
        <v>484</v>
      </c>
      <c r="D3" s="462" t="s">
        <v>1</v>
      </c>
      <c r="E3" s="220" t="s">
        <v>2</v>
      </c>
      <c r="F3" s="462" t="s">
        <v>5</v>
      </c>
      <c r="G3" s="462" t="s">
        <v>6</v>
      </c>
      <c r="H3" s="462" t="s">
        <v>8</v>
      </c>
      <c r="I3" s="462" t="s">
        <v>11</v>
      </c>
      <c r="J3" s="462" t="s">
        <v>203</v>
      </c>
      <c r="K3" s="462" t="s">
        <v>431</v>
      </c>
      <c r="L3" s="463" t="s">
        <v>39</v>
      </c>
      <c r="M3" s="462" t="s">
        <v>7</v>
      </c>
      <c r="N3" s="462" t="s">
        <v>172</v>
      </c>
      <c r="O3" s="470" t="s">
        <v>430</v>
      </c>
      <c r="P3" s="462" t="s">
        <v>3</v>
      </c>
      <c r="Q3" s="462" t="s">
        <v>163</v>
      </c>
      <c r="R3" s="472" t="s">
        <v>595</v>
      </c>
      <c r="S3" s="473" t="s">
        <v>618</v>
      </c>
      <c r="T3" s="474" t="s">
        <v>596</v>
      </c>
      <c r="U3" s="474" t="s">
        <v>617</v>
      </c>
    </row>
    <row r="4" spans="2:21" ht="25.5" thickBot="1" x14ac:dyDescent="0.4">
      <c r="B4" s="315">
        <v>1</v>
      </c>
      <c r="C4" s="325" t="s">
        <v>485</v>
      </c>
      <c r="D4" s="193" t="s">
        <v>46</v>
      </c>
      <c r="E4" s="220" t="s">
        <v>399</v>
      </c>
      <c r="F4" s="193" t="s">
        <v>181</v>
      </c>
      <c r="G4" s="193" t="s">
        <v>64</v>
      </c>
      <c r="H4" s="193" t="s">
        <v>57</v>
      </c>
      <c r="I4" s="193" t="s">
        <v>184</v>
      </c>
      <c r="J4" s="193" t="s">
        <v>427</v>
      </c>
      <c r="K4" s="193" t="s">
        <v>428</v>
      </c>
      <c r="L4" s="193" t="s">
        <v>387</v>
      </c>
      <c r="M4" s="193" t="s">
        <v>333</v>
      </c>
      <c r="N4" s="193" t="s">
        <v>19</v>
      </c>
      <c r="O4" s="207">
        <v>1</v>
      </c>
      <c r="P4" s="193" t="s">
        <v>167</v>
      </c>
      <c r="Q4" s="180">
        <v>44197</v>
      </c>
      <c r="R4" s="194">
        <v>9500</v>
      </c>
      <c r="S4" s="439">
        <f>+(T4-R4)/2+R4</f>
        <v>11725</v>
      </c>
      <c r="T4" s="326">
        <v>13950</v>
      </c>
      <c r="U4" s="326">
        <f t="shared" ref="U4:U57" si="0">+T4*1.1</f>
        <v>15345.000000000002</v>
      </c>
    </row>
    <row r="5" spans="2:21" ht="25.5" thickBot="1" x14ac:dyDescent="0.4">
      <c r="B5" s="315">
        <v>2</v>
      </c>
      <c r="C5" s="383" t="s">
        <v>486</v>
      </c>
      <c r="D5" s="242" t="s">
        <v>142</v>
      </c>
      <c r="E5" s="384" t="s">
        <v>388</v>
      </c>
      <c r="F5" s="362" t="s">
        <v>382</v>
      </c>
      <c r="G5" s="242" t="s">
        <v>347</v>
      </c>
      <c r="H5" s="242" t="s">
        <v>384</v>
      </c>
      <c r="I5" s="236" t="s">
        <v>183</v>
      </c>
      <c r="J5" s="242" t="s">
        <v>429</v>
      </c>
      <c r="K5" s="242" t="s">
        <v>428</v>
      </c>
      <c r="L5" s="242" t="s">
        <v>387</v>
      </c>
      <c r="M5" s="193" t="s">
        <v>333</v>
      </c>
      <c r="N5" s="362" t="s">
        <v>19</v>
      </c>
      <c r="O5" s="385">
        <v>1</v>
      </c>
      <c r="P5" s="187" t="s">
        <v>167</v>
      </c>
      <c r="Q5" s="180">
        <v>45444</v>
      </c>
      <c r="R5" s="194">
        <v>14950</v>
      </c>
      <c r="S5" s="439">
        <f t="shared" ref="S5:S29" si="1">+(T5-R5)/2+R5</f>
        <v>16925</v>
      </c>
      <c r="T5" s="326">
        <v>18900</v>
      </c>
      <c r="U5" s="326">
        <f t="shared" si="0"/>
        <v>20790</v>
      </c>
    </row>
    <row r="6" spans="2:21" ht="25" x14ac:dyDescent="0.35">
      <c r="B6" s="280">
        <v>3</v>
      </c>
      <c r="C6" s="291" t="s">
        <v>487</v>
      </c>
      <c r="D6" s="175" t="s">
        <v>46</v>
      </c>
      <c r="E6" s="175" t="s">
        <v>391</v>
      </c>
      <c r="F6" s="175" t="s">
        <v>331</v>
      </c>
      <c r="G6" s="256" t="s">
        <v>219</v>
      </c>
      <c r="H6" s="175" t="s">
        <v>334</v>
      </c>
      <c r="I6" s="175" t="s">
        <v>180</v>
      </c>
      <c r="J6" s="175" t="s">
        <v>429</v>
      </c>
      <c r="K6" s="175" t="s">
        <v>17</v>
      </c>
      <c r="L6" s="175" t="s">
        <v>387</v>
      </c>
      <c r="M6" s="267" t="s">
        <v>333</v>
      </c>
      <c r="N6" s="330" t="s">
        <v>19</v>
      </c>
      <c r="O6" s="255">
        <v>1</v>
      </c>
      <c r="P6" s="256" t="s">
        <v>167</v>
      </c>
      <c r="Q6" s="271" t="s">
        <v>342</v>
      </c>
      <c r="R6" s="182">
        <v>21500</v>
      </c>
      <c r="S6" s="440">
        <f t="shared" si="1"/>
        <v>23200</v>
      </c>
      <c r="T6" s="327">
        <v>24900</v>
      </c>
      <c r="U6" s="327">
        <f t="shared" si="0"/>
        <v>27390.000000000004</v>
      </c>
    </row>
    <row r="7" spans="2:21" ht="25" x14ac:dyDescent="0.35">
      <c r="B7" s="204">
        <v>4</v>
      </c>
      <c r="C7" s="285" t="s">
        <v>488</v>
      </c>
      <c r="D7" s="2" t="s">
        <v>142</v>
      </c>
      <c r="E7" s="36" t="s">
        <v>391</v>
      </c>
      <c r="F7" s="2" t="s">
        <v>382</v>
      </c>
      <c r="G7" s="18" t="s">
        <v>325</v>
      </c>
      <c r="H7" s="2" t="s">
        <v>384</v>
      </c>
      <c r="I7" s="2" t="s">
        <v>180</v>
      </c>
      <c r="J7" s="18" t="s">
        <v>429</v>
      </c>
      <c r="K7" s="18" t="s">
        <v>428</v>
      </c>
      <c r="L7" s="2" t="s">
        <v>387</v>
      </c>
      <c r="M7" s="149" t="s">
        <v>333</v>
      </c>
      <c r="N7" s="141" t="s">
        <v>19</v>
      </c>
      <c r="O7" s="209">
        <v>1</v>
      </c>
      <c r="P7" s="124" t="s">
        <v>167</v>
      </c>
      <c r="Q7" s="117">
        <v>45444</v>
      </c>
      <c r="R7" s="90">
        <v>22500</v>
      </c>
      <c r="S7" s="441">
        <f t="shared" si="1"/>
        <v>24500</v>
      </c>
      <c r="T7" s="331">
        <v>26500</v>
      </c>
      <c r="U7" s="331">
        <f t="shared" si="0"/>
        <v>29150.000000000004</v>
      </c>
    </row>
    <row r="8" spans="2:21" ht="25.5" thickBot="1" x14ac:dyDescent="0.4">
      <c r="B8" s="205">
        <v>5</v>
      </c>
      <c r="C8" s="295" t="s">
        <v>489</v>
      </c>
      <c r="D8" s="179" t="s">
        <v>142</v>
      </c>
      <c r="E8" s="275" t="s">
        <v>391</v>
      </c>
      <c r="F8" s="179" t="s">
        <v>382</v>
      </c>
      <c r="G8" s="273" t="s">
        <v>325</v>
      </c>
      <c r="H8" s="179" t="s">
        <v>384</v>
      </c>
      <c r="I8" s="179" t="s">
        <v>180</v>
      </c>
      <c r="J8" s="273" t="s">
        <v>429</v>
      </c>
      <c r="K8" s="273" t="s">
        <v>428</v>
      </c>
      <c r="L8" s="179" t="s">
        <v>387</v>
      </c>
      <c r="M8" s="277" t="s">
        <v>333</v>
      </c>
      <c r="N8" s="328" t="s">
        <v>19</v>
      </c>
      <c r="O8" s="296">
        <v>1</v>
      </c>
      <c r="P8" s="124" t="s">
        <v>167</v>
      </c>
      <c r="Q8" s="262">
        <v>45444</v>
      </c>
      <c r="R8" s="263">
        <v>22500</v>
      </c>
      <c r="S8" s="442">
        <f t="shared" si="1"/>
        <v>24500</v>
      </c>
      <c r="T8" s="343">
        <v>26500</v>
      </c>
      <c r="U8" s="343">
        <f t="shared" si="0"/>
        <v>29150.000000000004</v>
      </c>
    </row>
    <row r="9" spans="2:21" ht="25" x14ac:dyDescent="0.35">
      <c r="B9" s="280">
        <v>6</v>
      </c>
      <c r="C9" s="300" t="s">
        <v>490</v>
      </c>
      <c r="D9" s="175" t="s">
        <v>46</v>
      </c>
      <c r="E9" s="175" t="s">
        <v>421</v>
      </c>
      <c r="F9" s="175" t="s">
        <v>331</v>
      </c>
      <c r="G9" s="175" t="s">
        <v>219</v>
      </c>
      <c r="H9" s="175" t="s">
        <v>334</v>
      </c>
      <c r="I9" s="175" t="s">
        <v>340</v>
      </c>
      <c r="J9" s="267" t="s">
        <v>429</v>
      </c>
      <c r="K9" s="175" t="s">
        <v>17</v>
      </c>
      <c r="L9" s="175" t="s">
        <v>387</v>
      </c>
      <c r="M9" s="267" t="s">
        <v>332</v>
      </c>
      <c r="N9" s="267" t="s">
        <v>19</v>
      </c>
      <c r="O9" s="255">
        <v>1</v>
      </c>
      <c r="P9" s="256" t="s">
        <v>167</v>
      </c>
      <c r="Q9" s="271">
        <v>44682</v>
      </c>
      <c r="R9" s="182">
        <v>22500</v>
      </c>
      <c r="S9" s="440">
        <f t="shared" si="1"/>
        <v>24700</v>
      </c>
      <c r="T9" s="327">
        <v>26900</v>
      </c>
      <c r="U9" s="327">
        <f t="shared" si="0"/>
        <v>29590.000000000004</v>
      </c>
    </row>
    <row r="10" spans="2:21" ht="25.5" thickBot="1" x14ac:dyDescent="0.4">
      <c r="B10" s="205">
        <v>7</v>
      </c>
      <c r="C10" s="304" t="s">
        <v>491</v>
      </c>
      <c r="D10" s="179" t="s">
        <v>46</v>
      </c>
      <c r="E10" s="179" t="s">
        <v>366</v>
      </c>
      <c r="F10" s="179" t="s">
        <v>400</v>
      </c>
      <c r="G10" s="179" t="s">
        <v>325</v>
      </c>
      <c r="H10" s="179" t="s">
        <v>334</v>
      </c>
      <c r="I10" s="179" t="s">
        <v>340</v>
      </c>
      <c r="J10" s="179" t="s">
        <v>429</v>
      </c>
      <c r="K10" s="179" t="s">
        <v>428</v>
      </c>
      <c r="L10" s="179" t="s">
        <v>387</v>
      </c>
      <c r="M10" s="275" t="s">
        <v>182</v>
      </c>
      <c r="N10" s="275" t="s">
        <v>19</v>
      </c>
      <c r="O10" s="296">
        <v>1</v>
      </c>
      <c r="P10" s="278" t="s">
        <v>167</v>
      </c>
      <c r="Q10" s="262">
        <v>45017</v>
      </c>
      <c r="R10" s="263">
        <v>24500</v>
      </c>
      <c r="S10" s="442">
        <f t="shared" si="1"/>
        <v>28000</v>
      </c>
      <c r="T10" s="343">
        <v>31500</v>
      </c>
      <c r="U10" s="343">
        <f t="shared" si="0"/>
        <v>34650</v>
      </c>
    </row>
    <row r="11" spans="2:21" ht="25" x14ac:dyDescent="0.35">
      <c r="B11" s="280">
        <v>8</v>
      </c>
      <c r="C11" s="300" t="s">
        <v>492</v>
      </c>
      <c r="D11" s="177" t="s">
        <v>46</v>
      </c>
      <c r="E11" s="177" t="s">
        <v>355</v>
      </c>
      <c r="F11" s="177" t="s">
        <v>400</v>
      </c>
      <c r="G11" s="175" t="s">
        <v>325</v>
      </c>
      <c r="H11" s="177" t="s">
        <v>401</v>
      </c>
      <c r="I11" s="177" t="s">
        <v>432</v>
      </c>
      <c r="J11" s="177" t="s">
        <v>429</v>
      </c>
      <c r="K11" s="177" t="s">
        <v>428</v>
      </c>
      <c r="L11" s="177" t="s">
        <v>387</v>
      </c>
      <c r="M11" s="247" t="s">
        <v>402</v>
      </c>
      <c r="N11" s="247" t="s">
        <v>19</v>
      </c>
      <c r="O11" s="216">
        <v>1</v>
      </c>
      <c r="P11" s="256" t="s">
        <v>167</v>
      </c>
      <c r="Q11" s="271">
        <v>45017</v>
      </c>
      <c r="R11" s="182">
        <v>27500</v>
      </c>
      <c r="S11" s="440">
        <f t="shared" si="1"/>
        <v>30750</v>
      </c>
      <c r="T11" s="249">
        <v>34000</v>
      </c>
      <c r="U11" s="249">
        <f t="shared" si="0"/>
        <v>37400</v>
      </c>
    </row>
    <row r="12" spans="2:21" ht="25.5" thickBot="1" x14ac:dyDescent="0.4">
      <c r="B12" s="205">
        <v>9</v>
      </c>
      <c r="C12" s="179" t="s">
        <v>155</v>
      </c>
      <c r="D12" s="178" t="s">
        <v>46</v>
      </c>
      <c r="E12" s="178" t="s">
        <v>355</v>
      </c>
      <c r="F12" s="178" t="s">
        <v>400</v>
      </c>
      <c r="G12" s="179" t="s">
        <v>325</v>
      </c>
      <c r="H12" s="178" t="s">
        <v>401</v>
      </c>
      <c r="I12" s="178" t="s">
        <v>432</v>
      </c>
      <c r="J12" s="178" t="s">
        <v>429</v>
      </c>
      <c r="K12" s="178" t="s">
        <v>428</v>
      </c>
      <c r="L12" s="178" t="s">
        <v>387</v>
      </c>
      <c r="M12" s="317" t="s">
        <v>402</v>
      </c>
      <c r="N12" s="317" t="s">
        <v>19</v>
      </c>
      <c r="O12" s="386" t="s">
        <v>155</v>
      </c>
      <c r="P12" s="276" t="s">
        <v>167</v>
      </c>
      <c r="Q12" s="183">
        <v>45757</v>
      </c>
      <c r="R12" s="263">
        <v>29000</v>
      </c>
      <c r="S12" s="442">
        <f t="shared" si="1"/>
        <v>32500</v>
      </c>
      <c r="T12" s="345">
        <v>36000</v>
      </c>
      <c r="U12" s="345">
        <f t="shared" si="0"/>
        <v>39600</v>
      </c>
    </row>
    <row r="13" spans="2:21" ht="25" x14ac:dyDescent="0.35">
      <c r="B13" s="280">
        <v>10</v>
      </c>
      <c r="C13" s="333" t="s">
        <v>493</v>
      </c>
      <c r="D13" s="265" t="s">
        <v>142</v>
      </c>
      <c r="E13" s="256" t="s">
        <v>389</v>
      </c>
      <c r="F13" s="267" t="s">
        <v>175</v>
      </c>
      <c r="G13" s="265" t="s">
        <v>178</v>
      </c>
      <c r="H13" s="265" t="s">
        <v>329</v>
      </c>
      <c r="I13" s="265" t="s">
        <v>179</v>
      </c>
      <c r="J13" s="265" t="s">
        <v>434</v>
      </c>
      <c r="K13" s="265" t="s">
        <v>17</v>
      </c>
      <c r="L13" s="265" t="s">
        <v>404</v>
      </c>
      <c r="M13" s="269" t="s">
        <v>330</v>
      </c>
      <c r="N13" s="256" t="s">
        <v>15</v>
      </c>
      <c r="O13" s="270">
        <v>1</v>
      </c>
      <c r="P13" s="177" t="s">
        <v>167</v>
      </c>
      <c r="Q13" s="271">
        <v>45444</v>
      </c>
      <c r="R13" s="182">
        <v>8500</v>
      </c>
      <c r="S13" s="440">
        <f t="shared" si="1"/>
        <v>10700</v>
      </c>
      <c r="T13" s="327">
        <v>12900</v>
      </c>
      <c r="U13" s="327">
        <f t="shared" si="0"/>
        <v>14190.000000000002</v>
      </c>
    </row>
    <row r="14" spans="2:21" ht="25" x14ac:dyDescent="0.35">
      <c r="B14" s="204">
        <v>11</v>
      </c>
      <c r="C14" s="323" t="s">
        <v>495</v>
      </c>
      <c r="D14" s="18" t="s">
        <v>142</v>
      </c>
      <c r="E14" s="1" t="s">
        <v>389</v>
      </c>
      <c r="F14" s="36" t="s">
        <v>331</v>
      </c>
      <c r="G14" s="18" t="s">
        <v>174</v>
      </c>
      <c r="H14" s="18" t="s">
        <v>329</v>
      </c>
      <c r="I14" s="18" t="s">
        <v>179</v>
      </c>
      <c r="J14" s="18" t="s">
        <v>433</v>
      </c>
      <c r="K14" s="125" t="s">
        <v>17</v>
      </c>
      <c r="L14" s="125" t="s">
        <v>404</v>
      </c>
      <c r="M14" s="149" t="s">
        <v>182</v>
      </c>
      <c r="N14" s="1" t="s">
        <v>15</v>
      </c>
      <c r="O14" s="208">
        <v>1</v>
      </c>
      <c r="P14" s="124" t="s">
        <v>167</v>
      </c>
      <c r="Q14" s="126">
        <v>45757</v>
      </c>
      <c r="R14" s="90">
        <v>9800</v>
      </c>
      <c r="S14" s="441">
        <f t="shared" si="1"/>
        <v>11850</v>
      </c>
      <c r="T14" s="331">
        <v>13900</v>
      </c>
      <c r="U14" s="331">
        <f t="shared" si="0"/>
        <v>15290.000000000002</v>
      </c>
    </row>
    <row r="15" spans="2:21" ht="25.5" thickBot="1" x14ac:dyDescent="0.4">
      <c r="B15" s="205">
        <v>12</v>
      </c>
      <c r="C15" s="387" t="s">
        <v>494</v>
      </c>
      <c r="D15" s="261" t="s">
        <v>142</v>
      </c>
      <c r="E15" s="276" t="s">
        <v>389</v>
      </c>
      <c r="F15" s="317" t="s">
        <v>175</v>
      </c>
      <c r="G15" s="261" t="s">
        <v>178</v>
      </c>
      <c r="H15" s="261" t="s">
        <v>329</v>
      </c>
      <c r="I15" s="261" t="s">
        <v>179</v>
      </c>
      <c r="J15" s="261" t="s">
        <v>433</v>
      </c>
      <c r="K15" s="261" t="s">
        <v>17</v>
      </c>
      <c r="L15" s="261" t="s">
        <v>404</v>
      </c>
      <c r="M15" s="388" t="s">
        <v>333</v>
      </c>
      <c r="N15" s="276" t="s">
        <v>15</v>
      </c>
      <c r="O15" s="389">
        <v>1</v>
      </c>
      <c r="P15" s="178" t="s">
        <v>167</v>
      </c>
      <c r="Q15" s="183">
        <v>45757</v>
      </c>
      <c r="R15" s="263">
        <v>9100</v>
      </c>
      <c r="S15" s="442">
        <f t="shared" si="1"/>
        <v>11000</v>
      </c>
      <c r="T15" s="343">
        <v>12900</v>
      </c>
      <c r="U15" s="343">
        <f t="shared" si="0"/>
        <v>14190.000000000002</v>
      </c>
    </row>
    <row r="16" spans="2:21" ht="25" x14ac:dyDescent="0.35">
      <c r="B16" s="280">
        <v>13</v>
      </c>
      <c r="C16" s="334" t="s">
        <v>496</v>
      </c>
      <c r="D16" s="265" t="s">
        <v>142</v>
      </c>
      <c r="E16" s="256" t="s">
        <v>354</v>
      </c>
      <c r="F16" s="267" t="s">
        <v>175</v>
      </c>
      <c r="G16" s="245" t="s">
        <v>213</v>
      </c>
      <c r="H16" s="265" t="s">
        <v>329</v>
      </c>
      <c r="I16" s="256" t="s">
        <v>23</v>
      </c>
      <c r="J16" s="265" t="s">
        <v>434</v>
      </c>
      <c r="K16" s="265" t="s">
        <v>17</v>
      </c>
      <c r="L16" s="265" t="s">
        <v>387</v>
      </c>
      <c r="M16" s="269" t="s">
        <v>435</v>
      </c>
      <c r="N16" s="175" t="s">
        <v>15</v>
      </c>
      <c r="O16" s="270">
        <v>1</v>
      </c>
      <c r="P16" s="177" t="s">
        <v>167</v>
      </c>
      <c r="Q16" s="181">
        <v>45757</v>
      </c>
      <c r="R16" s="182">
        <v>10500</v>
      </c>
      <c r="S16" s="440">
        <f t="shared" si="1"/>
        <v>13000</v>
      </c>
      <c r="T16" s="327">
        <v>15500</v>
      </c>
      <c r="U16" s="327">
        <f t="shared" si="0"/>
        <v>17050</v>
      </c>
    </row>
    <row r="17" spans="2:21" ht="25" x14ac:dyDescent="0.35">
      <c r="B17" s="204">
        <v>14</v>
      </c>
      <c r="C17" s="324" t="s">
        <v>497</v>
      </c>
      <c r="D17" s="18" t="s">
        <v>142</v>
      </c>
      <c r="E17" s="1" t="s">
        <v>354</v>
      </c>
      <c r="F17" s="36" t="s">
        <v>175</v>
      </c>
      <c r="G17" s="125" t="s">
        <v>213</v>
      </c>
      <c r="H17" s="18" t="s">
        <v>329</v>
      </c>
      <c r="I17" s="1" t="s">
        <v>23</v>
      </c>
      <c r="J17" s="18" t="s">
        <v>434</v>
      </c>
      <c r="K17" s="18" t="s">
        <v>17</v>
      </c>
      <c r="L17" s="18" t="s">
        <v>387</v>
      </c>
      <c r="M17" s="149" t="s">
        <v>435</v>
      </c>
      <c r="N17" s="2" t="s">
        <v>15</v>
      </c>
      <c r="O17" s="208">
        <v>1</v>
      </c>
      <c r="P17" s="124" t="s">
        <v>167</v>
      </c>
      <c r="Q17" s="126">
        <v>45757</v>
      </c>
      <c r="R17" s="90">
        <v>10500</v>
      </c>
      <c r="S17" s="441">
        <f t="shared" si="1"/>
        <v>13000</v>
      </c>
      <c r="T17" s="331">
        <v>15500</v>
      </c>
      <c r="U17" s="331">
        <f t="shared" si="0"/>
        <v>17050</v>
      </c>
    </row>
    <row r="18" spans="2:21" ht="25" x14ac:dyDescent="0.35">
      <c r="B18" s="204">
        <v>15</v>
      </c>
      <c r="C18" s="324" t="s">
        <v>498</v>
      </c>
      <c r="D18" s="18" t="s">
        <v>142</v>
      </c>
      <c r="E18" s="1" t="s">
        <v>354</v>
      </c>
      <c r="F18" s="36" t="s">
        <v>175</v>
      </c>
      <c r="G18" s="125" t="s">
        <v>213</v>
      </c>
      <c r="H18" s="18" t="s">
        <v>329</v>
      </c>
      <c r="I18" s="1" t="s">
        <v>23</v>
      </c>
      <c r="J18" s="18" t="s">
        <v>434</v>
      </c>
      <c r="K18" s="18" t="s">
        <v>17</v>
      </c>
      <c r="L18" s="18" t="s">
        <v>387</v>
      </c>
      <c r="M18" s="149" t="s">
        <v>435</v>
      </c>
      <c r="N18" s="2" t="s">
        <v>15</v>
      </c>
      <c r="O18" s="208">
        <v>1</v>
      </c>
      <c r="P18" s="124" t="s">
        <v>167</v>
      </c>
      <c r="Q18" s="126">
        <v>45757</v>
      </c>
      <c r="R18" s="90">
        <v>10500</v>
      </c>
      <c r="S18" s="441">
        <f t="shared" si="1"/>
        <v>13000</v>
      </c>
      <c r="T18" s="331">
        <v>15500</v>
      </c>
      <c r="U18" s="331">
        <f t="shared" si="0"/>
        <v>17050</v>
      </c>
    </row>
    <row r="19" spans="2:21" ht="25" x14ac:dyDescent="0.35">
      <c r="B19" s="204">
        <v>16</v>
      </c>
      <c r="C19" s="324" t="s">
        <v>499</v>
      </c>
      <c r="D19" s="18" t="s">
        <v>142</v>
      </c>
      <c r="E19" s="1" t="s">
        <v>354</v>
      </c>
      <c r="F19" s="36" t="s">
        <v>175</v>
      </c>
      <c r="G19" s="125" t="s">
        <v>213</v>
      </c>
      <c r="H19" s="18" t="s">
        <v>329</v>
      </c>
      <c r="I19" s="1" t="s">
        <v>23</v>
      </c>
      <c r="J19" s="18" t="s">
        <v>434</v>
      </c>
      <c r="K19" s="18" t="s">
        <v>17</v>
      </c>
      <c r="L19" s="18" t="s">
        <v>387</v>
      </c>
      <c r="M19" s="149" t="s">
        <v>435</v>
      </c>
      <c r="N19" s="2" t="s">
        <v>15</v>
      </c>
      <c r="O19" s="208">
        <v>1</v>
      </c>
      <c r="P19" s="124" t="s">
        <v>167</v>
      </c>
      <c r="Q19" s="126">
        <v>45757</v>
      </c>
      <c r="R19" s="90">
        <v>10500</v>
      </c>
      <c r="S19" s="441">
        <f t="shared" si="1"/>
        <v>13000</v>
      </c>
      <c r="T19" s="331">
        <v>15500</v>
      </c>
      <c r="U19" s="331">
        <f t="shared" si="0"/>
        <v>17050</v>
      </c>
    </row>
    <row r="20" spans="2:21" ht="25" x14ac:dyDescent="0.35">
      <c r="B20" s="204">
        <v>17</v>
      </c>
      <c r="C20" s="324" t="s">
        <v>500</v>
      </c>
      <c r="D20" s="18" t="s">
        <v>142</v>
      </c>
      <c r="E20" s="1" t="s">
        <v>354</v>
      </c>
      <c r="F20" s="36" t="s">
        <v>175</v>
      </c>
      <c r="G20" s="125" t="s">
        <v>213</v>
      </c>
      <c r="H20" s="18" t="s">
        <v>329</v>
      </c>
      <c r="I20" s="1" t="s">
        <v>23</v>
      </c>
      <c r="J20" s="18" t="s">
        <v>434</v>
      </c>
      <c r="K20" s="18" t="s">
        <v>17</v>
      </c>
      <c r="L20" s="18" t="s">
        <v>387</v>
      </c>
      <c r="M20" s="149" t="s">
        <v>435</v>
      </c>
      <c r="N20" s="2" t="s">
        <v>15</v>
      </c>
      <c r="O20" s="208">
        <v>1</v>
      </c>
      <c r="P20" s="124" t="s">
        <v>167</v>
      </c>
      <c r="Q20" s="126">
        <v>45757</v>
      </c>
      <c r="R20" s="90">
        <v>10500</v>
      </c>
      <c r="S20" s="441">
        <f t="shared" si="1"/>
        <v>13000</v>
      </c>
      <c r="T20" s="331">
        <v>15500</v>
      </c>
      <c r="U20" s="331">
        <f t="shared" si="0"/>
        <v>17050</v>
      </c>
    </row>
    <row r="21" spans="2:21" ht="25" x14ac:dyDescent="0.35">
      <c r="B21" s="204">
        <v>18</v>
      </c>
      <c r="C21" s="323" t="s">
        <v>501</v>
      </c>
      <c r="D21" s="125" t="s">
        <v>142</v>
      </c>
      <c r="E21" s="128" t="s">
        <v>354</v>
      </c>
      <c r="F21" s="185" t="s">
        <v>331</v>
      </c>
      <c r="G21" s="125" t="s">
        <v>219</v>
      </c>
      <c r="H21" s="190" t="s">
        <v>329</v>
      </c>
      <c r="I21" s="128" t="s">
        <v>23</v>
      </c>
      <c r="J21" s="125" t="s">
        <v>434</v>
      </c>
      <c r="K21" s="125" t="s">
        <v>17</v>
      </c>
      <c r="L21" s="125" t="s">
        <v>387</v>
      </c>
      <c r="M21" s="186" t="s">
        <v>405</v>
      </c>
      <c r="N21" s="124" t="s">
        <v>15</v>
      </c>
      <c r="O21" s="211" t="s">
        <v>155</v>
      </c>
      <c r="P21" s="124" t="s">
        <v>167</v>
      </c>
      <c r="Q21" s="126">
        <v>45757</v>
      </c>
      <c r="R21" s="90">
        <v>11650</v>
      </c>
      <c r="S21" s="441">
        <f t="shared" si="1"/>
        <v>14075</v>
      </c>
      <c r="T21" s="331">
        <v>16500</v>
      </c>
      <c r="U21" s="331">
        <f t="shared" si="0"/>
        <v>18150</v>
      </c>
    </row>
    <row r="22" spans="2:21" ht="25" x14ac:dyDescent="0.35">
      <c r="B22" s="204">
        <v>19</v>
      </c>
      <c r="C22" s="323" t="s">
        <v>502</v>
      </c>
      <c r="D22" s="125" t="s">
        <v>142</v>
      </c>
      <c r="E22" s="128" t="s">
        <v>354</v>
      </c>
      <c r="F22" s="185" t="s">
        <v>331</v>
      </c>
      <c r="G22" s="125" t="s">
        <v>219</v>
      </c>
      <c r="H22" s="190" t="s">
        <v>329</v>
      </c>
      <c r="I22" s="128" t="s">
        <v>23</v>
      </c>
      <c r="J22" s="125" t="s">
        <v>434</v>
      </c>
      <c r="K22" s="125" t="s">
        <v>17</v>
      </c>
      <c r="L22" s="125" t="s">
        <v>387</v>
      </c>
      <c r="M22" s="186" t="s">
        <v>405</v>
      </c>
      <c r="N22" s="124" t="s">
        <v>15</v>
      </c>
      <c r="O22" s="211">
        <v>1</v>
      </c>
      <c r="P22" s="124" t="s">
        <v>167</v>
      </c>
      <c r="Q22" s="126">
        <v>45757</v>
      </c>
      <c r="R22" s="90">
        <v>11650</v>
      </c>
      <c r="S22" s="441">
        <f t="shared" si="1"/>
        <v>14075</v>
      </c>
      <c r="T22" s="331">
        <v>16500</v>
      </c>
      <c r="U22" s="331">
        <f t="shared" si="0"/>
        <v>18150</v>
      </c>
    </row>
    <row r="23" spans="2:21" ht="25.5" thickBot="1" x14ac:dyDescent="0.4">
      <c r="B23" s="205">
        <v>20</v>
      </c>
      <c r="C23" s="387" t="s">
        <v>503</v>
      </c>
      <c r="D23" s="261" t="s">
        <v>142</v>
      </c>
      <c r="E23" s="276" t="s">
        <v>354</v>
      </c>
      <c r="F23" s="317" t="s">
        <v>331</v>
      </c>
      <c r="G23" s="261" t="s">
        <v>219</v>
      </c>
      <c r="H23" s="390" t="s">
        <v>329</v>
      </c>
      <c r="I23" s="276" t="s">
        <v>23</v>
      </c>
      <c r="J23" s="261" t="s">
        <v>434</v>
      </c>
      <c r="K23" s="261" t="s">
        <v>17</v>
      </c>
      <c r="L23" s="261" t="s">
        <v>387</v>
      </c>
      <c r="M23" s="388" t="s">
        <v>405</v>
      </c>
      <c r="N23" s="178" t="s">
        <v>15</v>
      </c>
      <c r="O23" s="389">
        <v>1</v>
      </c>
      <c r="P23" s="178" t="s">
        <v>167</v>
      </c>
      <c r="Q23" s="183">
        <v>45757</v>
      </c>
      <c r="R23" s="263">
        <v>11650</v>
      </c>
      <c r="S23" s="442">
        <f t="shared" si="1"/>
        <v>14075</v>
      </c>
      <c r="T23" s="343">
        <v>16500</v>
      </c>
      <c r="U23" s="343">
        <f t="shared" si="0"/>
        <v>18150</v>
      </c>
    </row>
    <row r="24" spans="2:21" ht="25" x14ac:dyDescent="0.35">
      <c r="B24" s="280">
        <v>21</v>
      </c>
      <c r="C24" s="399" t="s">
        <v>597</v>
      </c>
      <c r="D24" s="265" t="s">
        <v>46</v>
      </c>
      <c r="E24" s="175" t="s">
        <v>418</v>
      </c>
      <c r="F24" s="265" t="s">
        <v>175</v>
      </c>
      <c r="G24" s="265" t="s">
        <v>174</v>
      </c>
      <c r="H24" s="265" t="s">
        <v>419</v>
      </c>
      <c r="I24" s="265" t="s">
        <v>177</v>
      </c>
      <c r="J24" s="175" t="s">
        <v>434</v>
      </c>
      <c r="K24" s="175" t="s">
        <v>17</v>
      </c>
      <c r="L24" s="175" t="s">
        <v>387</v>
      </c>
      <c r="M24" s="175" t="s">
        <v>405</v>
      </c>
      <c r="N24" s="175" t="s">
        <v>15</v>
      </c>
      <c r="O24" s="335">
        <v>1</v>
      </c>
      <c r="P24" s="175" t="s">
        <v>167</v>
      </c>
      <c r="Q24" s="271">
        <v>44532</v>
      </c>
      <c r="R24" s="182">
        <v>13800</v>
      </c>
      <c r="S24" s="440">
        <f t="shared" si="1"/>
        <v>16150</v>
      </c>
      <c r="T24" s="327">
        <v>18500</v>
      </c>
      <c r="U24" s="327">
        <f t="shared" si="0"/>
        <v>20350</v>
      </c>
    </row>
    <row r="25" spans="2:21" ht="25" x14ac:dyDescent="0.35">
      <c r="B25" s="204">
        <v>22</v>
      </c>
      <c r="C25" s="323" t="s">
        <v>504</v>
      </c>
      <c r="D25" s="18" t="s">
        <v>46</v>
      </c>
      <c r="E25" s="2" t="s">
        <v>367</v>
      </c>
      <c r="F25" s="18" t="s">
        <v>175</v>
      </c>
      <c r="G25" s="18" t="s">
        <v>213</v>
      </c>
      <c r="H25" s="18" t="s">
        <v>419</v>
      </c>
      <c r="I25" s="18" t="s">
        <v>177</v>
      </c>
      <c r="J25" s="124" t="s">
        <v>434</v>
      </c>
      <c r="K25" s="2" t="s">
        <v>17</v>
      </c>
      <c r="L25" s="2" t="s">
        <v>387</v>
      </c>
      <c r="M25" s="2" t="s">
        <v>405</v>
      </c>
      <c r="N25" s="2" t="s">
        <v>15</v>
      </c>
      <c r="O25" s="212">
        <v>1</v>
      </c>
      <c r="P25" s="2" t="s">
        <v>167</v>
      </c>
      <c r="Q25" s="117">
        <v>45017</v>
      </c>
      <c r="R25" s="90">
        <v>16500</v>
      </c>
      <c r="S25" s="441">
        <f t="shared" si="1"/>
        <v>19000</v>
      </c>
      <c r="T25" s="331">
        <v>21500</v>
      </c>
      <c r="U25" s="331">
        <f t="shared" si="0"/>
        <v>23650.000000000004</v>
      </c>
    </row>
    <row r="26" spans="2:21" ht="25" x14ac:dyDescent="0.35">
      <c r="B26" s="204">
        <v>23</v>
      </c>
      <c r="C26" s="323" t="s">
        <v>505</v>
      </c>
      <c r="D26" s="18" t="s">
        <v>46</v>
      </c>
      <c r="E26" s="2" t="s">
        <v>367</v>
      </c>
      <c r="F26" s="18" t="s">
        <v>175</v>
      </c>
      <c r="G26" s="18" t="s">
        <v>213</v>
      </c>
      <c r="H26" s="18" t="s">
        <v>419</v>
      </c>
      <c r="I26" s="18" t="s">
        <v>177</v>
      </c>
      <c r="J26" s="124" t="s">
        <v>434</v>
      </c>
      <c r="K26" s="2" t="s">
        <v>17</v>
      </c>
      <c r="L26" s="2" t="s">
        <v>387</v>
      </c>
      <c r="M26" s="2" t="s">
        <v>405</v>
      </c>
      <c r="N26" s="2" t="s">
        <v>15</v>
      </c>
      <c r="O26" s="212">
        <v>1</v>
      </c>
      <c r="P26" s="2" t="s">
        <v>167</v>
      </c>
      <c r="Q26" s="117">
        <v>45017</v>
      </c>
      <c r="R26" s="90">
        <v>16500</v>
      </c>
      <c r="S26" s="441">
        <f t="shared" si="1"/>
        <v>19000</v>
      </c>
      <c r="T26" s="331">
        <v>21500</v>
      </c>
      <c r="U26" s="331">
        <f t="shared" si="0"/>
        <v>23650.000000000004</v>
      </c>
    </row>
    <row r="27" spans="2:21" ht="25.5" thickBot="1" x14ac:dyDescent="0.4">
      <c r="B27" s="205">
        <v>24</v>
      </c>
      <c r="C27" s="387" t="s">
        <v>506</v>
      </c>
      <c r="D27" s="273" t="s">
        <v>46</v>
      </c>
      <c r="E27" s="179" t="s">
        <v>367</v>
      </c>
      <c r="F27" s="273" t="s">
        <v>175</v>
      </c>
      <c r="G27" s="273" t="s">
        <v>213</v>
      </c>
      <c r="H27" s="273" t="s">
        <v>419</v>
      </c>
      <c r="I27" s="273" t="s">
        <v>177</v>
      </c>
      <c r="J27" s="178" t="s">
        <v>434</v>
      </c>
      <c r="K27" s="179" t="s">
        <v>17</v>
      </c>
      <c r="L27" s="179" t="s">
        <v>387</v>
      </c>
      <c r="M27" s="179" t="s">
        <v>405</v>
      </c>
      <c r="N27" s="179" t="s">
        <v>15</v>
      </c>
      <c r="O27" s="391">
        <v>1</v>
      </c>
      <c r="P27" s="179" t="s">
        <v>167</v>
      </c>
      <c r="Q27" s="262">
        <v>45017</v>
      </c>
      <c r="R27" s="263">
        <v>16500</v>
      </c>
      <c r="S27" s="442">
        <f t="shared" si="1"/>
        <v>19000</v>
      </c>
      <c r="T27" s="343">
        <v>21500</v>
      </c>
      <c r="U27" s="343">
        <f t="shared" si="0"/>
        <v>23650.000000000004</v>
      </c>
    </row>
    <row r="28" spans="2:21" ht="25" x14ac:dyDescent="0.35">
      <c r="B28" s="280">
        <v>25</v>
      </c>
      <c r="C28" s="333" t="s">
        <v>507</v>
      </c>
      <c r="D28" s="265" t="s">
        <v>176</v>
      </c>
      <c r="E28" s="175" t="s">
        <v>420</v>
      </c>
      <c r="F28" s="265" t="s">
        <v>175</v>
      </c>
      <c r="G28" s="175" t="s">
        <v>178</v>
      </c>
      <c r="H28" s="175" t="s">
        <v>59</v>
      </c>
      <c r="I28" s="175" t="s">
        <v>173</v>
      </c>
      <c r="J28" s="175" t="s">
        <v>434</v>
      </c>
      <c r="K28" s="175" t="s">
        <v>17</v>
      </c>
      <c r="L28" s="175" t="s">
        <v>387</v>
      </c>
      <c r="M28" s="175" t="s">
        <v>405</v>
      </c>
      <c r="N28" s="175" t="s">
        <v>15</v>
      </c>
      <c r="O28" s="301">
        <v>1</v>
      </c>
      <c r="P28" s="256" t="s">
        <v>167</v>
      </c>
      <c r="Q28" s="271">
        <v>44896</v>
      </c>
      <c r="R28" s="182">
        <v>19500</v>
      </c>
      <c r="S28" s="440">
        <f t="shared" si="1"/>
        <v>22500</v>
      </c>
      <c r="T28" s="327">
        <v>25500</v>
      </c>
      <c r="U28" s="327">
        <f t="shared" si="0"/>
        <v>28050.000000000004</v>
      </c>
    </row>
    <row r="29" spans="2:21" ht="25.5" thickBot="1" x14ac:dyDescent="0.4">
      <c r="B29" s="205">
        <v>26</v>
      </c>
      <c r="C29" s="387" t="s">
        <v>508</v>
      </c>
      <c r="D29" s="273" t="s">
        <v>176</v>
      </c>
      <c r="E29" s="179" t="s">
        <v>420</v>
      </c>
      <c r="F29" s="273" t="s">
        <v>175</v>
      </c>
      <c r="G29" s="179" t="s">
        <v>174</v>
      </c>
      <c r="H29" s="179" t="s">
        <v>59</v>
      </c>
      <c r="I29" s="179" t="s">
        <v>173</v>
      </c>
      <c r="J29" s="179" t="s">
        <v>434</v>
      </c>
      <c r="K29" s="179" t="s">
        <v>17</v>
      </c>
      <c r="L29" s="179" t="s">
        <v>387</v>
      </c>
      <c r="M29" s="179" t="s">
        <v>405</v>
      </c>
      <c r="N29" s="179" t="s">
        <v>15</v>
      </c>
      <c r="O29" s="305">
        <v>1</v>
      </c>
      <c r="P29" s="278" t="s">
        <v>167</v>
      </c>
      <c r="Q29" s="262">
        <v>44896</v>
      </c>
      <c r="R29" s="263">
        <v>20500</v>
      </c>
      <c r="S29" s="442">
        <f t="shared" si="1"/>
        <v>23500</v>
      </c>
      <c r="T29" s="343">
        <v>26500</v>
      </c>
      <c r="U29" s="343">
        <f t="shared" si="0"/>
        <v>29150.000000000004</v>
      </c>
    </row>
    <row r="30" spans="2:21" ht="18" thickBot="1" x14ac:dyDescent="0.4">
      <c r="B30" s="20"/>
      <c r="C30" s="14"/>
      <c r="D30" s="14"/>
      <c r="E30" s="217"/>
      <c r="F30" s="218"/>
      <c r="G30" s="217"/>
      <c r="H30" s="217"/>
      <c r="I30" s="217"/>
      <c r="J30" s="217"/>
      <c r="K30" s="217"/>
      <c r="L30" s="217"/>
      <c r="M30" s="407"/>
      <c r="N30" s="408"/>
      <c r="O30" s="321">
        <f>SUM(O4:O29)</f>
        <v>24</v>
      </c>
      <c r="Q30" s="122"/>
      <c r="R30" s="219"/>
      <c r="S30" s="219"/>
      <c r="U30" s="34">
        <f t="shared" si="0"/>
        <v>0</v>
      </c>
    </row>
    <row r="31" spans="2:21" ht="20.5" thickBot="1" x14ac:dyDescent="0.4">
      <c r="B31" s="404" t="s">
        <v>448</v>
      </c>
      <c r="C31" s="405"/>
      <c r="D31" s="405"/>
      <c r="E31" s="405"/>
      <c r="F31" s="405"/>
      <c r="G31" s="405"/>
      <c r="H31" s="406"/>
      <c r="U31" s="34">
        <f t="shared" si="0"/>
        <v>0</v>
      </c>
    </row>
    <row r="32" spans="2:21" ht="39.5" thickBot="1" x14ac:dyDescent="0.4">
      <c r="B32" s="461" t="s">
        <v>0</v>
      </c>
      <c r="C32" s="462" t="s">
        <v>484</v>
      </c>
      <c r="D32" s="462" t="s">
        <v>1</v>
      </c>
      <c r="E32" s="220" t="s">
        <v>2</v>
      </c>
      <c r="F32" s="462" t="s">
        <v>5</v>
      </c>
      <c r="G32" s="462" t="s">
        <v>438</v>
      </c>
      <c r="H32" s="462" t="s">
        <v>8</v>
      </c>
      <c r="I32" s="462" t="s">
        <v>11</v>
      </c>
      <c r="J32" s="462" t="s">
        <v>10</v>
      </c>
      <c r="K32" s="462" t="s">
        <v>9</v>
      </c>
      <c r="L32" s="462" t="s">
        <v>39</v>
      </c>
      <c r="M32" s="462" t="s">
        <v>7</v>
      </c>
      <c r="N32" s="462" t="s">
        <v>172</v>
      </c>
      <c r="O32" s="470" t="s">
        <v>430</v>
      </c>
      <c r="P32" s="462" t="s">
        <v>3</v>
      </c>
      <c r="Q32" s="462" t="s">
        <v>163</v>
      </c>
      <c r="R32" s="472" t="s">
        <v>595</v>
      </c>
      <c r="S32" s="473" t="s">
        <v>618</v>
      </c>
      <c r="T32" s="462" t="s">
        <v>596</v>
      </c>
      <c r="U32" s="474" t="s">
        <v>617</v>
      </c>
    </row>
    <row r="33" spans="2:21" ht="25.5" thickBot="1" x14ac:dyDescent="0.4">
      <c r="B33" s="337">
        <v>1</v>
      </c>
      <c r="C33" s="338" t="s">
        <v>509</v>
      </c>
      <c r="D33" s="193" t="s">
        <v>199</v>
      </c>
      <c r="E33" s="193" t="s">
        <v>480</v>
      </c>
      <c r="F33" s="242" t="s">
        <v>168</v>
      </c>
      <c r="G33" s="193" t="s">
        <v>15</v>
      </c>
      <c r="H33" s="242" t="s">
        <v>335</v>
      </c>
      <c r="I33" s="242" t="s">
        <v>27</v>
      </c>
      <c r="J33" s="193" t="s">
        <v>17</v>
      </c>
      <c r="K33" s="242" t="s">
        <v>17</v>
      </c>
      <c r="L33" s="187" t="s">
        <v>386</v>
      </c>
      <c r="M33" s="242" t="s">
        <v>21</v>
      </c>
      <c r="N33" s="242" t="s">
        <v>15</v>
      </c>
      <c r="O33" s="243">
        <v>1</v>
      </c>
      <c r="P33" s="244" t="s">
        <v>167</v>
      </c>
      <c r="Q33" s="180">
        <v>44682</v>
      </c>
      <c r="R33" s="194">
        <v>5900</v>
      </c>
      <c r="S33" s="439">
        <f t="shared" ref="S33:S57" si="2">+(T33-R33)/2+R33</f>
        <v>6949.5</v>
      </c>
      <c r="T33" s="326">
        <v>7999</v>
      </c>
      <c r="U33" s="326">
        <f t="shared" si="0"/>
        <v>8798.9000000000015</v>
      </c>
    </row>
    <row r="34" spans="2:21" ht="25.5" thickBot="1" x14ac:dyDescent="0.4">
      <c r="B34" s="337">
        <v>2</v>
      </c>
      <c r="C34" s="338" t="s">
        <v>510</v>
      </c>
      <c r="D34" s="381" t="s">
        <v>199</v>
      </c>
      <c r="E34" s="380" t="s">
        <v>479</v>
      </c>
      <c r="F34" s="239" t="s">
        <v>168</v>
      </c>
      <c r="G34" s="381" t="s">
        <v>15</v>
      </c>
      <c r="H34" s="381" t="s">
        <v>436</v>
      </c>
      <c r="I34" s="381" t="s">
        <v>169</v>
      </c>
      <c r="J34" s="381" t="s">
        <v>17</v>
      </c>
      <c r="K34" s="392" t="s">
        <v>19</v>
      </c>
      <c r="L34" s="381" t="s">
        <v>386</v>
      </c>
      <c r="M34" s="381" t="s">
        <v>171</v>
      </c>
      <c r="N34" s="187" t="s">
        <v>15</v>
      </c>
      <c r="O34" s="393" t="s">
        <v>155</v>
      </c>
      <c r="P34" s="187" t="s">
        <v>167</v>
      </c>
      <c r="Q34" s="189">
        <v>45444</v>
      </c>
      <c r="R34" s="194">
        <v>6150</v>
      </c>
      <c r="S34" s="439">
        <f t="shared" si="2"/>
        <v>7050</v>
      </c>
      <c r="T34" s="326">
        <v>7950</v>
      </c>
      <c r="U34" s="326">
        <f t="shared" si="0"/>
        <v>8745</v>
      </c>
    </row>
    <row r="35" spans="2:21" ht="25" x14ac:dyDescent="0.35">
      <c r="B35" s="339">
        <v>3</v>
      </c>
      <c r="C35" s="177" t="s">
        <v>513</v>
      </c>
      <c r="D35" s="175" t="s">
        <v>199</v>
      </c>
      <c r="E35" s="175" t="s">
        <v>478</v>
      </c>
      <c r="F35" s="265" t="s">
        <v>168</v>
      </c>
      <c r="G35" s="175" t="s">
        <v>15</v>
      </c>
      <c r="H35" s="265" t="s">
        <v>437</v>
      </c>
      <c r="I35" s="265" t="s">
        <v>31</v>
      </c>
      <c r="J35" s="175" t="s">
        <v>17</v>
      </c>
      <c r="K35" s="265" t="s">
        <v>17</v>
      </c>
      <c r="L35" s="175" t="s">
        <v>386</v>
      </c>
      <c r="M35" s="265" t="s">
        <v>21</v>
      </c>
      <c r="N35" s="175" t="s">
        <v>15</v>
      </c>
      <c r="O35" s="255">
        <v>1</v>
      </c>
      <c r="P35" s="283" t="s">
        <v>167</v>
      </c>
      <c r="Q35" s="271">
        <v>44805</v>
      </c>
      <c r="R35" s="182">
        <v>7350</v>
      </c>
      <c r="S35" s="440">
        <f t="shared" si="2"/>
        <v>8625</v>
      </c>
      <c r="T35" s="327">
        <v>9900</v>
      </c>
      <c r="U35" s="327">
        <f t="shared" si="0"/>
        <v>10890</v>
      </c>
    </row>
    <row r="36" spans="2:21" ht="25" x14ac:dyDescent="0.35">
      <c r="B36" s="257">
        <v>4</v>
      </c>
      <c r="C36" s="124">
        <v>122737</v>
      </c>
      <c r="D36" s="2" t="s">
        <v>356</v>
      </c>
      <c r="E36" s="2" t="s">
        <v>476</v>
      </c>
      <c r="F36" s="18" t="s">
        <v>168</v>
      </c>
      <c r="G36" s="2" t="s">
        <v>15</v>
      </c>
      <c r="H36" s="18" t="s">
        <v>440</v>
      </c>
      <c r="I36" s="18" t="s">
        <v>31</v>
      </c>
      <c r="J36" s="2" t="s">
        <v>17</v>
      </c>
      <c r="K36" s="18" t="s">
        <v>19</v>
      </c>
      <c r="L36" s="2" t="s">
        <v>386</v>
      </c>
      <c r="M36" s="18" t="s">
        <v>72</v>
      </c>
      <c r="N36" s="2" t="s">
        <v>15</v>
      </c>
      <c r="O36" s="209">
        <v>1</v>
      </c>
      <c r="P36" s="19" t="s">
        <v>167</v>
      </c>
      <c r="Q36" s="117">
        <v>44896</v>
      </c>
      <c r="R36" s="90">
        <v>6750</v>
      </c>
      <c r="S36" s="441">
        <f t="shared" si="2"/>
        <v>8050</v>
      </c>
      <c r="T36" s="331">
        <v>9350</v>
      </c>
      <c r="U36" s="331">
        <f t="shared" si="0"/>
        <v>10285</v>
      </c>
    </row>
    <row r="37" spans="2:21" ht="25" x14ac:dyDescent="0.35">
      <c r="B37" s="257">
        <v>5</v>
      </c>
      <c r="C37" s="124" t="s">
        <v>514</v>
      </c>
      <c r="D37" s="125" t="s">
        <v>199</v>
      </c>
      <c r="E37" s="128" t="s">
        <v>477</v>
      </c>
      <c r="F37" s="185" t="s">
        <v>383</v>
      </c>
      <c r="G37" s="125" t="s">
        <v>15</v>
      </c>
      <c r="H37" s="125" t="s">
        <v>406</v>
      </c>
      <c r="I37" s="128" t="s">
        <v>31</v>
      </c>
      <c r="J37" s="125" t="s">
        <v>17</v>
      </c>
      <c r="K37" s="125" t="s">
        <v>17</v>
      </c>
      <c r="L37" s="125" t="s">
        <v>386</v>
      </c>
      <c r="M37" s="185" t="s">
        <v>407</v>
      </c>
      <c r="N37" s="124" t="s">
        <v>15</v>
      </c>
      <c r="O37" s="211">
        <v>1</v>
      </c>
      <c r="P37" s="124" t="s">
        <v>167</v>
      </c>
      <c r="Q37" s="126">
        <v>45757</v>
      </c>
      <c r="R37" s="90">
        <v>5520</v>
      </c>
      <c r="S37" s="441">
        <f t="shared" si="2"/>
        <v>6435</v>
      </c>
      <c r="T37" s="331">
        <v>7350</v>
      </c>
      <c r="U37" s="331">
        <f t="shared" si="0"/>
        <v>8085.0000000000009</v>
      </c>
    </row>
    <row r="38" spans="2:21" ht="25" x14ac:dyDescent="0.35">
      <c r="B38" s="257">
        <v>6</v>
      </c>
      <c r="C38" s="124" t="s">
        <v>511</v>
      </c>
      <c r="D38" s="125" t="s">
        <v>199</v>
      </c>
      <c r="E38" s="128" t="s">
        <v>477</v>
      </c>
      <c r="F38" s="185" t="s">
        <v>382</v>
      </c>
      <c r="G38" s="125" t="s">
        <v>439</v>
      </c>
      <c r="H38" s="125" t="s">
        <v>406</v>
      </c>
      <c r="I38" s="128" t="s">
        <v>31</v>
      </c>
      <c r="J38" s="125" t="s">
        <v>425</v>
      </c>
      <c r="K38" s="191" t="s">
        <v>19</v>
      </c>
      <c r="L38" s="125" t="s">
        <v>387</v>
      </c>
      <c r="M38" s="185" t="s">
        <v>407</v>
      </c>
      <c r="N38" s="124" t="s">
        <v>15</v>
      </c>
      <c r="O38" s="211">
        <v>1</v>
      </c>
      <c r="P38" s="124" t="s">
        <v>167</v>
      </c>
      <c r="Q38" s="126">
        <v>45757</v>
      </c>
      <c r="R38" s="90">
        <v>8300</v>
      </c>
      <c r="S38" s="441">
        <f t="shared" si="2"/>
        <v>10025</v>
      </c>
      <c r="T38" s="331">
        <v>11750</v>
      </c>
      <c r="U38" s="331">
        <f t="shared" si="0"/>
        <v>12925.000000000002</v>
      </c>
    </row>
    <row r="39" spans="2:21" ht="25" x14ac:dyDescent="0.35">
      <c r="B39" s="257">
        <v>7</v>
      </c>
      <c r="C39" s="124" t="s">
        <v>512</v>
      </c>
      <c r="D39" s="125" t="s">
        <v>199</v>
      </c>
      <c r="E39" s="128" t="s">
        <v>477</v>
      </c>
      <c r="F39" s="185" t="s">
        <v>382</v>
      </c>
      <c r="G39" s="125" t="s">
        <v>439</v>
      </c>
      <c r="H39" s="125" t="s">
        <v>406</v>
      </c>
      <c r="I39" s="128" t="s">
        <v>31</v>
      </c>
      <c r="J39" s="125" t="s">
        <v>425</v>
      </c>
      <c r="K39" s="191" t="s">
        <v>19</v>
      </c>
      <c r="L39" s="125" t="s">
        <v>387</v>
      </c>
      <c r="M39" s="185" t="s">
        <v>407</v>
      </c>
      <c r="N39" s="124" t="s">
        <v>15</v>
      </c>
      <c r="O39" s="211">
        <v>1</v>
      </c>
      <c r="P39" s="124" t="s">
        <v>167</v>
      </c>
      <c r="Q39" s="126">
        <v>45757</v>
      </c>
      <c r="R39" s="90">
        <v>8300</v>
      </c>
      <c r="S39" s="441">
        <f t="shared" si="2"/>
        <v>10025</v>
      </c>
      <c r="T39" s="331">
        <v>11750</v>
      </c>
      <c r="U39" s="331">
        <f t="shared" si="0"/>
        <v>12925.000000000002</v>
      </c>
    </row>
    <row r="40" spans="2:21" ht="25" x14ac:dyDescent="0.35">
      <c r="B40" s="257">
        <v>8</v>
      </c>
      <c r="C40" s="124" t="s">
        <v>515</v>
      </c>
      <c r="D40" s="125" t="s">
        <v>199</v>
      </c>
      <c r="E40" s="128" t="s">
        <v>477</v>
      </c>
      <c r="F40" s="185" t="s">
        <v>383</v>
      </c>
      <c r="G40" s="125" t="s">
        <v>15</v>
      </c>
      <c r="H40" s="125" t="s">
        <v>406</v>
      </c>
      <c r="I40" s="128" t="s">
        <v>31</v>
      </c>
      <c r="J40" s="125" t="s">
        <v>17</v>
      </c>
      <c r="K40" s="191" t="s">
        <v>17</v>
      </c>
      <c r="L40" s="125" t="s">
        <v>386</v>
      </c>
      <c r="M40" s="185" t="s">
        <v>407</v>
      </c>
      <c r="N40" s="124" t="s">
        <v>15</v>
      </c>
      <c r="O40" s="211">
        <v>1</v>
      </c>
      <c r="P40" s="124" t="s">
        <v>167</v>
      </c>
      <c r="Q40" s="126">
        <v>45757</v>
      </c>
      <c r="R40" s="90">
        <v>5500</v>
      </c>
      <c r="S40" s="441">
        <f t="shared" si="2"/>
        <v>6425</v>
      </c>
      <c r="T40" s="331">
        <v>7350</v>
      </c>
      <c r="U40" s="331">
        <f t="shared" si="0"/>
        <v>8085.0000000000009</v>
      </c>
    </row>
    <row r="41" spans="2:21" ht="25" x14ac:dyDescent="0.35">
      <c r="B41" s="257">
        <v>9</v>
      </c>
      <c r="C41" s="124" t="s">
        <v>516</v>
      </c>
      <c r="D41" s="125" t="s">
        <v>199</v>
      </c>
      <c r="E41" s="128" t="s">
        <v>477</v>
      </c>
      <c r="F41" s="185" t="s">
        <v>383</v>
      </c>
      <c r="G41" s="125" t="s">
        <v>15</v>
      </c>
      <c r="H41" s="125" t="s">
        <v>406</v>
      </c>
      <c r="I41" s="128" t="s">
        <v>31</v>
      </c>
      <c r="J41" s="125" t="s">
        <v>17</v>
      </c>
      <c r="K41" s="191" t="s">
        <v>17</v>
      </c>
      <c r="L41" s="125" t="s">
        <v>386</v>
      </c>
      <c r="M41" s="185" t="s">
        <v>407</v>
      </c>
      <c r="N41" s="124" t="s">
        <v>15</v>
      </c>
      <c r="O41" s="211">
        <v>1</v>
      </c>
      <c r="P41" s="124" t="s">
        <v>167</v>
      </c>
      <c r="Q41" s="126">
        <v>45757</v>
      </c>
      <c r="R41" s="90">
        <v>5500</v>
      </c>
      <c r="S41" s="441">
        <f t="shared" si="2"/>
        <v>6425</v>
      </c>
      <c r="T41" s="331">
        <v>7350</v>
      </c>
      <c r="U41" s="331">
        <f t="shared" si="0"/>
        <v>8085.0000000000009</v>
      </c>
    </row>
    <row r="42" spans="2:21" ht="25" x14ac:dyDescent="0.35">
      <c r="B42" s="257">
        <v>10</v>
      </c>
      <c r="C42" s="124" t="s">
        <v>517</v>
      </c>
      <c r="D42" s="125" t="s">
        <v>199</v>
      </c>
      <c r="E42" s="128" t="s">
        <v>477</v>
      </c>
      <c r="F42" s="185" t="s">
        <v>383</v>
      </c>
      <c r="G42" s="125" t="s">
        <v>15</v>
      </c>
      <c r="H42" s="125" t="s">
        <v>406</v>
      </c>
      <c r="I42" s="128" t="s">
        <v>31</v>
      </c>
      <c r="J42" s="125" t="s">
        <v>17</v>
      </c>
      <c r="K42" s="191" t="s">
        <v>17</v>
      </c>
      <c r="L42" s="125" t="s">
        <v>386</v>
      </c>
      <c r="M42" s="185" t="s">
        <v>407</v>
      </c>
      <c r="N42" s="124" t="s">
        <v>15</v>
      </c>
      <c r="O42" s="211">
        <v>1</v>
      </c>
      <c r="P42" s="124" t="s">
        <v>167</v>
      </c>
      <c r="Q42" s="126">
        <v>45757</v>
      </c>
      <c r="R42" s="90">
        <v>5500</v>
      </c>
      <c r="S42" s="441">
        <f t="shared" si="2"/>
        <v>6425</v>
      </c>
      <c r="T42" s="331">
        <v>7350</v>
      </c>
      <c r="U42" s="331">
        <f t="shared" si="0"/>
        <v>8085.0000000000009</v>
      </c>
    </row>
    <row r="43" spans="2:21" ht="25" x14ac:dyDescent="0.35">
      <c r="B43" s="257">
        <v>11</v>
      </c>
      <c r="C43" s="124" t="s">
        <v>518</v>
      </c>
      <c r="D43" s="125" t="s">
        <v>199</v>
      </c>
      <c r="E43" s="253" t="s">
        <v>477</v>
      </c>
      <c r="F43" s="185" t="s">
        <v>168</v>
      </c>
      <c r="G43" s="125" t="s">
        <v>15</v>
      </c>
      <c r="H43" s="125" t="s">
        <v>406</v>
      </c>
      <c r="I43" s="128" t="s">
        <v>31</v>
      </c>
      <c r="J43" s="125" t="s">
        <v>17</v>
      </c>
      <c r="K43" s="191" t="s">
        <v>19</v>
      </c>
      <c r="L43" s="125" t="s">
        <v>386</v>
      </c>
      <c r="M43" s="185" t="s">
        <v>171</v>
      </c>
      <c r="N43" s="124" t="s">
        <v>15</v>
      </c>
      <c r="O43" s="211">
        <v>1</v>
      </c>
      <c r="P43" s="124" t="s">
        <v>167</v>
      </c>
      <c r="Q43" s="126">
        <v>45784</v>
      </c>
      <c r="R43" s="90">
        <v>6500</v>
      </c>
      <c r="S43" s="441">
        <f t="shared" si="2"/>
        <v>7625</v>
      </c>
      <c r="T43" s="331">
        <v>8750</v>
      </c>
      <c r="U43" s="331">
        <f t="shared" si="0"/>
        <v>9625</v>
      </c>
    </row>
    <row r="44" spans="2:21" ht="25" x14ac:dyDescent="0.35">
      <c r="B44" s="257">
        <v>12</v>
      </c>
      <c r="C44" s="124" t="s">
        <v>519</v>
      </c>
      <c r="D44" s="125" t="s">
        <v>199</v>
      </c>
      <c r="E44" s="253" t="s">
        <v>477</v>
      </c>
      <c r="F44" s="185" t="s">
        <v>168</v>
      </c>
      <c r="G44" s="125" t="s">
        <v>15</v>
      </c>
      <c r="H44" s="125" t="s">
        <v>406</v>
      </c>
      <c r="I44" s="128" t="s">
        <v>31</v>
      </c>
      <c r="J44" s="125" t="s">
        <v>17</v>
      </c>
      <c r="K44" s="191" t="s">
        <v>19</v>
      </c>
      <c r="L44" s="125" t="s">
        <v>386</v>
      </c>
      <c r="M44" s="185" t="s">
        <v>171</v>
      </c>
      <c r="N44" s="124" t="s">
        <v>15</v>
      </c>
      <c r="O44" s="211">
        <v>1</v>
      </c>
      <c r="P44" s="124" t="s">
        <v>167</v>
      </c>
      <c r="Q44" s="126">
        <v>45784</v>
      </c>
      <c r="R44" s="90">
        <v>6500</v>
      </c>
      <c r="S44" s="441">
        <f t="shared" si="2"/>
        <v>7625</v>
      </c>
      <c r="T44" s="331">
        <v>8750</v>
      </c>
      <c r="U44" s="331">
        <f t="shared" si="0"/>
        <v>9625</v>
      </c>
    </row>
    <row r="45" spans="2:21" ht="26" x14ac:dyDescent="0.35">
      <c r="B45" s="257">
        <v>13</v>
      </c>
      <c r="C45" s="124" t="s">
        <v>155</v>
      </c>
      <c r="D45" s="191" t="s">
        <v>199</v>
      </c>
      <c r="E45" s="254" t="s">
        <v>477</v>
      </c>
      <c r="F45" s="192" t="s">
        <v>168</v>
      </c>
      <c r="G45" s="191" t="s">
        <v>15</v>
      </c>
      <c r="H45" s="191" t="s">
        <v>406</v>
      </c>
      <c r="I45" s="251" t="s">
        <v>31</v>
      </c>
      <c r="J45" s="191" t="s">
        <v>17</v>
      </c>
      <c r="K45" s="191" t="s">
        <v>19</v>
      </c>
      <c r="L45" s="191" t="s">
        <v>386</v>
      </c>
      <c r="M45" s="192" t="s">
        <v>407</v>
      </c>
      <c r="N45" s="195" t="s">
        <v>15</v>
      </c>
      <c r="O45" s="252" t="s">
        <v>155</v>
      </c>
      <c r="P45" s="195" t="s">
        <v>167</v>
      </c>
      <c r="Q45" s="126">
        <v>45901</v>
      </c>
      <c r="R45" s="90">
        <v>6500</v>
      </c>
      <c r="S45" s="441">
        <f t="shared" si="2"/>
        <v>7625</v>
      </c>
      <c r="T45" s="331">
        <v>8750</v>
      </c>
      <c r="U45" s="331">
        <f t="shared" si="0"/>
        <v>9625</v>
      </c>
    </row>
    <row r="46" spans="2:21" ht="25" x14ac:dyDescent="0.35">
      <c r="B46" s="257">
        <v>14</v>
      </c>
      <c r="C46" s="124" t="s">
        <v>520</v>
      </c>
      <c r="D46" s="125" t="s">
        <v>199</v>
      </c>
      <c r="E46" s="253" t="s">
        <v>476</v>
      </c>
      <c r="F46" s="185" t="s">
        <v>168</v>
      </c>
      <c r="G46" s="125" t="s">
        <v>15</v>
      </c>
      <c r="H46" s="125" t="s">
        <v>406</v>
      </c>
      <c r="I46" s="128" t="s">
        <v>31</v>
      </c>
      <c r="J46" s="125" t="s">
        <v>17</v>
      </c>
      <c r="K46" s="191" t="s">
        <v>19</v>
      </c>
      <c r="L46" s="125" t="s">
        <v>386</v>
      </c>
      <c r="M46" s="185" t="s">
        <v>72</v>
      </c>
      <c r="N46" s="124" t="s">
        <v>15</v>
      </c>
      <c r="O46" s="211">
        <v>1</v>
      </c>
      <c r="P46" s="124" t="s">
        <v>167</v>
      </c>
      <c r="Q46" s="126">
        <v>45784</v>
      </c>
      <c r="R46" s="90">
        <v>6500</v>
      </c>
      <c r="S46" s="441">
        <f t="shared" si="2"/>
        <v>7625</v>
      </c>
      <c r="T46" s="331">
        <v>8750</v>
      </c>
      <c r="U46" s="331">
        <f t="shared" si="0"/>
        <v>9625</v>
      </c>
    </row>
    <row r="47" spans="2:21" ht="25.5" thickBot="1" x14ac:dyDescent="0.4">
      <c r="B47" s="260">
        <v>15</v>
      </c>
      <c r="C47" s="178" t="s">
        <v>521</v>
      </c>
      <c r="D47" s="261" t="s">
        <v>199</v>
      </c>
      <c r="E47" s="394" t="s">
        <v>476</v>
      </c>
      <c r="F47" s="317" t="s">
        <v>168</v>
      </c>
      <c r="G47" s="261" t="s">
        <v>15</v>
      </c>
      <c r="H47" s="261" t="s">
        <v>406</v>
      </c>
      <c r="I47" s="276" t="s">
        <v>31</v>
      </c>
      <c r="J47" s="261" t="s">
        <v>17</v>
      </c>
      <c r="K47" s="196" t="s">
        <v>19</v>
      </c>
      <c r="L47" s="261" t="s">
        <v>386</v>
      </c>
      <c r="M47" s="317" t="s">
        <v>72</v>
      </c>
      <c r="N47" s="178" t="s">
        <v>15</v>
      </c>
      <c r="O47" s="389">
        <v>1</v>
      </c>
      <c r="P47" s="178" t="s">
        <v>167</v>
      </c>
      <c r="Q47" s="183">
        <v>45784</v>
      </c>
      <c r="R47" s="263">
        <v>6500</v>
      </c>
      <c r="S47" s="442">
        <f t="shared" si="2"/>
        <v>7625</v>
      </c>
      <c r="T47" s="343">
        <v>8750</v>
      </c>
      <c r="U47" s="343">
        <f t="shared" si="0"/>
        <v>9625</v>
      </c>
    </row>
    <row r="48" spans="2:21" ht="25" x14ac:dyDescent="0.35">
      <c r="B48" s="339">
        <v>16</v>
      </c>
      <c r="C48" s="300" t="s">
        <v>523</v>
      </c>
      <c r="D48" s="175" t="s">
        <v>199</v>
      </c>
      <c r="E48" s="175" t="s">
        <v>470</v>
      </c>
      <c r="F48" s="175" t="s">
        <v>481</v>
      </c>
      <c r="G48" s="175" t="s">
        <v>439</v>
      </c>
      <c r="H48" s="175" t="s">
        <v>336</v>
      </c>
      <c r="I48" s="175" t="s">
        <v>337</v>
      </c>
      <c r="J48" s="175" t="s">
        <v>17</v>
      </c>
      <c r="K48" s="175" t="s">
        <v>19</v>
      </c>
      <c r="L48" s="175" t="s">
        <v>404</v>
      </c>
      <c r="M48" s="175" t="s">
        <v>72</v>
      </c>
      <c r="N48" s="175" t="s">
        <v>15</v>
      </c>
      <c r="O48" s="255" t="s">
        <v>155</v>
      </c>
      <c r="P48" s="256" t="s">
        <v>167</v>
      </c>
      <c r="Q48" s="344">
        <v>44317</v>
      </c>
      <c r="R48" s="176">
        <v>13800</v>
      </c>
      <c r="S48" s="443">
        <f t="shared" si="2"/>
        <v>15650</v>
      </c>
      <c r="T48" s="327">
        <v>17500</v>
      </c>
      <c r="U48" s="327">
        <f t="shared" si="0"/>
        <v>19250</v>
      </c>
    </row>
    <row r="49" spans="1:21" ht="25" x14ac:dyDescent="0.35">
      <c r="B49" s="257">
        <v>17</v>
      </c>
      <c r="C49" s="286" t="s">
        <v>522</v>
      </c>
      <c r="D49" s="2" t="s">
        <v>199</v>
      </c>
      <c r="E49" s="2" t="s">
        <v>469</v>
      </c>
      <c r="F49" s="18" t="s">
        <v>168</v>
      </c>
      <c r="G49" s="2" t="s">
        <v>15</v>
      </c>
      <c r="H49" s="18" t="s">
        <v>437</v>
      </c>
      <c r="I49" s="18" t="s">
        <v>337</v>
      </c>
      <c r="J49" s="2" t="s">
        <v>17</v>
      </c>
      <c r="K49" s="18" t="s">
        <v>17</v>
      </c>
      <c r="L49" s="2" t="s">
        <v>386</v>
      </c>
      <c r="M49" s="18" t="s">
        <v>21</v>
      </c>
      <c r="N49" s="18" t="s">
        <v>15</v>
      </c>
      <c r="O49" s="209">
        <v>1</v>
      </c>
      <c r="P49" s="19" t="s">
        <v>167</v>
      </c>
      <c r="Q49" s="117">
        <v>44682</v>
      </c>
      <c r="R49" s="24">
        <v>15000</v>
      </c>
      <c r="S49" s="444">
        <f t="shared" si="2"/>
        <v>18250</v>
      </c>
      <c r="T49" s="331">
        <v>21500</v>
      </c>
      <c r="U49" s="331">
        <f t="shared" si="0"/>
        <v>23650.000000000004</v>
      </c>
    </row>
    <row r="50" spans="1:21" ht="26" x14ac:dyDescent="0.35">
      <c r="B50" s="257">
        <v>18</v>
      </c>
      <c r="C50" s="336" t="s">
        <v>524</v>
      </c>
      <c r="D50" s="7" t="s">
        <v>199</v>
      </c>
      <c r="E50" s="7" t="s">
        <v>471</v>
      </c>
      <c r="F50" s="7" t="s">
        <v>481</v>
      </c>
      <c r="G50" s="7" t="s">
        <v>439</v>
      </c>
      <c r="H50" s="7" t="s">
        <v>336</v>
      </c>
      <c r="I50" s="7" t="s">
        <v>337</v>
      </c>
      <c r="J50" s="7" t="s">
        <v>17</v>
      </c>
      <c r="K50" s="7" t="s">
        <v>19</v>
      </c>
      <c r="L50" s="7" t="s">
        <v>404</v>
      </c>
      <c r="M50" s="7" t="s">
        <v>72</v>
      </c>
      <c r="N50" s="7" t="s">
        <v>15</v>
      </c>
      <c r="O50" s="250" t="s">
        <v>155</v>
      </c>
      <c r="P50" s="258" t="s">
        <v>167</v>
      </c>
      <c r="Q50" s="30">
        <v>44682</v>
      </c>
      <c r="R50" s="90">
        <v>13000</v>
      </c>
      <c r="S50" s="441">
        <f t="shared" si="2"/>
        <v>15950</v>
      </c>
      <c r="T50" s="331">
        <v>18900</v>
      </c>
      <c r="U50" s="331">
        <f t="shared" si="0"/>
        <v>20790</v>
      </c>
    </row>
    <row r="51" spans="1:21" ht="26" x14ac:dyDescent="0.35">
      <c r="B51" s="257">
        <v>19</v>
      </c>
      <c r="C51" s="336" t="s">
        <v>525</v>
      </c>
      <c r="D51" s="7" t="s">
        <v>199</v>
      </c>
      <c r="E51" s="258" t="s">
        <v>471</v>
      </c>
      <c r="F51" s="258" t="s">
        <v>170</v>
      </c>
      <c r="G51" s="258" t="s">
        <v>15</v>
      </c>
      <c r="H51" s="7" t="s">
        <v>401</v>
      </c>
      <c r="I51" s="258" t="s">
        <v>337</v>
      </c>
      <c r="J51" s="7" t="s">
        <v>17</v>
      </c>
      <c r="K51" s="7" t="s">
        <v>19</v>
      </c>
      <c r="L51" s="7" t="s">
        <v>387</v>
      </c>
      <c r="M51" s="258" t="s">
        <v>72</v>
      </c>
      <c r="N51" s="258" t="s">
        <v>15</v>
      </c>
      <c r="O51" s="259" t="s">
        <v>155</v>
      </c>
      <c r="P51" s="258" t="s">
        <v>167</v>
      </c>
      <c r="Q51" s="117">
        <v>44805</v>
      </c>
      <c r="R51" s="90">
        <v>13200</v>
      </c>
      <c r="S51" s="441">
        <f t="shared" si="2"/>
        <v>16050</v>
      </c>
      <c r="T51" s="331">
        <v>18900</v>
      </c>
      <c r="U51" s="331">
        <f t="shared" si="0"/>
        <v>20790</v>
      </c>
    </row>
    <row r="52" spans="1:21" ht="26" x14ac:dyDescent="0.35">
      <c r="A52" s="34" t="s">
        <v>403</v>
      </c>
      <c r="B52" s="257">
        <v>20</v>
      </c>
      <c r="C52" s="322" t="s">
        <v>526</v>
      </c>
      <c r="D52" s="7" t="s">
        <v>199</v>
      </c>
      <c r="E52" s="258" t="s">
        <v>471</v>
      </c>
      <c r="F52" s="258" t="s">
        <v>170</v>
      </c>
      <c r="G52" s="258" t="s">
        <v>439</v>
      </c>
      <c r="H52" s="7" t="s">
        <v>482</v>
      </c>
      <c r="I52" s="258" t="s">
        <v>337</v>
      </c>
      <c r="J52" s="7" t="s">
        <v>17</v>
      </c>
      <c r="K52" s="7" t="s">
        <v>19</v>
      </c>
      <c r="L52" s="7" t="s">
        <v>387</v>
      </c>
      <c r="M52" s="258" t="s">
        <v>72</v>
      </c>
      <c r="N52" s="258" t="s">
        <v>15</v>
      </c>
      <c r="O52" s="259">
        <v>1</v>
      </c>
      <c r="P52" s="258" t="s">
        <v>167</v>
      </c>
      <c r="Q52" s="117">
        <v>44805</v>
      </c>
      <c r="R52" s="90">
        <v>13200</v>
      </c>
      <c r="S52" s="441">
        <f t="shared" si="2"/>
        <v>16050</v>
      </c>
      <c r="T52" s="331">
        <v>18900</v>
      </c>
      <c r="U52" s="331">
        <f t="shared" si="0"/>
        <v>20790</v>
      </c>
    </row>
    <row r="53" spans="1:21" ht="25.5" thickBot="1" x14ac:dyDescent="0.4">
      <c r="B53" s="260">
        <v>21</v>
      </c>
      <c r="C53" s="387" t="s">
        <v>527</v>
      </c>
      <c r="D53" s="179" t="s">
        <v>199</v>
      </c>
      <c r="E53" s="278" t="s">
        <v>472</v>
      </c>
      <c r="F53" s="273" t="s">
        <v>380</v>
      </c>
      <c r="G53" s="278" t="s">
        <v>439</v>
      </c>
      <c r="H53" s="179" t="s">
        <v>336</v>
      </c>
      <c r="I53" s="278" t="s">
        <v>368</v>
      </c>
      <c r="J53" s="261" t="s">
        <v>17</v>
      </c>
      <c r="K53" s="179" t="s">
        <v>19</v>
      </c>
      <c r="L53" s="179" t="s">
        <v>387</v>
      </c>
      <c r="M53" s="278" t="s">
        <v>171</v>
      </c>
      <c r="N53" s="278" t="s">
        <v>15</v>
      </c>
      <c r="O53" s="305">
        <v>1</v>
      </c>
      <c r="P53" s="278" t="s">
        <v>167</v>
      </c>
      <c r="Q53" s="262">
        <v>45017</v>
      </c>
      <c r="R53" s="264">
        <v>13600</v>
      </c>
      <c r="S53" s="445">
        <f t="shared" si="2"/>
        <v>16550</v>
      </c>
      <c r="T53" s="343">
        <v>19500</v>
      </c>
      <c r="U53" s="343">
        <f t="shared" si="0"/>
        <v>21450</v>
      </c>
    </row>
    <row r="54" spans="1:21" ht="25" x14ac:dyDescent="0.35">
      <c r="B54" s="339">
        <v>22</v>
      </c>
      <c r="C54" s="341" t="s">
        <v>528</v>
      </c>
      <c r="D54" s="175" t="s">
        <v>199</v>
      </c>
      <c r="E54" s="256" t="s">
        <v>473</v>
      </c>
      <c r="F54" s="265" t="s">
        <v>380</v>
      </c>
      <c r="G54" s="256" t="s">
        <v>439</v>
      </c>
      <c r="H54" s="175" t="s">
        <v>442</v>
      </c>
      <c r="I54" s="256" t="s">
        <v>379</v>
      </c>
      <c r="J54" s="245" t="s">
        <v>17</v>
      </c>
      <c r="K54" s="175" t="s">
        <v>19</v>
      </c>
      <c r="L54" s="175" t="s">
        <v>386</v>
      </c>
      <c r="M54" s="256" t="s">
        <v>171</v>
      </c>
      <c r="N54" s="256" t="s">
        <v>15</v>
      </c>
      <c r="O54" s="301">
        <v>1</v>
      </c>
      <c r="P54" s="256" t="s">
        <v>167</v>
      </c>
      <c r="Q54" s="271">
        <v>45017</v>
      </c>
      <c r="R54" s="272">
        <v>16750</v>
      </c>
      <c r="S54" s="446">
        <f t="shared" si="2"/>
        <v>19625</v>
      </c>
      <c r="T54" s="327">
        <v>22500</v>
      </c>
      <c r="U54" s="327">
        <f t="shared" si="0"/>
        <v>24750.000000000004</v>
      </c>
    </row>
    <row r="55" spans="1:21" ht="25.5" thickBot="1" x14ac:dyDescent="0.4">
      <c r="B55" s="260">
        <v>23</v>
      </c>
      <c r="C55" s="342" t="s">
        <v>529</v>
      </c>
      <c r="D55" s="178" t="s">
        <v>199</v>
      </c>
      <c r="E55" s="394" t="s">
        <v>473</v>
      </c>
      <c r="F55" s="261" t="s">
        <v>380</v>
      </c>
      <c r="G55" s="276" t="s">
        <v>439</v>
      </c>
      <c r="H55" s="178" t="s">
        <v>442</v>
      </c>
      <c r="I55" s="276" t="s">
        <v>379</v>
      </c>
      <c r="J55" s="261" t="s">
        <v>17</v>
      </c>
      <c r="K55" s="178" t="s">
        <v>19</v>
      </c>
      <c r="L55" s="178" t="s">
        <v>386</v>
      </c>
      <c r="M55" s="276" t="s">
        <v>171</v>
      </c>
      <c r="N55" s="276" t="s">
        <v>15</v>
      </c>
      <c r="O55" s="230">
        <v>1</v>
      </c>
      <c r="P55" s="276" t="s">
        <v>167</v>
      </c>
      <c r="Q55" s="183">
        <v>45757</v>
      </c>
      <c r="R55" s="264">
        <v>16750</v>
      </c>
      <c r="S55" s="445">
        <f t="shared" si="2"/>
        <v>19625</v>
      </c>
      <c r="T55" s="343">
        <v>22500</v>
      </c>
      <c r="U55" s="343">
        <f t="shared" si="0"/>
        <v>24750.000000000004</v>
      </c>
    </row>
    <row r="56" spans="1:21" ht="25" x14ac:dyDescent="0.35">
      <c r="B56" s="339">
        <v>24</v>
      </c>
      <c r="C56" s="341" t="s">
        <v>530</v>
      </c>
      <c r="D56" s="265" t="s">
        <v>199</v>
      </c>
      <c r="E56" s="266" t="s">
        <v>474</v>
      </c>
      <c r="F56" s="267" t="s">
        <v>382</v>
      </c>
      <c r="G56" s="265" t="s">
        <v>439</v>
      </c>
      <c r="H56" s="265" t="s">
        <v>442</v>
      </c>
      <c r="I56" s="268" t="s">
        <v>422</v>
      </c>
      <c r="J56" s="245" t="s">
        <v>17</v>
      </c>
      <c r="K56" s="265" t="s">
        <v>19</v>
      </c>
      <c r="L56" s="265" t="s">
        <v>387</v>
      </c>
      <c r="M56" s="269" t="s">
        <v>72</v>
      </c>
      <c r="N56" s="256" t="s">
        <v>15</v>
      </c>
      <c r="O56" s="270">
        <v>1</v>
      </c>
      <c r="P56" s="177" t="s">
        <v>167</v>
      </c>
      <c r="Q56" s="271">
        <v>45444</v>
      </c>
      <c r="R56" s="272">
        <v>21500</v>
      </c>
      <c r="S56" s="446">
        <f t="shared" si="2"/>
        <v>24000</v>
      </c>
      <c r="T56" s="327">
        <v>26500</v>
      </c>
      <c r="U56" s="327">
        <f t="shared" si="0"/>
        <v>29150.000000000004</v>
      </c>
    </row>
    <row r="57" spans="1:21" ht="25.5" thickBot="1" x14ac:dyDescent="0.4">
      <c r="B57" s="260">
        <v>25</v>
      </c>
      <c r="C57" s="342" t="s">
        <v>531</v>
      </c>
      <c r="D57" s="273" t="s">
        <v>199</v>
      </c>
      <c r="E57" s="274" t="s">
        <v>475</v>
      </c>
      <c r="F57" s="275" t="s">
        <v>382</v>
      </c>
      <c r="G57" s="273" t="s">
        <v>439</v>
      </c>
      <c r="H57" s="273" t="s">
        <v>442</v>
      </c>
      <c r="I57" s="276" t="s">
        <v>422</v>
      </c>
      <c r="J57" s="261" t="s">
        <v>17</v>
      </c>
      <c r="K57" s="273" t="s">
        <v>19</v>
      </c>
      <c r="L57" s="273" t="s">
        <v>387</v>
      </c>
      <c r="M57" s="277" t="s">
        <v>443</v>
      </c>
      <c r="N57" s="278" t="s">
        <v>15</v>
      </c>
      <c r="O57" s="279">
        <v>1</v>
      </c>
      <c r="P57" s="178" t="s">
        <v>167</v>
      </c>
      <c r="Q57" s="183">
        <v>45784</v>
      </c>
      <c r="R57" s="264">
        <v>21500</v>
      </c>
      <c r="S57" s="445">
        <f t="shared" si="2"/>
        <v>24000</v>
      </c>
      <c r="T57" s="343">
        <v>26500</v>
      </c>
      <c r="U57" s="343">
        <f t="shared" si="0"/>
        <v>29150.000000000004</v>
      </c>
    </row>
    <row r="58" spans="1:21" ht="18" thickBot="1" x14ac:dyDescent="0.4">
      <c r="F58" s="221"/>
      <c r="H58" s="14"/>
      <c r="J58" s="222"/>
      <c r="K58" s="14"/>
      <c r="L58" s="14" t="s">
        <v>403</v>
      </c>
      <c r="O58" s="321">
        <f>SUM(O33:O57)</f>
        <v>20</v>
      </c>
      <c r="Q58" s="122"/>
      <c r="R58" s="223"/>
      <c r="S58" s="223"/>
    </row>
    <row r="59" spans="1:21" ht="20.5" thickBot="1" x14ac:dyDescent="0.4">
      <c r="B59" s="404" t="s">
        <v>449</v>
      </c>
      <c r="C59" s="405"/>
      <c r="D59" s="405"/>
      <c r="E59" s="405"/>
      <c r="F59" s="405"/>
      <c r="G59" s="405"/>
      <c r="H59" s="406"/>
    </row>
    <row r="60" spans="1:21" ht="39.5" thickBot="1" x14ac:dyDescent="0.4">
      <c r="B60" s="461" t="s">
        <v>0</v>
      </c>
      <c r="C60" s="471"/>
      <c r="D60" s="462" t="s">
        <v>1</v>
      </c>
      <c r="E60" s="220" t="s">
        <v>2</v>
      </c>
      <c r="F60" s="462" t="s">
        <v>5</v>
      </c>
      <c r="G60" s="462" t="s">
        <v>6</v>
      </c>
      <c r="H60" s="462" t="s">
        <v>8</v>
      </c>
      <c r="I60" s="462" t="s">
        <v>11</v>
      </c>
      <c r="J60" s="462" t="s">
        <v>10</v>
      </c>
      <c r="K60" s="462" t="s">
        <v>9</v>
      </c>
      <c r="L60" s="462" t="s">
        <v>39</v>
      </c>
      <c r="M60" s="462" t="s">
        <v>7</v>
      </c>
      <c r="N60" s="462" t="s">
        <v>172</v>
      </c>
      <c r="O60" s="470" t="s">
        <v>441</v>
      </c>
      <c r="P60" s="462" t="s">
        <v>3</v>
      </c>
      <c r="Q60" s="462" t="s">
        <v>163</v>
      </c>
      <c r="R60" s="472" t="s">
        <v>595</v>
      </c>
      <c r="S60" s="473" t="s">
        <v>618</v>
      </c>
      <c r="T60" s="474" t="s">
        <v>596</v>
      </c>
      <c r="U60" s="474" t="s">
        <v>617</v>
      </c>
    </row>
    <row r="61" spans="1:21" ht="38" thickBot="1" x14ac:dyDescent="0.4">
      <c r="B61" s="290">
        <v>1</v>
      </c>
      <c r="C61" s="177" t="s">
        <v>532</v>
      </c>
      <c r="D61" s="177" t="s">
        <v>409</v>
      </c>
      <c r="E61" s="246" t="s">
        <v>408</v>
      </c>
      <c r="F61" s="245" t="s">
        <v>380</v>
      </c>
      <c r="G61" s="268" t="s">
        <v>15</v>
      </c>
      <c r="H61" s="177" t="s">
        <v>406</v>
      </c>
      <c r="I61" s="268" t="s">
        <v>344</v>
      </c>
      <c r="J61" s="177" t="s">
        <v>426</v>
      </c>
      <c r="K61" s="177" t="s">
        <v>19</v>
      </c>
      <c r="L61" s="177" t="s">
        <v>387</v>
      </c>
      <c r="M61" s="268" t="s">
        <v>171</v>
      </c>
      <c r="N61" s="268" t="s">
        <v>15</v>
      </c>
      <c r="O61" s="231">
        <v>1</v>
      </c>
      <c r="P61" s="268" t="s">
        <v>167</v>
      </c>
      <c r="Q61" s="181">
        <v>45757</v>
      </c>
      <c r="R61" s="272">
        <v>10500</v>
      </c>
      <c r="S61" s="446">
        <f t="shared" ref="S61:S62" si="3">+(T61-R61)/2+R61</f>
        <v>13000</v>
      </c>
      <c r="T61" s="327">
        <v>15500</v>
      </c>
      <c r="U61" s="327">
        <f>+T61*1.1</f>
        <v>17050</v>
      </c>
    </row>
    <row r="62" spans="1:21" ht="38" thickBot="1" x14ac:dyDescent="0.4">
      <c r="B62" s="227">
        <v>2</v>
      </c>
      <c r="C62" s="187" t="s">
        <v>533</v>
      </c>
      <c r="D62" s="187" t="s">
        <v>409</v>
      </c>
      <c r="E62" s="380" t="s">
        <v>410</v>
      </c>
      <c r="F62" s="381" t="s">
        <v>380</v>
      </c>
      <c r="G62" s="188" t="s">
        <v>15</v>
      </c>
      <c r="H62" s="187" t="s">
        <v>406</v>
      </c>
      <c r="I62" s="188" t="s">
        <v>411</v>
      </c>
      <c r="J62" s="187" t="s">
        <v>426</v>
      </c>
      <c r="K62" s="187" t="s">
        <v>19</v>
      </c>
      <c r="L62" s="187" t="s">
        <v>387</v>
      </c>
      <c r="M62" s="188" t="s">
        <v>171</v>
      </c>
      <c r="N62" s="188" t="s">
        <v>15</v>
      </c>
      <c r="O62" s="233">
        <v>1</v>
      </c>
      <c r="P62" s="188" t="s">
        <v>167</v>
      </c>
      <c r="Q62" s="189">
        <v>45757</v>
      </c>
      <c r="R62" s="382">
        <v>15500</v>
      </c>
      <c r="S62" s="447">
        <f t="shared" si="3"/>
        <v>18500</v>
      </c>
      <c r="T62" s="326">
        <v>21500</v>
      </c>
      <c r="U62" s="326">
        <f>+T62*1.1</f>
        <v>23650.000000000004</v>
      </c>
    </row>
  </sheetData>
  <mergeCells count="5">
    <mergeCell ref="B2:G2"/>
    <mergeCell ref="B31:H31"/>
    <mergeCell ref="B59:H59"/>
    <mergeCell ref="M30:N30"/>
    <mergeCell ref="B1:Q1"/>
  </mergeCells>
  <phoneticPr fontId="12" type="noConversion"/>
  <pageMargins left="0.25" right="0.25" top="0.75" bottom="0.75" header="0.3" footer="0.3"/>
  <pageSetup paperSize="9" scale="50" fitToHeight="0" orientation="landscape" r:id="rId1"/>
  <rowBreaks count="2" manualBreakCount="2">
    <brk id="23" min="1" max="25" man="1"/>
    <brk id="47" min="1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B1:T60"/>
  <sheetViews>
    <sheetView topLeftCell="J1" zoomScale="59" zoomScaleNormal="70" zoomScaleSheetLayoutView="113" workbookViewId="0">
      <selection activeCell="S4" sqref="B4:S4"/>
    </sheetView>
  </sheetViews>
  <sheetFormatPr baseColWidth="10" defaultColWidth="11.453125" defaultRowHeight="17.5" x14ac:dyDescent="0.25"/>
  <cols>
    <col min="1" max="1" width="2.81640625" style="113" customWidth="1"/>
    <col min="2" max="2" width="6.81640625" style="34" customWidth="1"/>
    <col min="3" max="3" width="15.6328125" style="34" bestFit="1" customWidth="1"/>
    <col min="4" max="4" width="23.6328125" style="34" bestFit="1" customWidth="1"/>
    <col min="5" max="5" width="20.453125" style="34" bestFit="1" customWidth="1"/>
    <col min="6" max="6" width="22" style="34" bestFit="1" customWidth="1"/>
    <col min="7" max="8" width="17.453125" style="34" bestFit="1" customWidth="1"/>
    <col min="9" max="9" width="16" style="34" bestFit="1" customWidth="1"/>
    <col min="10" max="10" width="23.1796875" style="34" bestFit="1" customWidth="1"/>
    <col min="11" max="11" width="19.81640625" style="34" bestFit="1" customWidth="1"/>
    <col min="12" max="12" width="14.1796875" style="34" customWidth="1"/>
    <col min="13" max="13" width="23.81640625" style="34" bestFit="1" customWidth="1"/>
    <col min="14" max="14" width="11.81640625" style="214" customWidth="1"/>
    <col min="15" max="15" width="12.1796875" style="34" customWidth="1"/>
    <col min="16" max="16" width="14.6328125" style="34" customWidth="1"/>
    <col min="17" max="16384" width="11.453125" style="113"/>
  </cols>
  <sheetData>
    <row r="1" spans="2:20" ht="6" customHeight="1" thickBot="1" x14ac:dyDescent="0.3"/>
    <row r="2" spans="2:20" ht="20.5" thickBot="1" x14ac:dyDescent="0.3">
      <c r="B2" s="418" t="s">
        <v>444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20"/>
    </row>
    <row r="3" spans="2:20" ht="18.5" thickBot="1" x14ac:dyDescent="0.3">
      <c r="B3" s="467" t="s">
        <v>36</v>
      </c>
      <c r="C3" s="468"/>
      <c r="D3" s="468"/>
      <c r="E3" s="468"/>
      <c r="F3" s="469"/>
      <c r="Q3" s="357">
        <f>'UNIMAC '!R2</f>
        <v>45950</v>
      </c>
      <c r="R3" s="357"/>
    </row>
    <row r="4" spans="2:20" ht="39.5" thickBot="1" x14ac:dyDescent="0.3">
      <c r="B4" s="461" t="s">
        <v>0</v>
      </c>
      <c r="C4" s="462" t="s">
        <v>259</v>
      </c>
      <c r="D4" s="462" t="s">
        <v>1</v>
      </c>
      <c r="E4" s="462" t="s">
        <v>2</v>
      </c>
      <c r="F4" s="462" t="s">
        <v>5</v>
      </c>
      <c r="G4" s="462" t="s">
        <v>6</v>
      </c>
      <c r="H4" s="462" t="s">
        <v>8</v>
      </c>
      <c r="I4" s="462" t="s">
        <v>11</v>
      </c>
      <c r="J4" s="462" t="s">
        <v>424</v>
      </c>
      <c r="K4" s="462" t="s">
        <v>9</v>
      </c>
      <c r="L4" s="463" t="s">
        <v>39</v>
      </c>
      <c r="M4" s="462" t="s">
        <v>7</v>
      </c>
      <c r="N4" s="470" t="s">
        <v>441</v>
      </c>
      <c r="O4" s="462" t="s">
        <v>3</v>
      </c>
      <c r="P4" s="462" t="s">
        <v>163</v>
      </c>
      <c r="Q4" s="464" t="s">
        <v>595</v>
      </c>
      <c r="R4" s="465" t="s">
        <v>618</v>
      </c>
      <c r="S4" s="466" t="s">
        <v>596</v>
      </c>
    </row>
    <row r="5" spans="2:20" x14ac:dyDescent="0.25">
      <c r="B5" s="280">
        <v>1</v>
      </c>
      <c r="C5" s="175" t="s">
        <v>534</v>
      </c>
      <c r="D5" s="177" t="s">
        <v>46</v>
      </c>
      <c r="E5" s="177" t="s">
        <v>345</v>
      </c>
      <c r="F5" s="177" t="s">
        <v>339</v>
      </c>
      <c r="G5" s="177" t="s">
        <v>346</v>
      </c>
      <c r="H5" s="177" t="s">
        <v>154</v>
      </c>
      <c r="I5" s="177" t="s">
        <v>466</v>
      </c>
      <c r="J5" s="177" t="s">
        <v>445</v>
      </c>
      <c r="K5" s="177" t="s">
        <v>15</v>
      </c>
      <c r="L5" s="177" t="s">
        <v>387</v>
      </c>
      <c r="M5" s="177" t="s">
        <v>330</v>
      </c>
      <c r="N5" s="216">
        <v>1</v>
      </c>
      <c r="O5" s="177" t="s">
        <v>12</v>
      </c>
      <c r="P5" s="201" t="s">
        <v>342</v>
      </c>
      <c r="Q5" s="182">
        <v>6900</v>
      </c>
      <c r="R5" s="440">
        <f t="shared" ref="R5:R20" si="0">+(S5-Q5)/2+Q5</f>
        <v>7925</v>
      </c>
      <c r="S5" s="249">
        <v>8950</v>
      </c>
    </row>
    <row r="6" spans="2:20" ht="25.5" thickBot="1" x14ac:dyDescent="0.3">
      <c r="B6" s="205">
        <v>3</v>
      </c>
      <c r="C6" s="304" t="s">
        <v>535</v>
      </c>
      <c r="D6" s="178" t="s">
        <v>46</v>
      </c>
      <c r="E6" s="178" t="s">
        <v>345</v>
      </c>
      <c r="F6" s="178" t="s">
        <v>153</v>
      </c>
      <c r="G6" s="178" t="s">
        <v>213</v>
      </c>
      <c r="H6" s="178" t="s">
        <v>154</v>
      </c>
      <c r="I6" s="178" t="s">
        <v>466</v>
      </c>
      <c r="J6" s="178" t="s">
        <v>423</v>
      </c>
      <c r="K6" s="178" t="s">
        <v>15</v>
      </c>
      <c r="L6" s="178" t="s">
        <v>387</v>
      </c>
      <c r="M6" s="178" t="s">
        <v>330</v>
      </c>
      <c r="N6" s="386">
        <v>1</v>
      </c>
      <c r="O6" s="178" t="s">
        <v>12</v>
      </c>
      <c r="P6" s="395" t="s">
        <v>342</v>
      </c>
      <c r="Q6" s="263">
        <v>7900</v>
      </c>
      <c r="R6" s="442">
        <f t="shared" si="0"/>
        <v>8925</v>
      </c>
      <c r="S6" s="345">
        <v>9950</v>
      </c>
      <c r="T6" s="318"/>
    </row>
    <row r="7" spans="2:20" ht="18" thickBot="1" x14ac:dyDescent="0.3">
      <c r="B7" s="315">
        <v>5</v>
      </c>
      <c r="C7" s="383" t="s">
        <v>536</v>
      </c>
      <c r="D7" s="187" t="s">
        <v>142</v>
      </c>
      <c r="E7" s="187" t="s">
        <v>343</v>
      </c>
      <c r="F7" s="187" t="s">
        <v>339</v>
      </c>
      <c r="G7" s="187" t="s">
        <v>213</v>
      </c>
      <c r="H7" s="187" t="s">
        <v>412</v>
      </c>
      <c r="I7" s="187" t="s">
        <v>184</v>
      </c>
      <c r="J7" s="187" t="s">
        <v>445</v>
      </c>
      <c r="K7" s="187" t="s">
        <v>15</v>
      </c>
      <c r="L7" s="187" t="s">
        <v>387</v>
      </c>
      <c r="M7" s="187" t="s">
        <v>330</v>
      </c>
      <c r="N7" s="396">
        <v>1</v>
      </c>
      <c r="O7" s="187" t="s">
        <v>12</v>
      </c>
      <c r="P7" s="397">
        <v>45811</v>
      </c>
      <c r="Q7" s="194">
        <v>6200</v>
      </c>
      <c r="R7" s="439">
        <f t="shared" si="0"/>
        <v>8850</v>
      </c>
      <c r="S7" s="240">
        <v>11500</v>
      </c>
    </row>
    <row r="8" spans="2:20" ht="37.5" x14ac:dyDescent="0.25">
      <c r="B8" s="280">
        <v>7</v>
      </c>
      <c r="C8" s="300">
        <v>122560</v>
      </c>
      <c r="D8" s="177" t="s">
        <v>142</v>
      </c>
      <c r="E8" s="177" t="s">
        <v>48</v>
      </c>
      <c r="F8" s="177" t="s">
        <v>153</v>
      </c>
      <c r="G8" s="177" t="s">
        <v>213</v>
      </c>
      <c r="H8" s="177" t="s">
        <v>338</v>
      </c>
      <c r="I8" s="177" t="s">
        <v>23</v>
      </c>
      <c r="J8" s="175" t="s">
        <v>423</v>
      </c>
      <c r="K8" s="177" t="s">
        <v>15</v>
      </c>
      <c r="L8" s="177" t="s">
        <v>387</v>
      </c>
      <c r="M8" s="177" t="s">
        <v>332</v>
      </c>
      <c r="N8" s="216">
        <v>1</v>
      </c>
      <c r="O8" s="177" t="s">
        <v>12</v>
      </c>
      <c r="P8" s="201">
        <v>45143</v>
      </c>
      <c r="Q8" s="182">
        <v>10800</v>
      </c>
      <c r="R8" s="440">
        <f t="shared" si="0"/>
        <v>12150</v>
      </c>
      <c r="S8" s="249">
        <v>13500</v>
      </c>
    </row>
    <row r="9" spans="2:20" ht="37.5" x14ac:dyDescent="0.25">
      <c r="B9" s="204">
        <v>8</v>
      </c>
      <c r="C9" s="286" t="s">
        <v>537</v>
      </c>
      <c r="D9" s="124" t="s">
        <v>142</v>
      </c>
      <c r="E9" s="124" t="s">
        <v>48</v>
      </c>
      <c r="F9" s="124" t="s">
        <v>153</v>
      </c>
      <c r="G9" s="124" t="s">
        <v>213</v>
      </c>
      <c r="H9" s="124" t="s">
        <v>338</v>
      </c>
      <c r="I9" s="124" t="s">
        <v>23</v>
      </c>
      <c r="J9" s="2" t="s">
        <v>423</v>
      </c>
      <c r="K9" s="124" t="s">
        <v>15</v>
      </c>
      <c r="L9" s="124" t="s">
        <v>387</v>
      </c>
      <c r="M9" s="124" t="s">
        <v>332</v>
      </c>
      <c r="N9" s="210">
        <v>1</v>
      </c>
      <c r="O9" s="124" t="s">
        <v>12</v>
      </c>
      <c r="P9" s="184">
        <v>45143</v>
      </c>
      <c r="Q9" s="90">
        <v>10800</v>
      </c>
      <c r="R9" s="441">
        <f t="shared" si="0"/>
        <v>12150</v>
      </c>
      <c r="S9" s="332">
        <v>13500</v>
      </c>
    </row>
    <row r="10" spans="2:20" ht="37.5" x14ac:dyDescent="0.25">
      <c r="B10" s="204">
        <v>10</v>
      </c>
      <c r="C10" s="286" t="s">
        <v>538</v>
      </c>
      <c r="D10" s="124" t="s">
        <v>142</v>
      </c>
      <c r="E10" s="124" t="s">
        <v>48</v>
      </c>
      <c r="F10" s="124" t="s">
        <v>376</v>
      </c>
      <c r="G10" s="124" t="s">
        <v>219</v>
      </c>
      <c r="H10" s="124" t="s">
        <v>338</v>
      </c>
      <c r="I10" s="124" t="s">
        <v>23</v>
      </c>
      <c r="J10" s="2" t="s">
        <v>445</v>
      </c>
      <c r="K10" s="124" t="s">
        <v>15</v>
      </c>
      <c r="L10" s="124" t="s">
        <v>387</v>
      </c>
      <c r="M10" s="124" t="s">
        <v>332</v>
      </c>
      <c r="N10" s="210">
        <v>1</v>
      </c>
      <c r="O10" s="124" t="s">
        <v>12</v>
      </c>
      <c r="P10" s="184">
        <v>45143</v>
      </c>
      <c r="Q10" s="90">
        <v>10500</v>
      </c>
      <c r="R10" s="441">
        <f t="shared" si="0"/>
        <v>12500</v>
      </c>
      <c r="S10" s="332">
        <v>14500</v>
      </c>
    </row>
    <row r="11" spans="2:20" ht="18" thickBot="1" x14ac:dyDescent="0.3">
      <c r="B11" s="205">
        <v>11</v>
      </c>
      <c r="C11" s="304" t="s">
        <v>539</v>
      </c>
      <c r="D11" s="178" t="s">
        <v>142</v>
      </c>
      <c r="E11" s="178" t="s">
        <v>48</v>
      </c>
      <c r="F11" s="178" t="s">
        <v>376</v>
      </c>
      <c r="G11" s="178" t="s">
        <v>483</v>
      </c>
      <c r="H11" s="178" t="s">
        <v>412</v>
      </c>
      <c r="I11" s="178" t="s">
        <v>23</v>
      </c>
      <c r="J11" s="178" t="s">
        <v>445</v>
      </c>
      <c r="K11" s="178" t="s">
        <v>15</v>
      </c>
      <c r="L11" s="178" t="s">
        <v>387</v>
      </c>
      <c r="M11" s="178" t="s">
        <v>330</v>
      </c>
      <c r="N11" s="386">
        <v>1</v>
      </c>
      <c r="O11" s="178" t="s">
        <v>12</v>
      </c>
      <c r="P11" s="395">
        <v>45811</v>
      </c>
      <c r="Q11" s="263">
        <v>7500</v>
      </c>
      <c r="R11" s="442">
        <f t="shared" si="0"/>
        <v>10000</v>
      </c>
      <c r="S11" s="345">
        <v>12500</v>
      </c>
    </row>
    <row r="12" spans="2:20" ht="37.5" x14ac:dyDescent="0.25">
      <c r="B12" s="280">
        <v>13</v>
      </c>
      <c r="C12" s="300" t="s">
        <v>540</v>
      </c>
      <c r="D12" s="177" t="s">
        <v>142</v>
      </c>
      <c r="E12" s="177" t="s">
        <v>28</v>
      </c>
      <c r="F12" s="177" t="s">
        <v>153</v>
      </c>
      <c r="G12" s="177" t="s">
        <v>213</v>
      </c>
      <c r="H12" s="177" t="s">
        <v>384</v>
      </c>
      <c r="I12" s="177" t="s">
        <v>34</v>
      </c>
      <c r="J12" s="177" t="s">
        <v>423</v>
      </c>
      <c r="K12" s="177" t="s">
        <v>15</v>
      </c>
      <c r="L12" s="177" t="s">
        <v>387</v>
      </c>
      <c r="M12" s="177" t="s">
        <v>332</v>
      </c>
      <c r="N12" s="216">
        <v>1</v>
      </c>
      <c r="O12" s="177" t="s">
        <v>12</v>
      </c>
      <c r="P12" s="201">
        <v>45811</v>
      </c>
      <c r="Q12" s="182">
        <v>9100</v>
      </c>
      <c r="R12" s="440">
        <f t="shared" si="0"/>
        <v>11725</v>
      </c>
      <c r="S12" s="249">
        <v>14350</v>
      </c>
    </row>
    <row r="13" spans="2:20" ht="37.5" x14ac:dyDescent="0.25">
      <c r="B13" s="204">
        <v>15</v>
      </c>
      <c r="C13" s="286" t="s">
        <v>541</v>
      </c>
      <c r="D13" s="124" t="s">
        <v>142</v>
      </c>
      <c r="E13" s="124" t="s">
        <v>28</v>
      </c>
      <c r="F13" s="124" t="s">
        <v>153</v>
      </c>
      <c r="G13" s="124" t="s">
        <v>213</v>
      </c>
      <c r="H13" s="124" t="s">
        <v>413</v>
      </c>
      <c r="I13" s="124" t="s">
        <v>34</v>
      </c>
      <c r="J13" s="124" t="s">
        <v>423</v>
      </c>
      <c r="K13" s="124" t="s">
        <v>15</v>
      </c>
      <c r="L13" s="124" t="s">
        <v>387</v>
      </c>
      <c r="M13" s="124" t="s">
        <v>332</v>
      </c>
      <c r="N13" s="210">
        <v>1</v>
      </c>
      <c r="O13" s="124" t="s">
        <v>12</v>
      </c>
      <c r="P13" s="184">
        <v>45811</v>
      </c>
      <c r="Q13" s="90">
        <v>9500</v>
      </c>
      <c r="R13" s="441">
        <f t="shared" si="0"/>
        <v>12200</v>
      </c>
      <c r="S13" s="332">
        <v>14900</v>
      </c>
    </row>
    <row r="14" spans="2:20" ht="37.5" x14ac:dyDescent="0.25">
      <c r="B14" s="204">
        <v>16</v>
      </c>
      <c r="C14" s="286" t="s">
        <v>542</v>
      </c>
      <c r="D14" s="124" t="s">
        <v>142</v>
      </c>
      <c r="E14" s="124" t="s">
        <v>28</v>
      </c>
      <c r="F14" s="124" t="s">
        <v>153</v>
      </c>
      <c r="G14" s="124" t="s">
        <v>213</v>
      </c>
      <c r="H14" s="124" t="s">
        <v>413</v>
      </c>
      <c r="I14" s="124" t="s">
        <v>34</v>
      </c>
      <c r="J14" s="124" t="s">
        <v>423</v>
      </c>
      <c r="K14" s="124" t="s">
        <v>15</v>
      </c>
      <c r="L14" s="124" t="s">
        <v>387</v>
      </c>
      <c r="M14" s="124" t="s">
        <v>332</v>
      </c>
      <c r="N14" s="210">
        <v>1</v>
      </c>
      <c r="O14" s="124" t="s">
        <v>12</v>
      </c>
      <c r="P14" s="184">
        <v>45811</v>
      </c>
      <c r="Q14" s="90">
        <v>9500</v>
      </c>
      <c r="R14" s="441">
        <f t="shared" si="0"/>
        <v>12200</v>
      </c>
      <c r="S14" s="332">
        <v>14900</v>
      </c>
    </row>
    <row r="15" spans="2:20" ht="37.5" x14ac:dyDescent="0.25">
      <c r="B15" s="204">
        <v>17</v>
      </c>
      <c r="C15" s="286" t="s">
        <v>543</v>
      </c>
      <c r="D15" s="124" t="s">
        <v>142</v>
      </c>
      <c r="E15" s="124" t="s">
        <v>28</v>
      </c>
      <c r="F15" s="124" t="s">
        <v>153</v>
      </c>
      <c r="G15" s="124" t="s">
        <v>213</v>
      </c>
      <c r="H15" s="124" t="s">
        <v>413</v>
      </c>
      <c r="I15" s="124" t="s">
        <v>34</v>
      </c>
      <c r="J15" s="124" t="s">
        <v>423</v>
      </c>
      <c r="K15" s="124" t="s">
        <v>15</v>
      </c>
      <c r="L15" s="124" t="s">
        <v>387</v>
      </c>
      <c r="M15" s="124" t="s">
        <v>332</v>
      </c>
      <c r="N15" s="210">
        <v>1</v>
      </c>
      <c r="O15" s="124" t="s">
        <v>12</v>
      </c>
      <c r="P15" s="184">
        <v>45811</v>
      </c>
      <c r="Q15" s="90">
        <v>9500</v>
      </c>
      <c r="R15" s="441">
        <f t="shared" si="0"/>
        <v>12200</v>
      </c>
      <c r="S15" s="332">
        <v>14900</v>
      </c>
    </row>
    <row r="16" spans="2:20" ht="38" thickBot="1" x14ac:dyDescent="0.3">
      <c r="B16" s="205">
        <v>18</v>
      </c>
      <c r="C16" s="304" t="s">
        <v>544</v>
      </c>
      <c r="D16" s="178" t="s">
        <v>142</v>
      </c>
      <c r="E16" s="178" t="s">
        <v>28</v>
      </c>
      <c r="F16" s="178" t="s">
        <v>153</v>
      </c>
      <c r="G16" s="178" t="s">
        <v>213</v>
      </c>
      <c r="H16" s="178" t="s">
        <v>413</v>
      </c>
      <c r="I16" s="178" t="s">
        <v>34</v>
      </c>
      <c r="J16" s="178" t="s">
        <v>423</v>
      </c>
      <c r="K16" s="178" t="s">
        <v>15</v>
      </c>
      <c r="L16" s="178" t="s">
        <v>387</v>
      </c>
      <c r="M16" s="178" t="s">
        <v>332</v>
      </c>
      <c r="N16" s="386">
        <v>1</v>
      </c>
      <c r="O16" s="178" t="s">
        <v>12</v>
      </c>
      <c r="P16" s="395">
        <v>45811</v>
      </c>
      <c r="Q16" s="263">
        <v>9500</v>
      </c>
      <c r="R16" s="442">
        <f t="shared" si="0"/>
        <v>12200</v>
      </c>
      <c r="S16" s="345">
        <v>14900</v>
      </c>
    </row>
    <row r="17" spans="2:19" ht="37.5" x14ac:dyDescent="0.25">
      <c r="B17" s="280">
        <v>20</v>
      </c>
      <c r="C17" s="291" t="s">
        <v>546</v>
      </c>
      <c r="D17" s="245" t="s">
        <v>142</v>
      </c>
      <c r="E17" s="177" t="s">
        <v>29</v>
      </c>
      <c r="F17" s="247" t="s">
        <v>339</v>
      </c>
      <c r="G17" s="245">
        <v>150</v>
      </c>
      <c r="H17" s="245" t="s">
        <v>545</v>
      </c>
      <c r="I17" s="177" t="s">
        <v>467</v>
      </c>
      <c r="J17" s="177" t="s">
        <v>423</v>
      </c>
      <c r="K17" s="177" t="s">
        <v>15</v>
      </c>
      <c r="L17" s="177" t="s">
        <v>387</v>
      </c>
      <c r="M17" s="247" t="s">
        <v>332</v>
      </c>
      <c r="N17" s="248">
        <v>1</v>
      </c>
      <c r="O17" s="177" t="s">
        <v>12</v>
      </c>
      <c r="P17" s="181">
        <v>45474</v>
      </c>
      <c r="Q17" s="182">
        <v>15150</v>
      </c>
      <c r="R17" s="440">
        <f t="shared" si="0"/>
        <v>17325</v>
      </c>
      <c r="S17" s="249">
        <v>19500</v>
      </c>
    </row>
    <row r="18" spans="2:19" ht="37.5" x14ac:dyDescent="0.25">
      <c r="B18" s="204">
        <v>22</v>
      </c>
      <c r="C18" s="285" t="s">
        <v>547</v>
      </c>
      <c r="D18" s="125" t="s">
        <v>142</v>
      </c>
      <c r="E18" s="124" t="s">
        <v>29</v>
      </c>
      <c r="F18" s="185" t="s">
        <v>153</v>
      </c>
      <c r="G18" s="125">
        <v>100</v>
      </c>
      <c r="H18" s="125" t="s">
        <v>384</v>
      </c>
      <c r="I18" s="124" t="s">
        <v>467</v>
      </c>
      <c r="J18" s="124" t="s">
        <v>423</v>
      </c>
      <c r="K18" s="124" t="s">
        <v>15</v>
      </c>
      <c r="L18" s="124" t="s">
        <v>387</v>
      </c>
      <c r="M18" s="185" t="s">
        <v>332</v>
      </c>
      <c r="N18" s="211">
        <v>1</v>
      </c>
      <c r="O18" s="124" t="s">
        <v>12</v>
      </c>
      <c r="P18" s="126">
        <v>45474</v>
      </c>
      <c r="Q18" s="90">
        <v>14600</v>
      </c>
      <c r="R18" s="441">
        <f t="shared" si="0"/>
        <v>17050</v>
      </c>
      <c r="S18" s="332">
        <v>19500</v>
      </c>
    </row>
    <row r="19" spans="2:19" ht="37.5" x14ac:dyDescent="0.25">
      <c r="B19" s="204">
        <v>23</v>
      </c>
      <c r="C19" s="285" t="s">
        <v>548</v>
      </c>
      <c r="D19" s="125" t="s">
        <v>142</v>
      </c>
      <c r="E19" s="124" t="s">
        <v>29</v>
      </c>
      <c r="F19" s="185" t="s">
        <v>153</v>
      </c>
      <c r="G19" s="125">
        <v>100</v>
      </c>
      <c r="H19" s="125" t="s">
        <v>384</v>
      </c>
      <c r="I19" s="124" t="s">
        <v>467</v>
      </c>
      <c r="J19" s="124" t="s">
        <v>423</v>
      </c>
      <c r="K19" s="124" t="s">
        <v>15</v>
      </c>
      <c r="L19" s="124" t="s">
        <v>387</v>
      </c>
      <c r="M19" s="185" t="s">
        <v>332</v>
      </c>
      <c r="N19" s="211">
        <v>1</v>
      </c>
      <c r="O19" s="124" t="s">
        <v>12</v>
      </c>
      <c r="P19" s="126">
        <v>45474</v>
      </c>
      <c r="Q19" s="90">
        <v>14600</v>
      </c>
      <c r="R19" s="441">
        <f t="shared" si="0"/>
        <v>17050</v>
      </c>
      <c r="S19" s="332">
        <v>19500</v>
      </c>
    </row>
    <row r="20" spans="2:19" ht="38" thickBot="1" x14ac:dyDescent="0.3">
      <c r="B20" s="205">
        <v>25</v>
      </c>
      <c r="C20" s="295" t="s">
        <v>549</v>
      </c>
      <c r="D20" s="261" t="s">
        <v>142</v>
      </c>
      <c r="E20" s="178" t="s">
        <v>29</v>
      </c>
      <c r="F20" s="317" t="s">
        <v>376</v>
      </c>
      <c r="G20" s="261">
        <v>200</v>
      </c>
      <c r="H20" s="261" t="s">
        <v>390</v>
      </c>
      <c r="I20" s="178" t="s">
        <v>467</v>
      </c>
      <c r="J20" s="178" t="s">
        <v>423</v>
      </c>
      <c r="K20" s="178" t="s">
        <v>15</v>
      </c>
      <c r="L20" s="178" t="s">
        <v>387</v>
      </c>
      <c r="M20" s="317" t="s">
        <v>332</v>
      </c>
      <c r="N20" s="398">
        <v>1</v>
      </c>
      <c r="O20" s="261" t="s">
        <v>12</v>
      </c>
      <c r="P20" s="183">
        <v>45474</v>
      </c>
      <c r="Q20" s="263">
        <v>13900</v>
      </c>
      <c r="R20" s="442">
        <f t="shared" si="0"/>
        <v>16325</v>
      </c>
      <c r="S20" s="345">
        <v>18750</v>
      </c>
    </row>
    <row r="21" spans="2:19" ht="18.5" thickBot="1" x14ac:dyDescent="0.3">
      <c r="M21" s="346" t="s">
        <v>55</v>
      </c>
      <c r="N21" s="284">
        <f>SUM(N7:N20)</f>
        <v>14</v>
      </c>
    </row>
    <row r="22" spans="2:19" ht="18.5" thickBot="1" x14ac:dyDescent="0.3">
      <c r="B22" s="415" t="s">
        <v>60</v>
      </c>
      <c r="C22" s="416"/>
      <c r="D22" s="416"/>
      <c r="E22" s="416"/>
      <c r="F22" s="417"/>
    </row>
    <row r="23" spans="2:19" ht="39.5" thickBot="1" x14ac:dyDescent="0.3">
      <c r="B23" s="198" t="s">
        <v>0</v>
      </c>
      <c r="C23" s="282"/>
      <c r="D23" s="199" t="s">
        <v>1</v>
      </c>
      <c r="E23" s="199" t="s">
        <v>2</v>
      </c>
      <c r="F23" s="199" t="s">
        <v>5</v>
      </c>
      <c r="G23" s="199" t="s">
        <v>6</v>
      </c>
      <c r="H23" s="199" t="s">
        <v>8</v>
      </c>
      <c r="I23" s="199" t="s">
        <v>11</v>
      </c>
      <c r="J23" s="199" t="s">
        <v>10</v>
      </c>
      <c r="K23" s="199" t="s">
        <v>9</v>
      </c>
      <c r="L23" s="200" t="s">
        <v>39</v>
      </c>
      <c r="M23" s="199" t="s">
        <v>7</v>
      </c>
      <c r="N23" s="215" t="s">
        <v>441</v>
      </c>
      <c r="O23" s="199" t="s">
        <v>3</v>
      </c>
      <c r="P23" s="199" t="s">
        <v>163</v>
      </c>
      <c r="Q23" s="8" t="s">
        <v>595</v>
      </c>
      <c r="R23" s="448" t="s">
        <v>618</v>
      </c>
      <c r="S23" s="8" t="s">
        <v>596</v>
      </c>
    </row>
    <row r="24" spans="2:19" ht="25.5" thickBot="1" x14ac:dyDescent="0.3">
      <c r="B24" s="280">
        <v>1</v>
      </c>
      <c r="C24" s="341" t="s">
        <v>550</v>
      </c>
      <c r="D24" s="175" t="s">
        <v>46</v>
      </c>
      <c r="E24" s="175" t="s">
        <v>107</v>
      </c>
      <c r="F24" s="175" t="s">
        <v>153</v>
      </c>
      <c r="G24" s="175" t="s">
        <v>64</v>
      </c>
      <c r="H24" s="175" t="s">
        <v>51</v>
      </c>
      <c r="I24" s="175" t="s">
        <v>108</v>
      </c>
      <c r="J24" s="175" t="s">
        <v>423</v>
      </c>
      <c r="K24" s="175" t="s">
        <v>15</v>
      </c>
      <c r="L24" s="175" t="s">
        <v>387</v>
      </c>
      <c r="M24" s="175" t="s">
        <v>15</v>
      </c>
      <c r="N24" s="301">
        <v>1</v>
      </c>
      <c r="O24" s="175" t="s">
        <v>12</v>
      </c>
      <c r="P24" s="271">
        <v>44467</v>
      </c>
      <c r="Q24" s="182">
        <v>8900</v>
      </c>
      <c r="R24" s="440">
        <f t="shared" ref="R24:R27" si="1">+(S24-Q24)/2+Q24</f>
        <v>10700</v>
      </c>
      <c r="S24" s="249">
        <v>12500</v>
      </c>
    </row>
    <row r="25" spans="2:19" ht="25" x14ac:dyDescent="0.25">
      <c r="B25" s="280">
        <v>3</v>
      </c>
      <c r="C25" s="341" t="s">
        <v>551</v>
      </c>
      <c r="D25" s="175" t="s">
        <v>46</v>
      </c>
      <c r="E25" s="175" t="s">
        <v>97</v>
      </c>
      <c r="F25" s="175" t="s">
        <v>136</v>
      </c>
      <c r="G25" s="175" t="s">
        <v>347</v>
      </c>
      <c r="H25" s="175" t="s">
        <v>154</v>
      </c>
      <c r="I25" s="175" t="s">
        <v>348</v>
      </c>
      <c r="J25" s="175" t="s">
        <v>423</v>
      </c>
      <c r="K25" s="175" t="s">
        <v>15</v>
      </c>
      <c r="L25" s="175" t="s">
        <v>387</v>
      </c>
      <c r="M25" s="175" t="s">
        <v>330</v>
      </c>
      <c r="N25" s="301">
        <v>1</v>
      </c>
      <c r="O25" s="175" t="s">
        <v>12</v>
      </c>
      <c r="P25" s="271" t="s">
        <v>342</v>
      </c>
      <c r="Q25" s="182">
        <v>11200</v>
      </c>
      <c r="R25" s="440">
        <f t="shared" si="1"/>
        <v>12850</v>
      </c>
      <c r="S25" s="249">
        <v>14500</v>
      </c>
    </row>
    <row r="26" spans="2:19" ht="25.5" thickBot="1" x14ac:dyDescent="0.3">
      <c r="B26" s="204">
        <v>4</v>
      </c>
      <c r="C26" s="322" t="s">
        <v>552</v>
      </c>
      <c r="D26" s="2" t="s">
        <v>46</v>
      </c>
      <c r="E26" s="2" t="s">
        <v>97</v>
      </c>
      <c r="F26" s="2" t="s">
        <v>136</v>
      </c>
      <c r="G26" s="2" t="s">
        <v>347</v>
      </c>
      <c r="H26" s="2" t="s">
        <v>154</v>
      </c>
      <c r="I26" s="2" t="s">
        <v>348</v>
      </c>
      <c r="J26" s="2" t="s">
        <v>423</v>
      </c>
      <c r="K26" s="2" t="s">
        <v>15</v>
      </c>
      <c r="L26" s="2" t="s">
        <v>387</v>
      </c>
      <c r="M26" s="2" t="s">
        <v>330</v>
      </c>
      <c r="N26" s="213">
        <v>1</v>
      </c>
      <c r="O26" s="2" t="s">
        <v>12</v>
      </c>
      <c r="P26" s="117" t="s">
        <v>342</v>
      </c>
      <c r="Q26" s="90">
        <v>11200</v>
      </c>
      <c r="R26" s="441">
        <f t="shared" si="1"/>
        <v>12850</v>
      </c>
      <c r="S26" s="332">
        <v>14500</v>
      </c>
    </row>
    <row r="27" spans="2:19" ht="18" thickBot="1" x14ac:dyDescent="0.3">
      <c r="B27" s="315">
        <v>6</v>
      </c>
      <c r="C27" s="325" t="s">
        <v>553</v>
      </c>
      <c r="D27" s="193" t="s">
        <v>46</v>
      </c>
      <c r="E27" s="193" t="s">
        <v>18</v>
      </c>
      <c r="F27" s="193" t="s">
        <v>49</v>
      </c>
      <c r="G27" s="193" t="s">
        <v>91</v>
      </c>
      <c r="H27" s="193" t="s">
        <v>65</v>
      </c>
      <c r="I27" s="193" t="s">
        <v>88</v>
      </c>
      <c r="J27" s="193" t="s">
        <v>445</v>
      </c>
      <c r="K27" s="193" t="s">
        <v>15</v>
      </c>
      <c r="L27" s="193" t="s">
        <v>387</v>
      </c>
      <c r="M27" s="193" t="s">
        <v>330</v>
      </c>
      <c r="N27" s="207">
        <v>1</v>
      </c>
      <c r="O27" s="193" t="s">
        <v>12</v>
      </c>
      <c r="P27" s="180">
        <v>44503</v>
      </c>
      <c r="Q27" s="194">
        <v>14287.702075892917</v>
      </c>
      <c r="R27" s="439">
        <f t="shared" si="1"/>
        <v>17893.851037946457</v>
      </c>
      <c r="S27" s="240">
        <v>21500</v>
      </c>
    </row>
    <row r="28" spans="2:19" ht="18.5" thickBot="1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346" t="s">
        <v>55</v>
      </c>
      <c r="N28" s="284">
        <f>SUM(N24:N27)</f>
        <v>4</v>
      </c>
      <c r="O28" s="14"/>
      <c r="P28" s="122"/>
    </row>
    <row r="29" spans="2:19" ht="18.5" thickBot="1" x14ac:dyDescent="0.3">
      <c r="B29" s="412" t="s">
        <v>66</v>
      </c>
      <c r="C29" s="413"/>
      <c r="D29" s="413"/>
      <c r="E29" s="413"/>
      <c r="F29" s="414"/>
    </row>
    <row r="30" spans="2:19" ht="39.5" thickBot="1" x14ac:dyDescent="0.3">
      <c r="B30" s="198" t="s">
        <v>0</v>
      </c>
      <c r="C30" s="282"/>
      <c r="D30" s="199" t="s">
        <v>1</v>
      </c>
      <c r="E30" s="200" t="s">
        <v>2</v>
      </c>
      <c r="F30" s="199" t="s">
        <v>5</v>
      </c>
      <c r="G30" s="199" t="s">
        <v>6</v>
      </c>
      <c r="H30" s="199" t="s">
        <v>8</v>
      </c>
      <c r="I30" s="199" t="s">
        <v>11</v>
      </c>
      <c r="J30" s="199" t="s">
        <v>10</v>
      </c>
      <c r="K30" s="199" t="s">
        <v>9</v>
      </c>
      <c r="L30" s="200" t="s">
        <v>39</v>
      </c>
      <c r="M30" s="199" t="s">
        <v>7</v>
      </c>
      <c r="N30" s="215" t="s">
        <v>468</v>
      </c>
      <c r="O30" s="199" t="s">
        <v>3</v>
      </c>
      <c r="P30" s="199" t="s">
        <v>163</v>
      </c>
      <c r="Q30" s="8" t="s">
        <v>595</v>
      </c>
      <c r="R30" s="448" t="s">
        <v>618</v>
      </c>
      <c r="S30" s="8" t="s">
        <v>596</v>
      </c>
    </row>
    <row r="31" spans="2:19" x14ac:dyDescent="0.25">
      <c r="B31" s="290">
        <v>1</v>
      </c>
      <c r="C31" s="291" t="s">
        <v>554</v>
      </c>
      <c r="D31" s="175" t="s">
        <v>199</v>
      </c>
      <c r="E31" s="256" t="s">
        <v>349</v>
      </c>
      <c r="F31" s="175" t="s">
        <v>446</v>
      </c>
      <c r="G31" s="175" t="s">
        <v>15</v>
      </c>
      <c r="H31" s="175" t="s">
        <v>385</v>
      </c>
      <c r="I31" s="175" t="s">
        <v>169</v>
      </c>
      <c r="J31" s="177" t="s">
        <v>445</v>
      </c>
      <c r="K31" s="265" t="s">
        <v>19</v>
      </c>
      <c r="L31" s="175" t="s">
        <v>386</v>
      </c>
      <c r="M31" s="269" t="s">
        <v>171</v>
      </c>
      <c r="N31" s="255">
        <v>1</v>
      </c>
      <c r="O31" s="177" t="s">
        <v>167</v>
      </c>
      <c r="P31" s="271">
        <v>45444</v>
      </c>
      <c r="Q31" s="182">
        <v>6050</v>
      </c>
      <c r="R31" s="440">
        <f t="shared" ref="R31:R55" si="2">+(S31-Q31)/2+Q31</f>
        <v>6775</v>
      </c>
      <c r="S31" s="249">
        <v>7500</v>
      </c>
    </row>
    <row r="32" spans="2:19" ht="18" thickBot="1" x14ac:dyDescent="0.3">
      <c r="B32" s="294">
        <v>2</v>
      </c>
      <c r="C32" s="295" t="s">
        <v>555</v>
      </c>
      <c r="D32" s="179" t="s">
        <v>199</v>
      </c>
      <c r="E32" s="278" t="s">
        <v>349</v>
      </c>
      <c r="F32" s="179" t="s">
        <v>446</v>
      </c>
      <c r="G32" s="179" t="s">
        <v>15</v>
      </c>
      <c r="H32" s="179" t="s">
        <v>385</v>
      </c>
      <c r="I32" s="179" t="s">
        <v>169</v>
      </c>
      <c r="J32" s="178" t="s">
        <v>445</v>
      </c>
      <c r="K32" s="273" t="s">
        <v>19</v>
      </c>
      <c r="L32" s="179" t="s">
        <v>386</v>
      </c>
      <c r="M32" s="277" t="s">
        <v>171</v>
      </c>
      <c r="N32" s="296">
        <v>1</v>
      </c>
      <c r="O32" s="178" t="s">
        <v>167</v>
      </c>
      <c r="P32" s="262">
        <v>45444</v>
      </c>
      <c r="Q32" s="263">
        <v>6050</v>
      </c>
      <c r="R32" s="442">
        <f t="shared" si="2"/>
        <v>6775</v>
      </c>
      <c r="S32" s="345">
        <v>7500</v>
      </c>
    </row>
    <row r="33" spans="2:20" ht="25" x14ac:dyDescent="0.25">
      <c r="B33" s="299">
        <v>3</v>
      </c>
      <c r="C33" s="300" t="s">
        <v>556</v>
      </c>
      <c r="D33" s="175" t="s">
        <v>359</v>
      </c>
      <c r="E33" s="256" t="s">
        <v>358</v>
      </c>
      <c r="F33" s="256" t="s">
        <v>360</v>
      </c>
      <c r="G33" s="175" t="s">
        <v>15</v>
      </c>
      <c r="H33" s="256" t="s">
        <v>102</v>
      </c>
      <c r="I33" s="256" t="s">
        <v>364</v>
      </c>
      <c r="J33" s="175" t="s">
        <v>17</v>
      </c>
      <c r="K33" s="175" t="s">
        <v>17</v>
      </c>
      <c r="L33" s="175" t="s">
        <v>386</v>
      </c>
      <c r="M33" s="175" t="s">
        <v>80</v>
      </c>
      <c r="N33" s="301">
        <v>1</v>
      </c>
      <c r="O33" s="175" t="s">
        <v>12</v>
      </c>
      <c r="P33" s="271">
        <v>45017</v>
      </c>
      <c r="Q33" s="182">
        <v>1250</v>
      </c>
      <c r="R33" s="440">
        <f t="shared" si="2"/>
        <v>1624.5</v>
      </c>
      <c r="S33" s="249">
        <v>1999</v>
      </c>
      <c r="T33" s="318"/>
    </row>
    <row r="34" spans="2:20" ht="25" x14ac:dyDescent="0.25">
      <c r="B34" s="302">
        <v>4</v>
      </c>
      <c r="C34" s="286" t="s">
        <v>557</v>
      </c>
      <c r="D34" s="2" t="s">
        <v>359</v>
      </c>
      <c r="E34" s="1" t="s">
        <v>358</v>
      </c>
      <c r="F34" s="1" t="s">
        <v>360</v>
      </c>
      <c r="G34" s="2" t="s">
        <v>15</v>
      </c>
      <c r="H34" s="1" t="s">
        <v>102</v>
      </c>
      <c r="I34" s="1" t="s">
        <v>364</v>
      </c>
      <c r="J34" s="2" t="s">
        <v>17</v>
      </c>
      <c r="K34" s="2" t="s">
        <v>17</v>
      </c>
      <c r="L34" s="2" t="s">
        <v>386</v>
      </c>
      <c r="M34" s="2" t="s">
        <v>80</v>
      </c>
      <c r="N34" s="213">
        <v>1</v>
      </c>
      <c r="O34" s="2" t="s">
        <v>12</v>
      </c>
      <c r="P34" s="117">
        <v>45017</v>
      </c>
      <c r="Q34" s="90">
        <v>1250</v>
      </c>
      <c r="R34" s="441">
        <f t="shared" si="2"/>
        <v>1624.5</v>
      </c>
      <c r="S34" s="332">
        <v>1999</v>
      </c>
    </row>
    <row r="35" spans="2:20" ht="25" x14ac:dyDescent="0.25">
      <c r="B35" s="302">
        <v>5</v>
      </c>
      <c r="C35" s="286" t="s">
        <v>558</v>
      </c>
      <c r="D35" s="2" t="s">
        <v>359</v>
      </c>
      <c r="E35" s="1" t="s">
        <v>358</v>
      </c>
      <c r="F35" s="1" t="s">
        <v>360</v>
      </c>
      <c r="G35" s="2" t="s">
        <v>15</v>
      </c>
      <c r="H35" s="1" t="s">
        <v>102</v>
      </c>
      <c r="I35" s="1" t="s">
        <v>364</v>
      </c>
      <c r="J35" s="2" t="s">
        <v>17</v>
      </c>
      <c r="K35" s="2" t="s">
        <v>17</v>
      </c>
      <c r="L35" s="2" t="s">
        <v>386</v>
      </c>
      <c r="M35" s="2" t="s">
        <v>80</v>
      </c>
      <c r="N35" s="213">
        <v>1</v>
      </c>
      <c r="O35" s="2" t="s">
        <v>12</v>
      </c>
      <c r="P35" s="117">
        <v>45017</v>
      </c>
      <c r="Q35" s="90">
        <v>1250</v>
      </c>
      <c r="R35" s="441">
        <f t="shared" si="2"/>
        <v>1624.5</v>
      </c>
      <c r="S35" s="332">
        <v>1999</v>
      </c>
    </row>
    <row r="36" spans="2:20" ht="25" x14ac:dyDescent="0.25">
      <c r="B36" s="235">
        <v>6</v>
      </c>
      <c r="C36" s="286" t="s">
        <v>559</v>
      </c>
      <c r="D36" s="2" t="s">
        <v>359</v>
      </c>
      <c r="E36" s="1" t="s">
        <v>358</v>
      </c>
      <c r="F36" s="1" t="s">
        <v>360</v>
      </c>
      <c r="G36" s="2" t="s">
        <v>15</v>
      </c>
      <c r="H36" s="1" t="s">
        <v>102</v>
      </c>
      <c r="I36" s="1" t="s">
        <v>364</v>
      </c>
      <c r="J36" s="2" t="s">
        <v>17</v>
      </c>
      <c r="K36" s="2" t="s">
        <v>17</v>
      </c>
      <c r="L36" s="2" t="s">
        <v>386</v>
      </c>
      <c r="M36" s="2" t="s">
        <v>80</v>
      </c>
      <c r="N36" s="213">
        <v>1</v>
      </c>
      <c r="O36" s="2" t="s">
        <v>12</v>
      </c>
      <c r="P36" s="117">
        <v>45017</v>
      </c>
      <c r="Q36" s="90">
        <v>1250</v>
      </c>
      <c r="R36" s="441">
        <f t="shared" si="2"/>
        <v>1624.5</v>
      </c>
      <c r="S36" s="332">
        <v>1999</v>
      </c>
    </row>
    <row r="37" spans="2:20" ht="25" x14ac:dyDescent="0.25">
      <c r="B37" s="235">
        <v>7</v>
      </c>
      <c r="C37" s="286" t="s">
        <v>560</v>
      </c>
      <c r="D37" s="2" t="s">
        <v>359</v>
      </c>
      <c r="E37" s="1" t="s">
        <v>358</v>
      </c>
      <c r="F37" s="1" t="s">
        <v>360</v>
      </c>
      <c r="G37" s="2" t="s">
        <v>15</v>
      </c>
      <c r="H37" s="1" t="s">
        <v>102</v>
      </c>
      <c r="I37" s="1" t="s">
        <v>364</v>
      </c>
      <c r="J37" s="2" t="s">
        <v>17</v>
      </c>
      <c r="K37" s="2" t="s">
        <v>17</v>
      </c>
      <c r="L37" s="2" t="s">
        <v>386</v>
      </c>
      <c r="M37" s="2" t="s">
        <v>80</v>
      </c>
      <c r="N37" s="213">
        <v>1</v>
      </c>
      <c r="O37" s="2" t="s">
        <v>12</v>
      </c>
      <c r="P37" s="117">
        <v>45017</v>
      </c>
      <c r="Q37" s="90">
        <v>1250</v>
      </c>
      <c r="R37" s="441">
        <f t="shared" si="2"/>
        <v>1624.5</v>
      </c>
      <c r="S37" s="332">
        <v>1999</v>
      </c>
    </row>
    <row r="38" spans="2:20" ht="25" x14ac:dyDescent="0.25">
      <c r="B38" s="302">
        <v>8</v>
      </c>
      <c r="C38" s="286" t="s">
        <v>561</v>
      </c>
      <c r="D38" s="2" t="s">
        <v>359</v>
      </c>
      <c r="E38" s="1" t="s">
        <v>358</v>
      </c>
      <c r="F38" s="1" t="s">
        <v>360</v>
      </c>
      <c r="G38" s="2" t="s">
        <v>15</v>
      </c>
      <c r="H38" s="1" t="s">
        <v>102</v>
      </c>
      <c r="I38" s="1" t="s">
        <v>364</v>
      </c>
      <c r="J38" s="2" t="s">
        <v>17</v>
      </c>
      <c r="K38" s="2" t="s">
        <v>17</v>
      </c>
      <c r="L38" s="2" t="s">
        <v>386</v>
      </c>
      <c r="M38" s="2" t="s">
        <v>80</v>
      </c>
      <c r="N38" s="213">
        <v>1</v>
      </c>
      <c r="O38" s="2" t="s">
        <v>12</v>
      </c>
      <c r="P38" s="117">
        <v>45017</v>
      </c>
      <c r="Q38" s="90">
        <v>1250</v>
      </c>
      <c r="R38" s="441">
        <f t="shared" si="2"/>
        <v>1624.5</v>
      </c>
      <c r="S38" s="332">
        <v>1999</v>
      </c>
    </row>
    <row r="39" spans="2:20" ht="25" x14ac:dyDescent="0.25">
      <c r="B39" s="302">
        <v>9</v>
      </c>
      <c r="C39" s="286" t="s">
        <v>562</v>
      </c>
      <c r="D39" s="2" t="s">
        <v>359</v>
      </c>
      <c r="E39" s="1" t="s">
        <v>358</v>
      </c>
      <c r="F39" s="1" t="s">
        <v>360</v>
      </c>
      <c r="G39" s="2" t="s">
        <v>15</v>
      </c>
      <c r="H39" s="1" t="s">
        <v>102</v>
      </c>
      <c r="I39" s="1" t="s">
        <v>364</v>
      </c>
      <c r="J39" s="2" t="s">
        <v>17</v>
      </c>
      <c r="K39" s="2" t="s">
        <v>17</v>
      </c>
      <c r="L39" s="2" t="s">
        <v>386</v>
      </c>
      <c r="M39" s="2" t="s">
        <v>80</v>
      </c>
      <c r="N39" s="213">
        <v>1</v>
      </c>
      <c r="O39" s="2" t="s">
        <v>12</v>
      </c>
      <c r="P39" s="117">
        <v>45017</v>
      </c>
      <c r="Q39" s="90">
        <v>1250</v>
      </c>
      <c r="R39" s="441">
        <f t="shared" si="2"/>
        <v>1624.5</v>
      </c>
      <c r="S39" s="332">
        <v>1999</v>
      </c>
    </row>
    <row r="40" spans="2:20" ht="25" x14ac:dyDescent="0.25">
      <c r="B40" s="302">
        <v>10</v>
      </c>
      <c r="C40" s="286" t="s">
        <v>563</v>
      </c>
      <c r="D40" s="2" t="s">
        <v>359</v>
      </c>
      <c r="E40" s="1" t="s">
        <v>358</v>
      </c>
      <c r="F40" s="1" t="s">
        <v>360</v>
      </c>
      <c r="G40" s="2" t="s">
        <v>15</v>
      </c>
      <c r="H40" s="1" t="s">
        <v>102</v>
      </c>
      <c r="I40" s="1" t="s">
        <v>364</v>
      </c>
      <c r="J40" s="2" t="s">
        <v>17</v>
      </c>
      <c r="K40" s="2" t="s">
        <v>17</v>
      </c>
      <c r="L40" s="2" t="s">
        <v>386</v>
      </c>
      <c r="M40" s="2" t="s">
        <v>80</v>
      </c>
      <c r="N40" s="213">
        <v>1</v>
      </c>
      <c r="O40" s="2" t="s">
        <v>12</v>
      </c>
      <c r="P40" s="117">
        <v>45017</v>
      </c>
      <c r="Q40" s="90">
        <v>1250</v>
      </c>
      <c r="R40" s="441">
        <f t="shared" si="2"/>
        <v>1624.5</v>
      </c>
      <c r="S40" s="332">
        <v>1999</v>
      </c>
    </row>
    <row r="41" spans="2:20" ht="25" x14ac:dyDescent="0.25">
      <c r="B41" s="235">
        <v>11</v>
      </c>
      <c r="C41" s="286">
        <v>122489</v>
      </c>
      <c r="D41" s="2" t="s">
        <v>359</v>
      </c>
      <c r="E41" s="1" t="s">
        <v>358</v>
      </c>
      <c r="F41" s="1" t="s">
        <v>360</v>
      </c>
      <c r="G41" s="2" t="s">
        <v>15</v>
      </c>
      <c r="H41" s="1" t="s">
        <v>102</v>
      </c>
      <c r="I41" s="1" t="s">
        <v>364</v>
      </c>
      <c r="J41" s="2" t="s">
        <v>17</v>
      </c>
      <c r="K41" s="2" t="s">
        <v>17</v>
      </c>
      <c r="L41" s="2" t="s">
        <v>386</v>
      </c>
      <c r="M41" s="2" t="s">
        <v>80</v>
      </c>
      <c r="N41" s="213">
        <v>1</v>
      </c>
      <c r="O41" s="2" t="s">
        <v>12</v>
      </c>
      <c r="P41" s="117">
        <v>45017</v>
      </c>
      <c r="Q41" s="90">
        <v>1250</v>
      </c>
      <c r="R41" s="441">
        <f t="shared" si="2"/>
        <v>1624.5</v>
      </c>
      <c r="S41" s="332">
        <v>1999</v>
      </c>
    </row>
    <row r="42" spans="2:20" ht="25" x14ac:dyDescent="0.25">
      <c r="B42" s="235">
        <v>12</v>
      </c>
      <c r="C42" s="286" t="s">
        <v>564</v>
      </c>
      <c r="D42" s="2" t="s">
        <v>359</v>
      </c>
      <c r="E42" s="1" t="s">
        <v>358</v>
      </c>
      <c r="F42" s="1" t="s">
        <v>360</v>
      </c>
      <c r="G42" s="2" t="s">
        <v>15</v>
      </c>
      <c r="H42" s="1" t="s">
        <v>102</v>
      </c>
      <c r="I42" s="1" t="s">
        <v>364</v>
      </c>
      <c r="J42" s="2" t="s">
        <v>17</v>
      </c>
      <c r="K42" s="2" t="s">
        <v>17</v>
      </c>
      <c r="L42" s="2" t="s">
        <v>386</v>
      </c>
      <c r="M42" s="2" t="s">
        <v>80</v>
      </c>
      <c r="N42" s="213">
        <v>1</v>
      </c>
      <c r="O42" s="2" t="s">
        <v>12</v>
      </c>
      <c r="P42" s="117">
        <v>45017</v>
      </c>
      <c r="Q42" s="90">
        <v>1250</v>
      </c>
      <c r="R42" s="441">
        <f t="shared" si="2"/>
        <v>1624.5</v>
      </c>
      <c r="S42" s="332">
        <v>1999</v>
      </c>
      <c r="T42" s="318"/>
    </row>
    <row r="43" spans="2:20" ht="25.5" thickBot="1" x14ac:dyDescent="0.3">
      <c r="B43" s="303">
        <v>13</v>
      </c>
      <c r="C43" s="304" t="s">
        <v>565</v>
      </c>
      <c r="D43" s="179" t="s">
        <v>359</v>
      </c>
      <c r="E43" s="278" t="s">
        <v>358</v>
      </c>
      <c r="F43" s="278" t="s">
        <v>360</v>
      </c>
      <c r="G43" s="179" t="s">
        <v>15</v>
      </c>
      <c r="H43" s="278" t="s">
        <v>102</v>
      </c>
      <c r="I43" s="278" t="s">
        <v>364</v>
      </c>
      <c r="J43" s="179" t="s">
        <v>17</v>
      </c>
      <c r="K43" s="179" t="s">
        <v>17</v>
      </c>
      <c r="L43" s="179" t="s">
        <v>386</v>
      </c>
      <c r="M43" s="179" t="s">
        <v>80</v>
      </c>
      <c r="N43" s="305">
        <v>1</v>
      </c>
      <c r="O43" s="179" t="s">
        <v>12</v>
      </c>
      <c r="P43" s="262">
        <v>45017</v>
      </c>
      <c r="Q43" s="263">
        <v>1250</v>
      </c>
      <c r="R43" s="442">
        <f t="shared" si="2"/>
        <v>1624.5</v>
      </c>
      <c r="S43" s="345">
        <v>1999</v>
      </c>
    </row>
    <row r="44" spans="2:20" s="34" customFormat="1" ht="18.5" x14ac:dyDescent="0.35">
      <c r="B44" s="299">
        <v>14</v>
      </c>
      <c r="C44" s="300" t="s">
        <v>566</v>
      </c>
      <c r="D44" s="306" t="s">
        <v>381</v>
      </c>
      <c r="E44" s="256" t="s">
        <v>357</v>
      </c>
      <c r="F44" s="307" t="s">
        <v>362</v>
      </c>
      <c r="G44" s="306" t="s">
        <v>15</v>
      </c>
      <c r="H44" s="265" t="s">
        <v>154</v>
      </c>
      <c r="I44" s="256" t="s">
        <v>364</v>
      </c>
      <c r="J44" s="265" t="s">
        <v>17</v>
      </c>
      <c r="K44" s="307" t="s">
        <v>17</v>
      </c>
      <c r="L44" s="307" t="s">
        <v>386</v>
      </c>
      <c r="M44" s="175" t="s">
        <v>80</v>
      </c>
      <c r="N44" s="308">
        <v>1</v>
      </c>
      <c r="O44" s="306" t="s">
        <v>12</v>
      </c>
      <c r="P44" s="271">
        <v>45444</v>
      </c>
      <c r="Q44" s="182">
        <v>1750</v>
      </c>
      <c r="R44" s="440">
        <f t="shared" si="2"/>
        <v>2300</v>
      </c>
      <c r="S44" s="249">
        <v>2850</v>
      </c>
      <c r="T44" s="203"/>
    </row>
    <row r="45" spans="2:20" s="34" customFormat="1" ht="18.5" x14ac:dyDescent="0.35">
      <c r="B45" s="302">
        <v>15</v>
      </c>
      <c r="C45" s="286" t="s">
        <v>567</v>
      </c>
      <c r="D45" s="287" t="s">
        <v>381</v>
      </c>
      <c r="E45" s="1" t="s">
        <v>357</v>
      </c>
      <c r="F45" s="288" t="s">
        <v>362</v>
      </c>
      <c r="G45" s="287" t="s">
        <v>15</v>
      </c>
      <c r="H45" s="18" t="s">
        <v>154</v>
      </c>
      <c r="I45" s="1" t="s">
        <v>364</v>
      </c>
      <c r="J45" s="18" t="s">
        <v>17</v>
      </c>
      <c r="K45" s="288" t="s">
        <v>17</v>
      </c>
      <c r="L45" s="288" t="s">
        <v>386</v>
      </c>
      <c r="M45" s="2" t="s">
        <v>80</v>
      </c>
      <c r="N45" s="289">
        <v>1</v>
      </c>
      <c r="O45" s="287" t="s">
        <v>12</v>
      </c>
      <c r="P45" s="117">
        <v>45444</v>
      </c>
      <c r="Q45" s="90">
        <v>1750</v>
      </c>
      <c r="R45" s="441">
        <f t="shared" si="2"/>
        <v>2300</v>
      </c>
      <c r="S45" s="332">
        <v>2850</v>
      </c>
    </row>
    <row r="46" spans="2:20" s="34" customFormat="1" ht="18.5" x14ac:dyDescent="0.35">
      <c r="B46" s="235">
        <v>16</v>
      </c>
      <c r="C46" s="286" t="s">
        <v>568</v>
      </c>
      <c r="D46" s="287" t="s">
        <v>381</v>
      </c>
      <c r="E46" s="1" t="s">
        <v>357</v>
      </c>
      <c r="F46" s="288" t="s">
        <v>362</v>
      </c>
      <c r="G46" s="287" t="s">
        <v>15</v>
      </c>
      <c r="H46" s="18" t="s">
        <v>154</v>
      </c>
      <c r="I46" s="1" t="s">
        <v>364</v>
      </c>
      <c r="J46" s="18" t="s">
        <v>17</v>
      </c>
      <c r="K46" s="288" t="s">
        <v>17</v>
      </c>
      <c r="L46" s="288" t="s">
        <v>386</v>
      </c>
      <c r="M46" s="2" t="s">
        <v>80</v>
      </c>
      <c r="N46" s="289">
        <v>1</v>
      </c>
      <c r="O46" s="287" t="s">
        <v>12</v>
      </c>
      <c r="P46" s="117">
        <v>45444</v>
      </c>
      <c r="Q46" s="90">
        <v>1750</v>
      </c>
      <c r="R46" s="441">
        <f t="shared" si="2"/>
        <v>2300</v>
      </c>
      <c r="S46" s="332">
        <v>2850</v>
      </c>
    </row>
    <row r="47" spans="2:20" s="34" customFormat="1" ht="18.5" x14ac:dyDescent="0.35">
      <c r="B47" s="235">
        <v>17</v>
      </c>
      <c r="C47" s="286" t="s">
        <v>569</v>
      </c>
      <c r="D47" s="287" t="s">
        <v>381</v>
      </c>
      <c r="E47" s="1" t="s">
        <v>357</v>
      </c>
      <c r="F47" s="288" t="s">
        <v>362</v>
      </c>
      <c r="G47" s="287" t="s">
        <v>15</v>
      </c>
      <c r="H47" s="18" t="s">
        <v>154</v>
      </c>
      <c r="I47" s="1" t="s">
        <v>364</v>
      </c>
      <c r="J47" s="18" t="s">
        <v>17</v>
      </c>
      <c r="K47" s="288" t="s">
        <v>17</v>
      </c>
      <c r="L47" s="288" t="s">
        <v>386</v>
      </c>
      <c r="M47" s="2" t="s">
        <v>80</v>
      </c>
      <c r="N47" s="289">
        <v>1</v>
      </c>
      <c r="O47" s="287" t="s">
        <v>12</v>
      </c>
      <c r="P47" s="117">
        <v>45444</v>
      </c>
      <c r="Q47" s="90">
        <v>1750</v>
      </c>
      <c r="R47" s="441">
        <f t="shared" si="2"/>
        <v>2300</v>
      </c>
      <c r="S47" s="332">
        <v>2850</v>
      </c>
    </row>
    <row r="48" spans="2:20" s="34" customFormat="1" ht="18.5" x14ac:dyDescent="0.35">
      <c r="B48" s="302">
        <v>18</v>
      </c>
      <c r="C48" s="286" t="s">
        <v>570</v>
      </c>
      <c r="D48" s="287" t="s">
        <v>381</v>
      </c>
      <c r="E48" s="1" t="s">
        <v>357</v>
      </c>
      <c r="F48" s="288" t="s">
        <v>362</v>
      </c>
      <c r="G48" s="287" t="s">
        <v>15</v>
      </c>
      <c r="H48" s="18" t="s">
        <v>154</v>
      </c>
      <c r="I48" s="1" t="s">
        <v>364</v>
      </c>
      <c r="J48" s="18" t="s">
        <v>17</v>
      </c>
      <c r="K48" s="288" t="s">
        <v>17</v>
      </c>
      <c r="L48" s="288" t="s">
        <v>386</v>
      </c>
      <c r="M48" s="2" t="s">
        <v>80</v>
      </c>
      <c r="N48" s="289">
        <v>1</v>
      </c>
      <c r="O48" s="287" t="s">
        <v>12</v>
      </c>
      <c r="P48" s="117">
        <v>45444</v>
      </c>
      <c r="Q48" s="90">
        <v>1750</v>
      </c>
      <c r="R48" s="441">
        <f t="shared" si="2"/>
        <v>2300</v>
      </c>
      <c r="S48" s="332">
        <v>2850</v>
      </c>
    </row>
    <row r="49" spans="2:19" s="34" customFormat="1" ht="18.5" x14ac:dyDescent="0.35">
      <c r="B49" s="302">
        <v>19</v>
      </c>
      <c r="C49" s="286" t="s">
        <v>571</v>
      </c>
      <c r="D49" s="287" t="s">
        <v>381</v>
      </c>
      <c r="E49" s="1" t="s">
        <v>357</v>
      </c>
      <c r="F49" s="288" t="s">
        <v>362</v>
      </c>
      <c r="G49" s="287" t="s">
        <v>15</v>
      </c>
      <c r="H49" s="18" t="s">
        <v>154</v>
      </c>
      <c r="I49" s="1" t="s">
        <v>364</v>
      </c>
      <c r="J49" s="18" t="s">
        <v>17</v>
      </c>
      <c r="K49" s="288" t="s">
        <v>17</v>
      </c>
      <c r="L49" s="288" t="s">
        <v>386</v>
      </c>
      <c r="M49" s="2" t="s">
        <v>80</v>
      </c>
      <c r="N49" s="289">
        <v>1</v>
      </c>
      <c r="O49" s="287" t="s">
        <v>12</v>
      </c>
      <c r="P49" s="117">
        <v>45444</v>
      </c>
      <c r="Q49" s="90">
        <v>1750</v>
      </c>
      <c r="R49" s="441">
        <f t="shared" si="2"/>
        <v>2300</v>
      </c>
      <c r="S49" s="332">
        <v>2850</v>
      </c>
    </row>
    <row r="50" spans="2:19" s="34" customFormat="1" ht="18.5" x14ac:dyDescent="0.35">
      <c r="B50" s="302">
        <v>20</v>
      </c>
      <c r="C50" s="286" t="s">
        <v>572</v>
      </c>
      <c r="D50" s="287" t="s">
        <v>381</v>
      </c>
      <c r="E50" s="1" t="s">
        <v>357</v>
      </c>
      <c r="F50" s="288" t="s">
        <v>362</v>
      </c>
      <c r="G50" s="287" t="s">
        <v>15</v>
      </c>
      <c r="H50" s="18" t="s">
        <v>154</v>
      </c>
      <c r="I50" s="1" t="s">
        <v>364</v>
      </c>
      <c r="J50" s="18" t="s">
        <v>17</v>
      </c>
      <c r="K50" s="288" t="s">
        <v>17</v>
      </c>
      <c r="L50" s="288" t="s">
        <v>386</v>
      </c>
      <c r="M50" s="2" t="s">
        <v>80</v>
      </c>
      <c r="N50" s="289">
        <v>1</v>
      </c>
      <c r="O50" s="287" t="s">
        <v>12</v>
      </c>
      <c r="P50" s="117">
        <v>45444</v>
      </c>
      <c r="Q50" s="90">
        <v>1750</v>
      </c>
      <c r="R50" s="441">
        <f t="shared" si="2"/>
        <v>2300</v>
      </c>
      <c r="S50" s="332">
        <v>2850</v>
      </c>
    </row>
    <row r="51" spans="2:19" s="34" customFormat="1" ht="18.5" x14ac:dyDescent="0.35">
      <c r="B51" s="235">
        <v>21</v>
      </c>
      <c r="C51" s="286" t="s">
        <v>573</v>
      </c>
      <c r="D51" s="287" t="s">
        <v>381</v>
      </c>
      <c r="E51" s="1" t="s">
        <v>357</v>
      </c>
      <c r="F51" s="288" t="s">
        <v>362</v>
      </c>
      <c r="G51" s="287" t="s">
        <v>15</v>
      </c>
      <c r="H51" s="18" t="s">
        <v>154</v>
      </c>
      <c r="I51" s="1" t="s">
        <v>364</v>
      </c>
      <c r="J51" s="18" t="s">
        <v>17</v>
      </c>
      <c r="K51" s="288" t="s">
        <v>17</v>
      </c>
      <c r="L51" s="288" t="s">
        <v>386</v>
      </c>
      <c r="M51" s="2" t="s">
        <v>80</v>
      </c>
      <c r="N51" s="289">
        <v>1</v>
      </c>
      <c r="O51" s="287" t="s">
        <v>12</v>
      </c>
      <c r="P51" s="117">
        <v>45444</v>
      </c>
      <c r="Q51" s="90">
        <v>1750</v>
      </c>
      <c r="R51" s="441">
        <f t="shared" si="2"/>
        <v>2300</v>
      </c>
      <c r="S51" s="332">
        <v>2850</v>
      </c>
    </row>
    <row r="52" spans="2:19" s="34" customFormat="1" ht="18.5" x14ac:dyDescent="0.35">
      <c r="B52" s="235">
        <v>22</v>
      </c>
      <c r="C52" s="286" t="s">
        <v>574</v>
      </c>
      <c r="D52" s="287" t="s">
        <v>381</v>
      </c>
      <c r="E52" s="1" t="s">
        <v>357</v>
      </c>
      <c r="F52" s="288" t="s">
        <v>362</v>
      </c>
      <c r="G52" s="287" t="s">
        <v>15</v>
      </c>
      <c r="H52" s="18" t="s">
        <v>154</v>
      </c>
      <c r="I52" s="1" t="s">
        <v>364</v>
      </c>
      <c r="J52" s="18" t="s">
        <v>17</v>
      </c>
      <c r="K52" s="288" t="s">
        <v>17</v>
      </c>
      <c r="L52" s="288" t="s">
        <v>386</v>
      </c>
      <c r="M52" s="2" t="s">
        <v>80</v>
      </c>
      <c r="N52" s="289">
        <v>1</v>
      </c>
      <c r="O52" s="287" t="s">
        <v>12</v>
      </c>
      <c r="P52" s="117">
        <v>45444</v>
      </c>
      <c r="Q52" s="90">
        <v>1750</v>
      </c>
      <c r="R52" s="441">
        <f t="shared" si="2"/>
        <v>2300</v>
      </c>
      <c r="S52" s="332">
        <v>2850</v>
      </c>
    </row>
    <row r="53" spans="2:19" ht="19" thickBot="1" x14ac:dyDescent="0.3">
      <c r="B53" s="303">
        <v>23</v>
      </c>
      <c r="C53" s="304" t="s">
        <v>575</v>
      </c>
      <c r="D53" s="309" t="s">
        <v>381</v>
      </c>
      <c r="E53" s="278" t="s">
        <v>357</v>
      </c>
      <c r="F53" s="310" t="s">
        <v>362</v>
      </c>
      <c r="G53" s="309" t="s">
        <v>15</v>
      </c>
      <c r="H53" s="273" t="s">
        <v>154</v>
      </c>
      <c r="I53" s="278" t="s">
        <v>364</v>
      </c>
      <c r="J53" s="273" t="s">
        <v>17</v>
      </c>
      <c r="K53" s="310" t="s">
        <v>17</v>
      </c>
      <c r="L53" s="310" t="s">
        <v>386</v>
      </c>
      <c r="M53" s="179" t="s">
        <v>80</v>
      </c>
      <c r="N53" s="311">
        <v>1</v>
      </c>
      <c r="O53" s="309" t="s">
        <v>12</v>
      </c>
      <c r="P53" s="262">
        <v>45444</v>
      </c>
      <c r="Q53" s="263">
        <v>1750</v>
      </c>
      <c r="R53" s="442">
        <f t="shared" si="2"/>
        <v>2300</v>
      </c>
      <c r="S53" s="345">
        <v>2850</v>
      </c>
    </row>
    <row r="54" spans="2:19" ht="25" x14ac:dyDescent="0.25">
      <c r="B54" s="299">
        <v>24</v>
      </c>
      <c r="C54" s="291" t="s">
        <v>576</v>
      </c>
      <c r="D54" s="175" t="s">
        <v>365</v>
      </c>
      <c r="E54" s="256" t="s">
        <v>363</v>
      </c>
      <c r="F54" s="256" t="s">
        <v>361</v>
      </c>
      <c r="G54" s="175" t="s">
        <v>15</v>
      </c>
      <c r="H54" s="256" t="s">
        <v>102</v>
      </c>
      <c r="I54" s="256" t="s">
        <v>447</v>
      </c>
      <c r="J54" s="175" t="s">
        <v>17</v>
      </c>
      <c r="K54" s="175" t="s">
        <v>17</v>
      </c>
      <c r="L54" s="175" t="s">
        <v>386</v>
      </c>
      <c r="M54" s="175" t="s">
        <v>80</v>
      </c>
      <c r="N54" s="301">
        <v>1</v>
      </c>
      <c r="O54" s="175" t="s">
        <v>12</v>
      </c>
      <c r="P54" s="271">
        <v>44896</v>
      </c>
      <c r="Q54" s="182">
        <v>3500</v>
      </c>
      <c r="R54" s="440">
        <f t="shared" si="2"/>
        <v>4200</v>
      </c>
      <c r="S54" s="249">
        <v>4900</v>
      </c>
    </row>
    <row r="55" spans="2:19" ht="25.5" thickBot="1" x14ac:dyDescent="0.3">
      <c r="B55" s="303">
        <v>25</v>
      </c>
      <c r="C55" s="295" t="s">
        <v>577</v>
      </c>
      <c r="D55" s="179" t="s">
        <v>365</v>
      </c>
      <c r="E55" s="278" t="s">
        <v>363</v>
      </c>
      <c r="F55" s="278" t="s">
        <v>361</v>
      </c>
      <c r="G55" s="179" t="s">
        <v>15</v>
      </c>
      <c r="H55" s="278" t="s">
        <v>102</v>
      </c>
      <c r="I55" s="278" t="s">
        <v>447</v>
      </c>
      <c r="J55" s="179" t="s">
        <v>17</v>
      </c>
      <c r="K55" s="179" t="s">
        <v>17</v>
      </c>
      <c r="L55" s="179" t="s">
        <v>386</v>
      </c>
      <c r="M55" s="179" t="s">
        <v>80</v>
      </c>
      <c r="N55" s="305">
        <v>1</v>
      </c>
      <c r="O55" s="179" t="s">
        <v>12</v>
      </c>
      <c r="P55" s="262">
        <v>44896</v>
      </c>
      <c r="Q55" s="263">
        <v>3500</v>
      </c>
      <c r="R55" s="442">
        <f t="shared" si="2"/>
        <v>4200</v>
      </c>
      <c r="S55" s="345">
        <v>4900</v>
      </c>
    </row>
    <row r="56" spans="2:19" ht="18.5" thickBot="1" x14ac:dyDescent="0.3">
      <c r="M56" s="281" t="s">
        <v>55</v>
      </c>
      <c r="N56" s="284">
        <f>SUM(N31:N55)</f>
        <v>25</v>
      </c>
    </row>
    <row r="57" spans="2:19" x14ac:dyDescent="0.25">
      <c r="B57" s="113"/>
      <c r="C57" s="113"/>
    </row>
    <row r="58" spans="2:19" x14ac:dyDescent="0.25">
      <c r="B58" s="113"/>
      <c r="C58" s="113"/>
    </row>
    <row r="59" spans="2:19" x14ac:dyDescent="0.25">
      <c r="B59" s="113"/>
      <c r="C59" s="113"/>
    </row>
    <row r="60" spans="2:19" x14ac:dyDescent="0.25">
      <c r="B60" s="113"/>
      <c r="C60" s="113"/>
    </row>
  </sheetData>
  <autoFilter ref="B4:P53" xr:uid="{00000000-0009-0000-0000-000001000000}"/>
  <mergeCells count="4">
    <mergeCell ref="B29:F29"/>
    <mergeCell ref="B22:F22"/>
    <mergeCell ref="B3:F3"/>
    <mergeCell ref="B2:S2"/>
  </mergeCells>
  <phoneticPr fontId="12" type="noConversion"/>
  <pageMargins left="0.25" right="0.25" top="0.75" bottom="0.75" header="0.3" footer="0.3"/>
  <pageSetup paperSize="9" scale="44" fitToHeight="0" orientation="landscape" r:id="rId1"/>
  <rowBreaks count="1" manualBreakCount="1">
    <brk id="21" min="1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665D-E5FC-7249-8614-FC5D7A5B0562}">
  <sheetPr>
    <tabColor rgb="FF002060"/>
  </sheetPr>
  <dimension ref="A1"/>
  <sheetViews>
    <sheetView workbookViewId="0">
      <selection activeCell="B2" sqref="B2:C5"/>
    </sheetView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P28"/>
  <sheetViews>
    <sheetView topLeftCell="A2" zoomScale="84" zoomScaleNormal="85" workbookViewId="0">
      <pane xSplit="5" topLeftCell="G1" activePane="topRight" state="frozen"/>
      <selection activeCell="A4" sqref="A4"/>
      <selection pane="topRight" activeCell="O4" sqref="B4:O4"/>
    </sheetView>
  </sheetViews>
  <sheetFormatPr baseColWidth="10" defaultColWidth="11.453125" defaultRowHeight="14" x14ac:dyDescent="0.3"/>
  <cols>
    <col min="1" max="1" width="1.81640625" style="113" customWidth="1"/>
    <col min="2" max="2" width="7.6328125" style="113" customWidth="1"/>
    <col min="3" max="3" width="13.1796875" style="113" bestFit="1" customWidth="1"/>
    <col min="4" max="4" width="27" style="129" bestFit="1" customWidth="1"/>
    <col min="5" max="5" width="14.36328125" style="113" bestFit="1" customWidth="1"/>
    <col min="6" max="6" width="14.36328125" style="113" customWidth="1"/>
    <col min="7" max="7" width="18.453125" style="113" bestFit="1" customWidth="1"/>
    <col min="8" max="8" width="11.453125" style="113"/>
    <col min="9" max="9" width="12.453125" style="113" customWidth="1"/>
    <col min="10" max="10" width="8.453125" style="229" customWidth="1"/>
    <col min="11" max="11" width="7.81640625" style="113" customWidth="1"/>
    <col min="12" max="12" width="11.453125" style="113" bestFit="1" customWidth="1"/>
    <col min="13" max="14" width="11.453125" style="150"/>
    <col min="15" max="16384" width="11.453125" style="113"/>
  </cols>
  <sheetData>
    <row r="1" spans="1:16" ht="8.25" customHeight="1" thickBot="1" x14ac:dyDescent="0.35">
      <c r="A1" s="127"/>
      <c r="L1" s="34"/>
    </row>
    <row r="2" spans="1:16" ht="18.75" customHeight="1" thickBot="1" x14ac:dyDescent="0.3">
      <c r="A2" s="127"/>
      <c r="B2" s="409" t="s">
        <v>462</v>
      </c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1"/>
    </row>
    <row r="3" spans="1:16" ht="14.5" thickBot="1" x14ac:dyDescent="0.35">
      <c r="A3" s="127"/>
      <c r="B3" s="458" t="s">
        <v>229</v>
      </c>
      <c r="C3" s="459"/>
      <c r="D3" s="460"/>
      <c r="E3" s="111"/>
      <c r="F3" s="111"/>
      <c r="L3" s="34"/>
      <c r="M3" s="197">
        <f>'UNIMAC '!R2</f>
        <v>45950</v>
      </c>
      <c r="N3" s="197"/>
    </row>
    <row r="4" spans="1:16" ht="49.5" customHeight="1" thickBot="1" x14ac:dyDescent="0.3">
      <c r="A4" s="127"/>
      <c r="B4" s="461" t="s">
        <v>0</v>
      </c>
      <c r="C4" s="462" t="s">
        <v>484</v>
      </c>
      <c r="D4" s="462" t="s">
        <v>1</v>
      </c>
      <c r="E4" s="462" t="s">
        <v>2</v>
      </c>
      <c r="F4" s="463" t="s">
        <v>5</v>
      </c>
      <c r="G4" s="462" t="s">
        <v>8</v>
      </c>
      <c r="H4" s="463" t="s">
        <v>39</v>
      </c>
      <c r="I4" s="462" t="s">
        <v>7</v>
      </c>
      <c r="J4" s="462" t="s">
        <v>430</v>
      </c>
      <c r="K4" s="462" t="s">
        <v>3</v>
      </c>
      <c r="L4" s="462" t="s">
        <v>163</v>
      </c>
      <c r="M4" s="464" t="s">
        <v>595</v>
      </c>
      <c r="N4" s="465" t="s">
        <v>618</v>
      </c>
      <c r="O4" s="466" t="s">
        <v>596</v>
      </c>
    </row>
    <row r="5" spans="1:16" ht="25" customHeight="1" x14ac:dyDescent="0.25">
      <c r="A5" s="127"/>
      <c r="B5" s="280">
        <v>1</v>
      </c>
      <c r="C5" s="313" t="s">
        <v>578</v>
      </c>
      <c r="D5" s="267" t="s">
        <v>228</v>
      </c>
      <c r="E5" s="175" t="s">
        <v>225</v>
      </c>
      <c r="F5" s="175" t="s">
        <v>155</v>
      </c>
      <c r="G5" s="175" t="s">
        <v>451</v>
      </c>
      <c r="H5" s="175" t="s">
        <v>226</v>
      </c>
      <c r="I5" s="175" t="s">
        <v>72</v>
      </c>
      <c r="J5" s="301">
        <v>1</v>
      </c>
      <c r="K5" s="175" t="s">
        <v>222</v>
      </c>
      <c r="L5" s="271">
        <v>45292</v>
      </c>
      <c r="M5" s="349">
        <v>9900</v>
      </c>
      <c r="N5" s="349">
        <f t="shared" ref="N5:N20" si="0">+(O5-M5)/2+M5</f>
        <v>12200</v>
      </c>
      <c r="O5" s="350">
        <v>14500</v>
      </c>
    </row>
    <row r="6" spans="1:16" ht="25" customHeight="1" thickBot="1" x14ac:dyDescent="0.3">
      <c r="A6" s="127"/>
      <c r="B6" s="205">
        <v>2</v>
      </c>
      <c r="C6" s="314" t="s">
        <v>579</v>
      </c>
      <c r="D6" s="275" t="s">
        <v>228</v>
      </c>
      <c r="E6" s="179" t="s">
        <v>225</v>
      </c>
      <c r="F6" s="179" t="s">
        <v>155</v>
      </c>
      <c r="G6" s="179" t="s">
        <v>451</v>
      </c>
      <c r="H6" s="179" t="s">
        <v>226</v>
      </c>
      <c r="I6" s="179" t="s">
        <v>72</v>
      </c>
      <c r="J6" s="305">
        <v>1</v>
      </c>
      <c r="K6" s="179" t="s">
        <v>222</v>
      </c>
      <c r="L6" s="262">
        <v>45292</v>
      </c>
      <c r="M6" s="351">
        <v>9900</v>
      </c>
      <c r="N6" s="351">
        <f t="shared" si="0"/>
        <v>12200</v>
      </c>
      <c r="O6" s="352">
        <v>14500</v>
      </c>
    </row>
    <row r="7" spans="1:16" ht="25" customHeight="1" thickBot="1" x14ac:dyDescent="0.3">
      <c r="A7" s="127"/>
      <c r="B7" s="315">
        <v>3</v>
      </c>
      <c r="C7" s="316" t="s">
        <v>580</v>
      </c>
      <c r="D7" s="239" t="s">
        <v>228</v>
      </c>
      <c r="E7" s="187" t="s">
        <v>230</v>
      </c>
      <c r="F7" s="187" t="s">
        <v>155</v>
      </c>
      <c r="G7" s="187" t="s">
        <v>451</v>
      </c>
      <c r="H7" s="187" t="s">
        <v>220</v>
      </c>
      <c r="I7" s="187" t="s">
        <v>72</v>
      </c>
      <c r="J7" s="233">
        <v>1</v>
      </c>
      <c r="K7" s="187" t="s">
        <v>222</v>
      </c>
      <c r="L7" s="189">
        <v>45830</v>
      </c>
      <c r="M7" s="354">
        <v>14900</v>
      </c>
      <c r="N7" s="354">
        <f t="shared" si="0"/>
        <v>16700</v>
      </c>
      <c r="O7" s="355">
        <v>18500</v>
      </c>
    </row>
    <row r="8" spans="1:16" ht="25" customHeight="1" thickBot="1" x14ac:dyDescent="0.3">
      <c r="A8" s="127"/>
      <c r="B8" s="315">
        <v>4</v>
      </c>
      <c r="C8" s="316" t="s">
        <v>581</v>
      </c>
      <c r="D8" s="239" t="s">
        <v>221</v>
      </c>
      <c r="E8" s="187" t="s">
        <v>414</v>
      </c>
      <c r="F8" s="187" t="s">
        <v>155</v>
      </c>
      <c r="G8" s="187" t="s">
        <v>156</v>
      </c>
      <c r="H8" s="187" t="s">
        <v>227</v>
      </c>
      <c r="I8" s="187" t="s">
        <v>232</v>
      </c>
      <c r="J8" s="233">
        <v>1</v>
      </c>
      <c r="K8" s="187" t="s">
        <v>222</v>
      </c>
      <c r="L8" s="189">
        <v>45830</v>
      </c>
      <c r="M8" s="354">
        <v>19600</v>
      </c>
      <c r="N8" s="354">
        <f t="shared" si="0"/>
        <v>22550</v>
      </c>
      <c r="O8" s="355">
        <v>25500</v>
      </c>
    </row>
    <row r="9" spans="1:16" ht="25" customHeight="1" thickBot="1" x14ac:dyDescent="0.3">
      <c r="B9" s="315">
        <v>5</v>
      </c>
      <c r="C9" s="316" t="s">
        <v>582</v>
      </c>
      <c r="D9" s="239" t="s">
        <v>221</v>
      </c>
      <c r="E9" s="187" t="s">
        <v>231</v>
      </c>
      <c r="F9" s="187" t="s">
        <v>155</v>
      </c>
      <c r="G9" s="187" t="s">
        <v>451</v>
      </c>
      <c r="H9" s="187" t="s">
        <v>227</v>
      </c>
      <c r="I9" s="187" t="s">
        <v>232</v>
      </c>
      <c r="J9" s="233">
        <v>1</v>
      </c>
      <c r="K9" s="187" t="s">
        <v>222</v>
      </c>
      <c r="L9" s="189">
        <v>45292</v>
      </c>
      <c r="M9" s="354">
        <v>3050</v>
      </c>
      <c r="N9" s="354">
        <f t="shared" si="0"/>
        <v>4024.5</v>
      </c>
      <c r="O9" s="355">
        <v>4999</v>
      </c>
    </row>
    <row r="10" spans="1:16" ht="25" customHeight="1" x14ac:dyDescent="0.25">
      <c r="B10" s="280">
        <v>6</v>
      </c>
      <c r="C10" s="313" t="s">
        <v>583</v>
      </c>
      <c r="D10" s="247" t="s">
        <v>221</v>
      </c>
      <c r="E10" s="177" t="s">
        <v>223</v>
      </c>
      <c r="F10" s="177" t="s">
        <v>155</v>
      </c>
      <c r="G10" s="177" t="s">
        <v>156</v>
      </c>
      <c r="H10" s="177" t="s">
        <v>227</v>
      </c>
      <c r="I10" s="177" t="s">
        <v>232</v>
      </c>
      <c r="J10" s="231">
        <v>1</v>
      </c>
      <c r="K10" s="177" t="s">
        <v>222</v>
      </c>
      <c r="L10" s="181">
        <v>45830</v>
      </c>
      <c r="M10" s="349">
        <v>3200</v>
      </c>
      <c r="N10" s="349">
        <f t="shared" si="0"/>
        <v>4675</v>
      </c>
      <c r="O10" s="350">
        <v>6150</v>
      </c>
    </row>
    <row r="11" spans="1:16" ht="25" customHeight="1" thickBot="1" x14ac:dyDescent="0.3">
      <c r="B11" s="205">
        <v>7</v>
      </c>
      <c r="C11" s="314" t="s">
        <v>584</v>
      </c>
      <c r="D11" s="317" t="s">
        <v>221</v>
      </c>
      <c r="E11" s="178" t="s">
        <v>223</v>
      </c>
      <c r="F11" s="178" t="s">
        <v>155</v>
      </c>
      <c r="G11" s="178" t="s">
        <v>451</v>
      </c>
      <c r="H11" s="178" t="s">
        <v>227</v>
      </c>
      <c r="I11" s="178" t="s">
        <v>232</v>
      </c>
      <c r="J11" s="230">
        <v>1</v>
      </c>
      <c r="K11" s="178" t="s">
        <v>222</v>
      </c>
      <c r="L11" s="183">
        <v>45830</v>
      </c>
      <c r="M11" s="351">
        <v>3200</v>
      </c>
      <c r="N11" s="351">
        <f t="shared" si="0"/>
        <v>4675</v>
      </c>
      <c r="O11" s="352">
        <v>6150</v>
      </c>
    </row>
    <row r="12" spans="1:16" ht="25" customHeight="1" x14ac:dyDescent="0.25">
      <c r="B12" s="280">
        <v>8</v>
      </c>
      <c r="C12" s="313" t="s">
        <v>585</v>
      </c>
      <c r="D12" s="247" t="s">
        <v>221</v>
      </c>
      <c r="E12" s="177" t="s">
        <v>224</v>
      </c>
      <c r="F12" s="177" t="s">
        <v>155</v>
      </c>
      <c r="G12" s="177" t="s">
        <v>156</v>
      </c>
      <c r="H12" s="177" t="s">
        <v>227</v>
      </c>
      <c r="I12" s="177" t="s">
        <v>80</v>
      </c>
      <c r="J12" s="231" t="s">
        <v>155</v>
      </c>
      <c r="K12" s="177" t="s">
        <v>222</v>
      </c>
      <c r="L12" s="181">
        <v>45830</v>
      </c>
      <c r="M12" s="349">
        <v>3900</v>
      </c>
      <c r="N12" s="349">
        <f t="shared" si="0"/>
        <v>5425</v>
      </c>
      <c r="O12" s="350">
        <v>6950</v>
      </c>
      <c r="P12" s="318"/>
    </row>
    <row r="13" spans="1:16" ht="25" customHeight="1" x14ac:dyDescent="0.25">
      <c r="B13" s="204">
        <v>9</v>
      </c>
      <c r="C13" s="312" t="s">
        <v>586</v>
      </c>
      <c r="D13" s="185" t="s">
        <v>221</v>
      </c>
      <c r="E13" s="124" t="s">
        <v>224</v>
      </c>
      <c r="F13" s="124" t="s">
        <v>155</v>
      </c>
      <c r="G13" s="124" t="s">
        <v>156</v>
      </c>
      <c r="H13" s="124" t="s">
        <v>227</v>
      </c>
      <c r="I13" s="124" t="s">
        <v>80</v>
      </c>
      <c r="J13" s="232">
        <v>1</v>
      </c>
      <c r="K13" s="124" t="s">
        <v>222</v>
      </c>
      <c r="L13" s="126">
        <v>45830</v>
      </c>
      <c r="M13" s="150">
        <v>3900</v>
      </c>
      <c r="N13" s="150">
        <f t="shared" si="0"/>
        <v>5425</v>
      </c>
      <c r="O13" s="356">
        <v>6950</v>
      </c>
    </row>
    <row r="14" spans="1:16" ht="25" customHeight="1" x14ac:dyDescent="0.25">
      <c r="B14" s="204">
        <v>10</v>
      </c>
      <c r="C14" s="312" t="s">
        <v>587</v>
      </c>
      <c r="D14" s="185" t="s">
        <v>221</v>
      </c>
      <c r="E14" s="124" t="s">
        <v>224</v>
      </c>
      <c r="F14" s="124" t="s">
        <v>155</v>
      </c>
      <c r="G14" s="124" t="s">
        <v>156</v>
      </c>
      <c r="H14" s="124" t="s">
        <v>227</v>
      </c>
      <c r="I14" s="124" t="s">
        <v>80</v>
      </c>
      <c r="J14" s="232">
        <v>1</v>
      </c>
      <c r="K14" s="124" t="s">
        <v>222</v>
      </c>
      <c r="L14" s="126">
        <v>45830</v>
      </c>
      <c r="M14" s="150">
        <v>3900</v>
      </c>
      <c r="N14" s="150">
        <f t="shared" si="0"/>
        <v>5425</v>
      </c>
      <c r="O14" s="356">
        <v>6950</v>
      </c>
    </row>
    <row r="15" spans="1:16" ht="25" customHeight="1" x14ac:dyDescent="0.25">
      <c r="B15" s="204">
        <v>11</v>
      </c>
      <c r="C15" s="312" t="s">
        <v>588</v>
      </c>
      <c r="D15" s="185" t="s">
        <v>221</v>
      </c>
      <c r="E15" s="124" t="s">
        <v>224</v>
      </c>
      <c r="F15" s="124" t="s">
        <v>155</v>
      </c>
      <c r="G15" s="124" t="s">
        <v>452</v>
      </c>
      <c r="H15" s="124" t="s">
        <v>227</v>
      </c>
      <c r="I15" s="124" t="s">
        <v>80</v>
      </c>
      <c r="J15" s="232">
        <v>1</v>
      </c>
      <c r="K15" s="124" t="s">
        <v>222</v>
      </c>
      <c r="L15" s="126">
        <v>45830</v>
      </c>
      <c r="M15" s="150">
        <v>3900</v>
      </c>
      <c r="N15" s="150">
        <f t="shared" si="0"/>
        <v>5425</v>
      </c>
      <c r="O15" s="356">
        <v>6950</v>
      </c>
    </row>
    <row r="16" spans="1:16" ht="25" customHeight="1" thickBot="1" x14ac:dyDescent="0.3">
      <c r="B16" s="205">
        <v>12</v>
      </c>
      <c r="C16" s="314" t="s">
        <v>589</v>
      </c>
      <c r="D16" s="317" t="s">
        <v>221</v>
      </c>
      <c r="E16" s="178" t="s">
        <v>224</v>
      </c>
      <c r="F16" s="178" t="s">
        <v>155</v>
      </c>
      <c r="G16" s="178" t="s">
        <v>154</v>
      </c>
      <c r="H16" s="178" t="s">
        <v>227</v>
      </c>
      <c r="I16" s="178" t="s">
        <v>80</v>
      </c>
      <c r="J16" s="230">
        <v>1</v>
      </c>
      <c r="K16" s="178" t="s">
        <v>222</v>
      </c>
      <c r="L16" s="183">
        <v>45830</v>
      </c>
      <c r="M16" s="351">
        <v>3900</v>
      </c>
      <c r="N16" s="351">
        <f t="shared" si="0"/>
        <v>5425</v>
      </c>
      <c r="O16" s="352">
        <v>6950</v>
      </c>
    </row>
    <row r="17" spans="2:15" ht="25" customHeight="1" x14ac:dyDescent="0.25">
      <c r="B17" s="280">
        <v>13</v>
      </c>
      <c r="C17" s="313" t="s">
        <v>590</v>
      </c>
      <c r="D17" s="247" t="s">
        <v>221</v>
      </c>
      <c r="E17" s="177" t="s">
        <v>415</v>
      </c>
      <c r="F17" s="177" t="s">
        <v>155</v>
      </c>
      <c r="G17" s="177" t="s">
        <v>156</v>
      </c>
      <c r="H17" s="177" t="s">
        <v>227</v>
      </c>
      <c r="I17" s="177" t="s">
        <v>80</v>
      </c>
      <c r="J17" s="231">
        <v>1</v>
      </c>
      <c r="K17" s="177" t="s">
        <v>222</v>
      </c>
      <c r="L17" s="181">
        <v>45830</v>
      </c>
      <c r="M17" s="349">
        <v>4300</v>
      </c>
      <c r="N17" s="349">
        <f t="shared" si="0"/>
        <v>5825</v>
      </c>
      <c r="O17" s="350">
        <v>7350</v>
      </c>
    </row>
    <row r="18" spans="2:15" ht="25" customHeight="1" thickBot="1" x14ac:dyDescent="0.3">
      <c r="B18" s="205">
        <v>14</v>
      </c>
      <c r="C18" s="314" t="s">
        <v>591</v>
      </c>
      <c r="D18" s="317" t="s">
        <v>221</v>
      </c>
      <c r="E18" s="178" t="s">
        <v>415</v>
      </c>
      <c r="F18" s="178" t="s">
        <v>155</v>
      </c>
      <c r="G18" s="178" t="s">
        <v>156</v>
      </c>
      <c r="H18" s="178" t="s">
        <v>227</v>
      </c>
      <c r="I18" s="178" t="s">
        <v>80</v>
      </c>
      <c r="J18" s="230" t="s">
        <v>155</v>
      </c>
      <c r="K18" s="178" t="s">
        <v>222</v>
      </c>
      <c r="L18" s="183">
        <v>45830</v>
      </c>
      <c r="M18" s="351">
        <v>4300</v>
      </c>
      <c r="N18" s="351">
        <f t="shared" si="0"/>
        <v>5825</v>
      </c>
      <c r="O18" s="352">
        <v>7350</v>
      </c>
    </row>
    <row r="19" spans="2:15" ht="25" customHeight="1" thickBot="1" x14ac:dyDescent="0.3">
      <c r="B19" s="315">
        <v>15</v>
      </c>
      <c r="C19" s="316" t="s">
        <v>593</v>
      </c>
      <c r="D19" s="239" t="s">
        <v>221</v>
      </c>
      <c r="E19" s="187" t="s">
        <v>417</v>
      </c>
      <c r="F19" s="187" t="s">
        <v>453</v>
      </c>
      <c r="G19" s="187" t="s">
        <v>154</v>
      </c>
      <c r="H19" s="187" t="s">
        <v>227</v>
      </c>
      <c r="I19" s="187" t="s">
        <v>232</v>
      </c>
      <c r="J19" s="233">
        <v>1</v>
      </c>
      <c r="K19" s="187" t="s">
        <v>222</v>
      </c>
      <c r="L19" s="189">
        <v>45830</v>
      </c>
      <c r="M19" s="354">
        <v>4700</v>
      </c>
      <c r="N19" s="354">
        <f t="shared" si="0"/>
        <v>6325</v>
      </c>
      <c r="O19" s="355">
        <v>7950</v>
      </c>
    </row>
    <row r="20" spans="2:15" ht="25" customHeight="1" thickBot="1" x14ac:dyDescent="0.3">
      <c r="B20" s="315">
        <v>16</v>
      </c>
      <c r="C20" s="316" t="s">
        <v>594</v>
      </c>
      <c r="D20" s="239" t="s">
        <v>221</v>
      </c>
      <c r="E20" s="187" t="s">
        <v>416</v>
      </c>
      <c r="F20" s="187" t="s">
        <v>454</v>
      </c>
      <c r="G20" s="187" t="s">
        <v>154</v>
      </c>
      <c r="H20" s="187" t="s">
        <v>227</v>
      </c>
      <c r="I20" s="187" t="s">
        <v>232</v>
      </c>
      <c r="J20" s="233">
        <v>1</v>
      </c>
      <c r="K20" s="187" t="s">
        <v>222</v>
      </c>
      <c r="L20" s="189">
        <v>45830</v>
      </c>
      <c r="M20" s="354">
        <v>5200</v>
      </c>
      <c r="N20" s="354">
        <f t="shared" si="0"/>
        <v>7075</v>
      </c>
      <c r="O20" s="355">
        <v>8950</v>
      </c>
    </row>
    <row r="21" spans="2:15" ht="14.5" thickBot="1" x14ac:dyDescent="0.3">
      <c r="J21" s="366">
        <f>SUM(J5:J20)</f>
        <v>14</v>
      </c>
    </row>
    <row r="22" spans="2:15" x14ac:dyDescent="0.3">
      <c r="H22" s="113" t="s">
        <v>403</v>
      </c>
    </row>
    <row r="28" spans="2:15" x14ac:dyDescent="0.3">
      <c r="C28" s="113" t="s">
        <v>592</v>
      </c>
    </row>
  </sheetData>
  <autoFilter ref="B4:L20" xr:uid="{00000000-0009-0000-0000-000002000000}"/>
  <mergeCells count="2">
    <mergeCell ref="B2:O2"/>
    <mergeCell ref="B3:D3"/>
  </mergeCells>
  <phoneticPr fontId="12" type="noConversion"/>
  <pageMargins left="0.25" right="0.25" top="0.75" bottom="0.75" header="0.3" footer="0.3"/>
  <pageSetup paperSize="9" scale="6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  <pageSetUpPr fitToPage="1"/>
  </sheetPr>
  <dimension ref="B1:T21"/>
  <sheetViews>
    <sheetView topLeftCell="B1" zoomScale="74" zoomScaleNormal="70" workbookViewId="0">
      <selection activeCell="Q4" sqref="Q4"/>
    </sheetView>
  </sheetViews>
  <sheetFormatPr baseColWidth="10" defaultColWidth="11.453125" defaultRowHeight="12.5" x14ac:dyDescent="0.35"/>
  <cols>
    <col min="1" max="1" width="1.81640625" style="34" customWidth="1"/>
    <col min="2" max="3" width="7.6328125" style="34" customWidth="1"/>
    <col min="4" max="4" width="26.6328125" style="34" customWidth="1"/>
    <col min="5" max="5" width="11.453125" style="34"/>
    <col min="6" max="7" width="11.453125" style="34" customWidth="1"/>
    <col min="8" max="8" width="13.453125" style="34" bestFit="1" customWidth="1"/>
    <col min="9" max="9" width="14.36328125" style="34" bestFit="1" customWidth="1"/>
    <col min="10" max="10" width="12.453125" style="34" customWidth="1"/>
    <col min="11" max="11" width="15.6328125" style="34" bestFit="1" customWidth="1"/>
    <col min="12" max="13" width="11.453125" style="34" customWidth="1"/>
    <col min="14" max="14" width="8.1796875" style="34" customWidth="1"/>
    <col min="15" max="15" width="11.453125" style="34" customWidth="1"/>
    <col min="16" max="16" width="17.6328125" style="34" customWidth="1"/>
    <col min="17" max="18" width="12" style="34" customWidth="1"/>
    <col min="19" max="19" width="12.453125" style="34" bestFit="1" customWidth="1"/>
    <col min="20" max="16384" width="11.453125" style="34"/>
  </cols>
  <sheetData>
    <row r="1" spans="2:20" ht="13.5" thickBot="1" x14ac:dyDescent="0.4">
      <c r="Q1" s="202"/>
      <c r="R1" s="202"/>
      <c r="S1" s="241">
        <f>'UNIMAC '!R2</f>
        <v>45950</v>
      </c>
    </row>
    <row r="2" spans="2:20" ht="20.5" thickBot="1" x14ac:dyDescent="0.4">
      <c r="B2" s="427" t="s">
        <v>463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9"/>
    </row>
    <row r="3" spans="2:20" ht="13.5" thickBot="1" x14ac:dyDescent="0.4">
      <c r="B3" s="421" t="s">
        <v>464</v>
      </c>
      <c r="C3" s="422"/>
      <c r="D3" s="423"/>
      <c r="E3" s="101"/>
    </row>
    <row r="4" spans="2:20" ht="54" customHeight="1" thickBot="1" x14ac:dyDescent="0.4">
      <c r="B4" s="198" t="s">
        <v>0</v>
      </c>
      <c r="C4" s="199"/>
      <c r="D4" s="199" t="s">
        <v>1</v>
      </c>
      <c r="E4" s="199" t="s">
        <v>2</v>
      </c>
      <c r="F4" s="199" t="s">
        <v>38</v>
      </c>
      <c r="G4" s="199" t="s">
        <v>4</v>
      </c>
      <c r="H4" s="199" t="s">
        <v>5</v>
      </c>
      <c r="I4" s="199" t="s">
        <v>8</v>
      </c>
      <c r="J4" s="199" t="s">
        <v>11</v>
      </c>
      <c r="K4" s="199" t="s">
        <v>455</v>
      </c>
      <c r="L4" s="200" t="s">
        <v>39</v>
      </c>
      <c r="M4" s="199" t="s">
        <v>7</v>
      </c>
      <c r="N4" s="199" t="s">
        <v>441</v>
      </c>
      <c r="O4" s="199" t="s">
        <v>3</v>
      </c>
      <c r="P4" s="199" t="s">
        <v>163</v>
      </c>
      <c r="Q4" s="449" t="s">
        <v>595</v>
      </c>
      <c r="R4" s="456" t="s">
        <v>618</v>
      </c>
      <c r="S4" s="455" t="s">
        <v>596</v>
      </c>
    </row>
    <row r="5" spans="2:20" s="234" customFormat="1" ht="25.5" thickBot="1" x14ac:dyDescent="0.4">
      <c r="B5" s="227">
        <v>1</v>
      </c>
      <c r="C5" s="187" t="s">
        <v>598</v>
      </c>
      <c r="D5" s="239" t="s">
        <v>206</v>
      </c>
      <c r="E5" s="187" t="s">
        <v>188</v>
      </c>
      <c r="F5" s="187" t="s">
        <v>192</v>
      </c>
      <c r="G5" s="187" t="s">
        <v>14</v>
      </c>
      <c r="H5" s="187" t="s">
        <v>155</v>
      </c>
      <c r="I5" s="187" t="s">
        <v>156</v>
      </c>
      <c r="J5" s="187" t="s">
        <v>22</v>
      </c>
      <c r="K5" s="187" t="s">
        <v>456</v>
      </c>
      <c r="L5" s="187" t="s">
        <v>387</v>
      </c>
      <c r="M5" s="187" t="s">
        <v>80</v>
      </c>
      <c r="N5" s="188">
        <v>1</v>
      </c>
      <c r="O5" s="187" t="s">
        <v>191</v>
      </c>
      <c r="P5" s="189">
        <v>44682</v>
      </c>
      <c r="Q5" s="360">
        <v>8500</v>
      </c>
      <c r="R5" s="450">
        <f t="shared" ref="R5:R13" si="0">+(S5-Q5)/2+Q5</f>
        <v>10000</v>
      </c>
      <c r="S5" s="228">
        <v>11500</v>
      </c>
    </row>
    <row r="6" spans="2:20" s="234" customFormat="1" ht="25.5" thickBot="1" x14ac:dyDescent="0.4">
      <c r="B6" s="227">
        <v>2</v>
      </c>
      <c r="C6" s="187" t="s">
        <v>599</v>
      </c>
      <c r="D6" s="239" t="s">
        <v>206</v>
      </c>
      <c r="E6" s="187" t="s">
        <v>205</v>
      </c>
      <c r="F6" s="187" t="s">
        <v>192</v>
      </c>
      <c r="G6" s="187" t="s">
        <v>14</v>
      </c>
      <c r="H6" s="187" t="s">
        <v>155</v>
      </c>
      <c r="I6" s="187" t="s">
        <v>156</v>
      </c>
      <c r="J6" s="187" t="s">
        <v>208</v>
      </c>
      <c r="K6" s="187" t="s">
        <v>456</v>
      </c>
      <c r="L6" s="187" t="s">
        <v>387</v>
      </c>
      <c r="M6" s="187" t="s">
        <v>80</v>
      </c>
      <c r="N6" s="188">
        <v>1</v>
      </c>
      <c r="O6" s="187" t="s">
        <v>191</v>
      </c>
      <c r="P6" s="189">
        <v>44682</v>
      </c>
      <c r="Q6" s="360">
        <v>9300</v>
      </c>
      <c r="R6" s="450">
        <f t="shared" si="0"/>
        <v>11600</v>
      </c>
      <c r="S6" s="228">
        <v>13900</v>
      </c>
    </row>
    <row r="7" spans="2:20" s="234" customFormat="1" ht="25" x14ac:dyDescent="0.35">
      <c r="B7" s="290">
        <v>3</v>
      </c>
      <c r="C7" s="177" t="s">
        <v>600</v>
      </c>
      <c r="D7" s="247" t="s">
        <v>206</v>
      </c>
      <c r="E7" s="177" t="s">
        <v>187</v>
      </c>
      <c r="F7" s="177" t="s">
        <v>192</v>
      </c>
      <c r="G7" s="177" t="s">
        <v>14</v>
      </c>
      <c r="H7" s="177" t="s">
        <v>155</v>
      </c>
      <c r="I7" s="177" t="s">
        <v>156</v>
      </c>
      <c r="J7" s="177" t="s">
        <v>190</v>
      </c>
      <c r="K7" s="177" t="s">
        <v>456</v>
      </c>
      <c r="L7" s="177" t="s">
        <v>387</v>
      </c>
      <c r="M7" s="177" t="s">
        <v>189</v>
      </c>
      <c r="N7" s="268">
        <v>1</v>
      </c>
      <c r="O7" s="177" t="s">
        <v>191</v>
      </c>
      <c r="P7" s="181">
        <v>44682</v>
      </c>
      <c r="Q7" s="292">
        <v>15500</v>
      </c>
      <c r="R7" s="451">
        <f t="shared" si="0"/>
        <v>17500</v>
      </c>
      <c r="S7" s="293">
        <v>19500</v>
      </c>
    </row>
    <row r="8" spans="2:20" s="234" customFormat="1" ht="25.5" thickBot="1" x14ac:dyDescent="0.4">
      <c r="B8" s="294">
        <v>4</v>
      </c>
      <c r="C8" s="178" t="s">
        <v>601</v>
      </c>
      <c r="D8" s="317" t="s">
        <v>206</v>
      </c>
      <c r="E8" s="178" t="s">
        <v>187</v>
      </c>
      <c r="F8" s="178" t="s">
        <v>192</v>
      </c>
      <c r="G8" s="178" t="s">
        <v>14</v>
      </c>
      <c r="H8" s="178" t="s">
        <v>155</v>
      </c>
      <c r="I8" s="178" t="s">
        <v>156</v>
      </c>
      <c r="J8" s="178" t="s">
        <v>190</v>
      </c>
      <c r="K8" s="178" t="s">
        <v>456</v>
      </c>
      <c r="L8" s="178" t="s">
        <v>387</v>
      </c>
      <c r="M8" s="178" t="s">
        <v>189</v>
      </c>
      <c r="N8" s="276">
        <v>1</v>
      </c>
      <c r="O8" s="178" t="s">
        <v>191</v>
      </c>
      <c r="P8" s="183">
        <v>44682</v>
      </c>
      <c r="Q8" s="297">
        <v>15500</v>
      </c>
      <c r="R8" s="452">
        <f t="shared" si="0"/>
        <v>17500</v>
      </c>
      <c r="S8" s="298">
        <v>19500</v>
      </c>
    </row>
    <row r="9" spans="2:20" s="234" customFormat="1" ht="25.5" thickBot="1" x14ac:dyDescent="0.4">
      <c r="B9" s="227">
        <v>5</v>
      </c>
      <c r="C9" s="187" t="s">
        <v>602</v>
      </c>
      <c r="D9" s="239" t="s">
        <v>207</v>
      </c>
      <c r="E9" s="187" t="s">
        <v>194</v>
      </c>
      <c r="F9" s="187" t="s">
        <v>192</v>
      </c>
      <c r="G9" s="187" t="s">
        <v>14</v>
      </c>
      <c r="H9" s="187" t="s">
        <v>155</v>
      </c>
      <c r="I9" s="187" t="s">
        <v>156</v>
      </c>
      <c r="J9" s="187" t="s">
        <v>195</v>
      </c>
      <c r="K9" s="187" t="s">
        <v>458</v>
      </c>
      <c r="L9" s="187" t="s">
        <v>387</v>
      </c>
      <c r="M9" s="187" t="s">
        <v>189</v>
      </c>
      <c r="N9" s="188">
        <v>1</v>
      </c>
      <c r="O9" s="187" t="s">
        <v>191</v>
      </c>
      <c r="P9" s="189">
        <v>45047</v>
      </c>
      <c r="Q9" s="360">
        <v>29500</v>
      </c>
      <c r="R9" s="450">
        <f t="shared" si="0"/>
        <v>32500</v>
      </c>
      <c r="S9" s="228">
        <v>35500</v>
      </c>
      <c r="T9" s="223"/>
    </row>
    <row r="10" spans="2:20" s="234" customFormat="1" ht="25.5" thickBot="1" x14ac:dyDescent="0.4">
      <c r="B10" s="227">
        <v>6</v>
      </c>
      <c r="C10" s="187" t="s">
        <v>603</v>
      </c>
      <c r="D10" s="239" t="s">
        <v>206</v>
      </c>
      <c r="E10" s="187" t="s">
        <v>369</v>
      </c>
      <c r="F10" s="187" t="s">
        <v>192</v>
      </c>
      <c r="G10" s="187" t="s">
        <v>14</v>
      </c>
      <c r="H10" s="187"/>
      <c r="I10" s="187" t="s">
        <v>156</v>
      </c>
      <c r="J10" s="187" t="s">
        <v>210</v>
      </c>
      <c r="K10" s="187" t="s">
        <v>458</v>
      </c>
      <c r="L10" s="187" t="s">
        <v>387</v>
      </c>
      <c r="M10" s="187" t="s">
        <v>189</v>
      </c>
      <c r="N10" s="188">
        <v>1</v>
      </c>
      <c r="O10" s="187" t="s">
        <v>191</v>
      </c>
      <c r="P10" s="189">
        <v>45047</v>
      </c>
      <c r="Q10" s="360">
        <v>35500</v>
      </c>
      <c r="R10" s="450">
        <f t="shared" si="0"/>
        <v>38500</v>
      </c>
      <c r="S10" s="228">
        <v>41500</v>
      </c>
      <c r="T10" s="223"/>
    </row>
    <row r="11" spans="2:20" s="234" customFormat="1" ht="25.5" thickBot="1" x14ac:dyDescent="0.4">
      <c r="B11" s="227">
        <v>7</v>
      </c>
      <c r="C11" s="187" t="s">
        <v>604</v>
      </c>
      <c r="D11" s="239" t="s">
        <v>206</v>
      </c>
      <c r="E11" s="187" t="s">
        <v>196</v>
      </c>
      <c r="F11" s="187" t="s">
        <v>192</v>
      </c>
      <c r="G11" s="187" t="s">
        <v>14</v>
      </c>
      <c r="H11" s="187" t="s">
        <v>155</v>
      </c>
      <c r="I11" s="187" t="s">
        <v>156</v>
      </c>
      <c r="J11" s="187" t="s">
        <v>193</v>
      </c>
      <c r="K11" s="187" t="s">
        <v>458</v>
      </c>
      <c r="L11" s="187" t="s">
        <v>387</v>
      </c>
      <c r="M11" s="187" t="s">
        <v>189</v>
      </c>
      <c r="N11" s="188">
        <v>1</v>
      </c>
      <c r="O11" s="187" t="s">
        <v>191</v>
      </c>
      <c r="P11" s="189">
        <v>44682</v>
      </c>
      <c r="Q11" s="360">
        <v>45500</v>
      </c>
      <c r="R11" s="450">
        <f t="shared" si="0"/>
        <v>57500</v>
      </c>
      <c r="S11" s="228">
        <v>69500</v>
      </c>
    </row>
    <row r="12" spans="2:20" s="234" customFormat="1" ht="25.5" thickBot="1" x14ac:dyDescent="0.4">
      <c r="B12" s="227">
        <v>9</v>
      </c>
      <c r="C12" s="187" t="s">
        <v>605</v>
      </c>
      <c r="D12" s="362" t="s">
        <v>207</v>
      </c>
      <c r="E12" s="187" t="s">
        <v>204</v>
      </c>
      <c r="F12" s="193" t="s">
        <v>192</v>
      </c>
      <c r="G12" s="193" t="s">
        <v>14</v>
      </c>
      <c r="H12" s="193" t="s">
        <v>453</v>
      </c>
      <c r="I12" s="193" t="s">
        <v>156</v>
      </c>
      <c r="J12" s="193" t="s">
        <v>208</v>
      </c>
      <c r="K12" s="193" t="s">
        <v>458</v>
      </c>
      <c r="L12" s="187" t="s">
        <v>387</v>
      </c>
      <c r="M12" s="193" t="s">
        <v>189</v>
      </c>
      <c r="N12" s="236">
        <v>1</v>
      </c>
      <c r="O12" s="193" t="s">
        <v>191</v>
      </c>
      <c r="P12" s="180">
        <v>44682</v>
      </c>
      <c r="Q12" s="360">
        <v>11300</v>
      </c>
      <c r="R12" s="450">
        <f t="shared" si="0"/>
        <v>13400</v>
      </c>
      <c r="S12" s="228">
        <v>15500</v>
      </c>
    </row>
    <row r="13" spans="2:20" s="234" customFormat="1" ht="25.5" thickBot="1" x14ac:dyDescent="0.4">
      <c r="B13" s="237">
        <v>8</v>
      </c>
      <c r="C13" s="224" t="s">
        <v>606</v>
      </c>
      <c r="D13" s="238" t="s">
        <v>198</v>
      </c>
      <c r="E13" s="224" t="s">
        <v>197</v>
      </c>
      <c r="F13" s="224" t="s">
        <v>457</v>
      </c>
      <c r="G13" s="224" t="s">
        <v>14</v>
      </c>
      <c r="H13" s="224" t="s">
        <v>155</v>
      </c>
      <c r="I13" s="224" t="s">
        <v>156</v>
      </c>
      <c r="J13" s="224" t="s">
        <v>195</v>
      </c>
      <c r="K13" s="224" t="s">
        <v>458</v>
      </c>
      <c r="L13" s="224" t="s">
        <v>387</v>
      </c>
      <c r="M13" s="224" t="s">
        <v>189</v>
      </c>
      <c r="N13" s="225">
        <v>1</v>
      </c>
      <c r="O13" s="224" t="s">
        <v>191</v>
      </c>
      <c r="P13" s="226">
        <v>43678</v>
      </c>
      <c r="Q13" s="361" t="s">
        <v>155</v>
      </c>
      <c r="R13" s="453"/>
      <c r="S13" s="353"/>
    </row>
    <row r="14" spans="2:20" s="234" customFormat="1" ht="13" thickBot="1" x14ac:dyDescent="0.4"/>
    <row r="15" spans="2:20" ht="13.5" thickBot="1" x14ac:dyDescent="0.4">
      <c r="B15" s="424" t="s">
        <v>350</v>
      </c>
      <c r="C15" s="425"/>
      <c r="D15" s="426"/>
    </row>
    <row r="16" spans="2:20" s="234" customFormat="1" ht="25.5" thickBot="1" x14ac:dyDescent="0.4">
      <c r="B16" s="227">
        <v>10</v>
      </c>
      <c r="C16" s="358" t="s">
        <v>607</v>
      </c>
      <c r="D16" s="239" t="s">
        <v>350</v>
      </c>
      <c r="E16" s="193" t="s">
        <v>201</v>
      </c>
      <c r="F16" s="187" t="s">
        <v>192</v>
      </c>
      <c r="G16" s="187" t="s">
        <v>14</v>
      </c>
      <c r="H16" s="187" t="s">
        <v>155</v>
      </c>
      <c r="I16" s="187" t="s">
        <v>156</v>
      </c>
      <c r="J16" s="187" t="s">
        <v>184</v>
      </c>
      <c r="K16" s="187" t="s">
        <v>203</v>
      </c>
      <c r="L16" s="187" t="s">
        <v>387</v>
      </c>
      <c r="M16" s="187" t="s">
        <v>80</v>
      </c>
      <c r="N16" s="188">
        <v>1</v>
      </c>
      <c r="O16" s="187" t="s">
        <v>191</v>
      </c>
      <c r="P16" s="189">
        <v>44531</v>
      </c>
      <c r="Q16" s="364">
        <v>6500</v>
      </c>
      <c r="R16" s="364">
        <f t="shared" ref="R16:R17" si="1">+(S16-Q16)/2+Q16</f>
        <v>7225</v>
      </c>
      <c r="S16" s="365">
        <v>7950</v>
      </c>
    </row>
    <row r="17" spans="2:19" s="234" customFormat="1" ht="25.5" thickBot="1" x14ac:dyDescent="0.4">
      <c r="B17" s="237">
        <v>11</v>
      </c>
      <c r="C17" s="359" t="s">
        <v>608</v>
      </c>
      <c r="D17" s="238" t="s">
        <v>350</v>
      </c>
      <c r="E17" s="376" t="s">
        <v>200</v>
      </c>
      <c r="F17" s="224" t="s">
        <v>192</v>
      </c>
      <c r="G17" s="224" t="s">
        <v>14</v>
      </c>
      <c r="H17" s="224" t="s">
        <v>155</v>
      </c>
      <c r="I17" s="224" t="s">
        <v>156</v>
      </c>
      <c r="J17" s="224" t="s">
        <v>195</v>
      </c>
      <c r="K17" s="224" t="s">
        <v>458</v>
      </c>
      <c r="L17" s="224" t="s">
        <v>387</v>
      </c>
      <c r="M17" s="224" t="s">
        <v>370</v>
      </c>
      <c r="N17" s="225">
        <v>1</v>
      </c>
      <c r="O17" s="224" t="s">
        <v>191</v>
      </c>
      <c r="P17" s="226">
        <v>45047</v>
      </c>
      <c r="Q17" s="363">
        <v>8500</v>
      </c>
      <c r="R17" s="363">
        <f t="shared" si="1"/>
        <v>10000</v>
      </c>
      <c r="S17" s="365">
        <v>11500</v>
      </c>
    </row>
    <row r="18" spans="2:19" ht="12.75" customHeight="1" thickBot="1" x14ac:dyDescent="0.4"/>
    <row r="19" spans="2:19" ht="13.5" thickBot="1" x14ac:dyDescent="0.4">
      <c r="B19" s="424" t="s">
        <v>377</v>
      </c>
      <c r="C19" s="425"/>
      <c r="D19" s="426"/>
    </row>
    <row r="20" spans="2:19" ht="22.5" customHeight="1" thickBot="1" x14ac:dyDescent="0.4">
      <c r="B20" s="290">
        <v>12</v>
      </c>
      <c r="C20" s="177" t="s">
        <v>609</v>
      </c>
      <c r="D20" s="256" t="s">
        <v>377</v>
      </c>
      <c r="E20" s="268" t="s">
        <v>378</v>
      </c>
      <c r="F20" s="256" t="s">
        <v>457</v>
      </c>
      <c r="G20" s="256" t="s">
        <v>155</v>
      </c>
      <c r="H20" s="256" t="s">
        <v>155</v>
      </c>
      <c r="I20" s="177" t="s">
        <v>156</v>
      </c>
      <c r="J20" s="256" t="s">
        <v>155</v>
      </c>
      <c r="K20" s="256" t="s">
        <v>459</v>
      </c>
      <c r="L20" s="256" t="s">
        <v>155</v>
      </c>
      <c r="M20" s="256" t="s">
        <v>370</v>
      </c>
      <c r="N20" s="256">
        <v>1</v>
      </c>
      <c r="O20" s="256" t="s">
        <v>191</v>
      </c>
      <c r="P20" s="181">
        <v>45139</v>
      </c>
      <c r="Q20" s="292">
        <v>7900</v>
      </c>
      <c r="R20" s="451">
        <f t="shared" ref="R20:R21" si="2">+(S20-Q20)/2+Q20</f>
        <v>10700</v>
      </c>
      <c r="S20" s="372">
        <v>13500</v>
      </c>
    </row>
    <row r="21" spans="2:19" ht="13" thickBot="1" x14ac:dyDescent="0.4">
      <c r="B21" s="294">
        <v>13</v>
      </c>
      <c r="C21" s="177" t="s">
        <v>610</v>
      </c>
      <c r="D21" s="278" t="s">
        <v>377</v>
      </c>
      <c r="E21" s="276" t="s">
        <v>378</v>
      </c>
      <c r="F21" s="278" t="s">
        <v>457</v>
      </c>
      <c r="G21" s="278" t="s">
        <v>155</v>
      </c>
      <c r="H21" s="278" t="s">
        <v>155</v>
      </c>
      <c r="I21" s="178" t="s">
        <v>156</v>
      </c>
      <c r="J21" s="278" t="s">
        <v>155</v>
      </c>
      <c r="K21" s="278" t="s">
        <v>459</v>
      </c>
      <c r="L21" s="278" t="s">
        <v>155</v>
      </c>
      <c r="M21" s="278" t="s">
        <v>370</v>
      </c>
      <c r="N21" s="278">
        <v>1</v>
      </c>
      <c r="O21" s="278" t="s">
        <v>191</v>
      </c>
      <c r="P21" s="183">
        <v>45139</v>
      </c>
      <c r="Q21" s="297">
        <v>7900</v>
      </c>
      <c r="R21" s="452">
        <f t="shared" si="2"/>
        <v>10700</v>
      </c>
      <c r="S21" s="373">
        <v>13500</v>
      </c>
    </row>
  </sheetData>
  <autoFilter ref="B4:P18" xr:uid="{00000000-0009-0000-0000-000003000000}"/>
  <mergeCells count="4">
    <mergeCell ref="B3:D3"/>
    <mergeCell ref="B19:D19"/>
    <mergeCell ref="B15:D15"/>
    <mergeCell ref="B2:S2"/>
  </mergeCells>
  <pageMargins left="0.7" right="0.7" top="0.75" bottom="0.75" header="0.3" footer="0.3"/>
  <pageSetup paperSize="9" scale="5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  <pageSetUpPr fitToPage="1"/>
  </sheetPr>
  <dimension ref="B1:Q10"/>
  <sheetViews>
    <sheetView zoomScale="60" zoomScaleNormal="100" workbookViewId="0">
      <selection activeCell="H7" sqref="H7"/>
    </sheetView>
  </sheetViews>
  <sheetFormatPr baseColWidth="10" defaultColWidth="11.453125" defaultRowHeight="12.5" x14ac:dyDescent="0.35"/>
  <cols>
    <col min="1" max="1" width="1.81640625" style="34" customWidth="1"/>
    <col min="2" max="2" width="5.6328125" style="34" customWidth="1"/>
    <col min="3" max="3" width="8.6328125" style="34" customWidth="1"/>
    <col min="4" max="4" width="23.1796875" style="34" customWidth="1"/>
    <col min="5" max="5" width="10" style="34" customWidth="1"/>
    <col min="6" max="6" width="14.36328125" style="34" bestFit="1" customWidth="1"/>
    <col min="7" max="7" width="10.6328125" style="34" bestFit="1" customWidth="1"/>
    <col min="8" max="8" width="13.36328125" style="34" bestFit="1" customWidth="1"/>
    <col min="9" max="9" width="11.36328125" style="34" bestFit="1" customWidth="1"/>
    <col min="10" max="10" width="14" style="34" bestFit="1" customWidth="1"/>
    <col min="11" max="11" width="11.453125" style="34"/>
    <col min="12" max="12" width="6" style="34" bestFit="1" customWidth="1"/>
    <col min="13" max="13" width="6.453125" style="34" bestFit="1" customWidth="1"/>
    <col min="14" max="14" width="11.453125" style="34" bestFit="1" customWidth="1"/>
    <col min="15" max="16384" width="11.453125" style="34"/>
  </cols>
  <sheetData>
    <row r="1" spans="2:17" ht="13.5" thickBot="1" x14ac:dyDescent="0.35">
      <c r="O1" s="197">
        <f>'UNIMAC '!R2</f>
        <v>45950</v>
      </c>
      <c r="P1" s="197"/>
    </row>
    <row r="2" spans="2:17" ht="13.5" thickBot="1" x14ac:dyDescent="0.4">
      <c r="B2" s="430" t="s">
        <v>465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2"/>
    </row>
    <row r="3" spans="2:17" ht="13.5" thickBot="1" x14ac:dyDescent="0.4">
      <c r="B3" s="421" t="s">
        <v>350</v>
      </c>
      <c r="C3" s="422"/>
      <c r="D3" s="423"/>
      <c r="E3" s="101"/>
      <c r="O3" s="101"/>
      <c r="P3" s="400"/>
    </row>
    <row r="4" spans="2:17" ht="39.5" thickBot="1" x14ac:dyDescent="0.4">
      <c r="B4" s="198" t="s">
        <v>0</v>
      </c>
      <c r="C4" s="282" t="s">
        <v>484</v>
      </c>
      <c r="D4" s="199" t="s">
        <v>1</v>
      </c>
      <c r="E4" s="199" t="s">
        <v>2</v>
      </c>
      <c r="F4" s="199" t="s">
        <v>8</v>
      </c>
      <c r="G4" s="199" t="s">
        <v>11</v>
      </c>
      <c r="H4" s="199" t="s">
        <v>455</v>
      </c>
      <c r="I4" s="199" t="s">
        <v>9</v>
      </c>
      <c r="J4" s="200" t="s">
        <v>39</v>
      </c>
      <c r="K4" s="199" t="s">
        <v>7</v>
      </c>
      <c r="L4" s="199" t="s">
        <v>461</v>
      </c>
      <c r="M4" s="199" t="s">
        <v>3</v>
      </c>
      <c r="N4" s="199" t="s">
        <v>163</v>
      </c>
      <c r="O4" s="454" t="s">
        <v>595</v>
      </c>
      <c r="P4" s="456" t="s">
        <v>618</v>
      </c>
      <c r="Q4" s="457" t="s">
        <v>596</v>
      </c>
    </row>
    <row r="5" spans="2:17" ht="25" customHeight="1" x14ac:dyDescent="0.35">
      <c r="B5" s="280">
        <v>1</v>
      </c>
      <c r="C5" s="175" t="s">
        <v>613</v>
      </c>
      <c r="D5" s="267" t="s">
        <v>350</v>
      </c>
      <c r="E5" s="175" t="s">
        <v>217</v>
      </c>
      <c r="F5" s="175" t="s">
        <v>156</v>
      </c>
      <c r="G5" s="175" t="s">
        <v>31</v>
      </c>
      <c r="H5" s="175" t="s">
        <v>155</v>
      </c>
      <c r="I5" s="175" t="s">
        <v>155</v>
      </c>
      <c r="J5" s="175" t="s">
        <v>386</v>
      </c>
      <c r="K5" s="175" t="s">
        <v>72</v>
      </c>
      <c r="L5" s="256">
        <v>1</v>
      </c>
      <c r="M5" s="175" t="s">
        <v>212</v>
      </c>
      <c r="N5" s="271">
        <v>45061</v>
      </c>
      <c r="O5" s="370">
        <v>7400</v>
      </c>
      <c r="P5" s="370">
        <f t="shared" ref="P5:P10" si="0">+(Q5-O5)/2+O5</f>
        <v>8650</v>
      </c>
      <c r="Q5" s="370">
        <v>9900</v>
      </c>
    </row>
    <row r="6" spans="2:17" ht="25" customHeight="1" x14ac:dyDescent="0.35">
      <c r="B6" s="204">
        <v>2</v>
      </c>
      <c r="C6" s="2" t="s">
        <v>611</v>
      </c>
      <c r="D6" s="36" t="s">
        <v>199</v>
      </c>
      <c r="E6" s="2" t="s">
        <v>217</v>
      </c>
      <c r="F6" s="2" t="s">
        <v>154</v>
      </c>
      <c r="G6" s="2" t="s">
        <v>351</v>
      </c>
      <c r="H6" s="2" t="s">
        <v>155</v>
      </c>
      <c r="I6" s="2" t="s">
        <v>155</v>
      </c>
      <c r="J6" s="2" t="s">
        <v>386</v>
      </c>
      <c r="K6" s="2" t="s">
        <v>72</v>
      </c>
      <c r="L6" s="1">
        <v>1</v>
      </c>
      <c r="M6" s="2" t="s">
        <v>212</v>
      </c>
      <c r="N6" s="117">
        <v>45061</v>
      </c>
      <c r="O6" s="340">
        <v>6050</v>
      </c>
      <c r="P6" s="340">
        <f t="shared" si="0"/>
        <v>7475</v>
      </c>
      <c r="Q6" s="340">
        <v>8900</v>
      </c>
    </row>
    <row r="7" spans="2:17" ht="25" customHeight="1" thickBot="1" x14ac:dyDescent="0.4">
      <c r="B7" s="205">
        <v>3</v>
      </c>
      <c r="C7" s="179" t="s">
        <v>612</v>
      </c>
      <c r="D7" s="275" t="s">
        <v>199</v>
      </c>
      <c r="E7" s="179" t="s">
        <v>217</v>
      </c>
      <c r="F7" s="179" t="s">
        <v>154</v>
      </c>
      <c r="G7" s="179" t="s">
        <v>31</v>
      </c>
      <c r="H7" s="179" t="s">
        <v>155</v>
      </c>
      <c r="I7" s="179" t="s">
        <v>155</v>
      </c>
      <c r="J7" s="179" t="s">
        <v>386</v>
      </c>
      <c r="K7" s="179" t="s">
        <v>72</v>
      </c>
      <c r="L7" s="278">
        <v>1</v>
      </c>
      <c r="M7" s="179" t="s">
        <v>212</v>
      </c>
      <c r="N7" s="262">
        <v>45061</v>
      </c>
      <c r="O7" s="340">
        <v>6900</v>
      </c>
      <c r="P7" s="340">
        <f t="shared" si="0"/>
        <v>7900</v>
      </c>
      <c r="Q7" s="340">
        <v>8900</v>
      </c>
    </row>
    <row r="8" spans="2:17" ht="23.5" thickBot="1" x14ac:dyDescent="0.4">
      <c r="B8" s="347">
        <v>4</v>
      </c>
      <c r="C8" s="374" t="s">
        <v>614</v>
      </c>
      <c r="D8" s="375" t="s">
        <v>199</v>
      </c>
      <c r="E8" s="376" t="s">
        <v>218</v>
      </c>
      <c r="F8" s="376" t="s">
        <v>156</v>
      </c>
      <c r="G8" s="376" t="s">
        <v>177</v>
      </c>
      <c r="H8" s="377" t="s">
        <v>460</v>
      </c>
      <c r="I8" s="376" t="s">
        <v>19</v>
      </c>
      <c r="J8" s="376" t="s">
        <v>387</v>
      </c>
      <c r="K8" s="376" t="s">
        <v>21</v>
      </c>
      <c r="L8" s="378">
        <v>1</v>
      </c>
      <c r="M8" s="376" t="s">
        <v>212</v>
      </c>
      <c r="N8" s="379">
        <v>45061</v>
      </c>
      <c r="O8" s="348">
        <v>8400</v>
      </c>
      <c r="P8" s="348">
        <f t="shared" si="0"/>
        <v>9950</v>
      </c>
      <c r="Q8" s="348">
        <v>11500</v>
      </c>
    </row>
    <row r="9" spans="2:17" ht="23" x14ac:dyDescent="0.35">
      <c r="B9" s="319">
        <v>5</v>
      </c>
      <c r="C9" s="368" t="s">
        <v>615</v>
      </c>
      <c r="D9" s="320" t="s">
        <v>199</v>
      </c>
      <c r="E9" s="50" t="s">
        <v>215</v>
      </c>
      <c r="F9" s="50" t="s">
        <v>156</v>
      </c>
      <c r="G9" s="50" t="s">
        <v>216</v>
      </c>
      <c r="H9" s="371" t="s">
        <v>460</v>
      </c>
      <c r="I9" s="50" t="s">
        <v>19</v>
      </c>
      <c r="J9" s="50" t="s">
        <v>387</v>
      </c>
      <c r="K9" s="50" t="s">
        <v>21</v>
      </c>
      <c r="L9" s="53">
        <v>1</v>
      </c>
      <c r="M9" s="50" t="s">
        <v>212</v>
      </c>
      <c r="N9" s="120">
        <v>43678</v>
      </c>
      <c r="O9" s="369">
        <v>12500</v>
      </c>
      <c r="P9" s="369">
        <f t="shared" si="0"/>
        <v>15500</v>
      </c>
      <c r="Q9" s="369">
        <v>18500</v>
      </c>
    </row>
    <row r="10" spans="2:17" ht="23.5" thickBot="1" x14ac:dyDescent="0.4">
      <c r="B10" s="205">
        <v>6</v>
      </c>
      <c r="C10" s="206" t="s">
        <v>616</v>
      </c>
      <c r="D10" s="275" t="s">
        <v>350</v>
      </c>
      <c r="E10" s="179" t="s">
        <v>215</v>
      </c>
      <c r="F10" s="179" t="s">
        <v>154</v>
      </c>
      <c r="G10" s="179" t="s">
        <v>352</v>
      </c>
      <c r="H10" s="367" t="s">
        <v>460</v>
      </c>
      <c r="I10" s="179" t="s">
        <v>19</v>
      </c>
      <c r="J10" s="179" t="s">
        <v>387</v>
      </c>
      <c r="K10" s="179" t="s">
        <v>21</v>
      </c>
      <c r="L10" s="278">
        <v>1</v>
      </c>
      <c r="M10" s="179" t="s">
        <v>212</v>
      </c>
      <c r="N10" s="262">
        <v>45061</v>
      </c>
      <c r="O10" s="329">
        <v>15500</v>
      </c>
      <c r="P10" s="329">
        <f t="shared" si="0"/>
        <v>18500</v>
      </c>
      <c r="Q10" s="329">
        <v>21500</v>
      </c>
    </row>
  </sheetData>
  <mergeCells count="2">
    <mergeCell ref="B3:D3"/>
    <mergeCell ref="B2:Q2"/>
  </mergeCells>
  <phoneticPr fontId="12" type="noConversion"/>
  <pageMargins left="0.25" right="0.25" top="0.75" bottom="0.75" header="0.3" footer="0.3"/>
  <pageSetup paperSize="9" scale="6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  <pageSetUpPr fitToPage="1"/>
  </sheetPr>
  <dimension ref="B1:Y22"/>
  <sheetViews>
    <sheetView zoomScale="70" zoomScaleNormal="70" workbookViewId="0">
      <pane xSplit="4" topLeftCell="E1" activePane="topRight" state="frozen"/>
      <selection pane="topRight" activeCell="L5" sqref="L5:L7"/>
    </sheetView>
  </sheetViews>
  <sheetFormatPr baseColWidth="10" defaultColWidth="11.453125" defaultRowHeight="12.5" x14ac:dyDescent="0.25"/>
  <cols>
    <col min="1" max="1" width="1.81640625" style="113" customWidth="1"/>
    <col min="2" max="2" width="21.453125" style="113" customWidth="1"/>
    <col min="3" max="3" width="7.6328125" style="113" customWidth="1"/>
    <col min="4" max="4" width="60.36328125" style="129" customWidth="1"/>
    <col min="5" max="5" width="12.6328125" style="113" customWidth="1"/>
    <col min="6" max="6" width="21.453125" style="113" customWidth="1"/>
    <col min="7" max="7" width="11.36328125" style="113" customWidth="1"/>
    <col min="8" max="10" width="11.453125" style="113"/>
    <col min="11" max="11" width="14.36328125" style="113" customWidth="1"/>
    <col min="12" max="16" width="11.453125" style="113"/>
    <col min="17" max="17" width="11.453125" style="113" bestFit="1" customWidth="1"/>
    <col min="18" max="18" width="7.81640625" style="113" customWidth="1"/>
    <col min="19" max="19" width="11.453125" style="113" bestFit="1" customWidth="1"/>
    <col min="20" max="24" width="12.453125" style="113" bestFit="1" customWidth="1"/>
    <col min="25" max="25" width="11.453125" style="150"/>
    <col min="26" max="16384" width="11.453125" style="113"/>
  </cols>
  <sheetData>
    <row r="1" spans="2:25" x14ac:dyDescent="0.25">
      <c r="B1" s="112"/>
      <c r="S1" s="34"/>
      <c r="Y1" s="114"/>
    </row>
    <row r="2" spans="2:25" ht="18.75" customHeight="1" x14ac:dyDescent="0.25">
      <c r="B2" s="433" t="s">
        <v>233</v>
      </c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158"/>
    </row>
    <row r="3" spans="2:25" ht="13" x14ac:dyDescent="0.3">
      <c r="B3" s="112"/>
      <c r="C3" s="111" t="s">
        <v>234</v>
      </c>
      <c r="E3" s="111"/>
      <c r="S3" s="34"/>
      <c r="V3" s="115">
        <v>0.4</v>
      </c>
      <c r="Y3" s="158"/>
    </row>
    <row r="4" spans="2:25" ht="65.5" thickBot="1" x14ac:dyDescent="0.3">
      <c r="B4" s="27" t="s">
        <v>186</v>
      </c>
      <c r="C4" s="27" t="s">
        <v>0</v>
      </c>
      <c r="D4" s="27" t="s">
        <v>1</v>
      </c>
      <c r="E4" s="27" t="s">
        <v>2</v>
      </c>
      <c r="F4" s="27" t="s">
        <v>259</v>
      </c>
      <c r="G4" s="27" t="s">
        <v>353</v>
      </c>
      <c r="H4" s="27" t="s">
        <v>240</v>
      </c>
      <c r="I4" s="27" t="s">
        <v>5</v>
      </c>
      <c r="J4" s="27" t="s">
        <v>6</v>
      </c>
      <c r="K4" s="27" t="s">
        <v>8</v>
      </c>
      <c r="L4" s="27" t="s">
        <v>11</v>
      </c>
      <c r="M4" s="27" t="s">
        <v>202</v>
      </c>
      <c r="N4" s="27" t="s">
        <v>9</v>
      </c>
      <c r="O4" s="130" t="s">
        <v>39</v>
      </c>
      <c r="P4" s="27" t="s">
        <v>7</v>
      </c>
      <c r="Q4" s="27" t="s">
        <v>162</v>
      </c>
      <c r="R4" s="27" t="s">
        <v>3</v>
      </c>
      <c r="S4" s="27" t="s">
        <v>163</v>
      </c>
      <c r="T4" s="27" t="s">
        <v>164</v>
      </c>
      <c r="U4" s="27" t="s">
        <v>165</v>
      </c>
      <c r="V4" s="27" t="s">
        <v>150</v>
      </c>
      <c r="W4" s="27" t="s">
        <v>151</v>
      </c>
      <c r="X4" s="27" t="s">
        <v>166</v>
      </c>
      <c r="Y4" s="159" t="s">
        <v>392</v>
      </c>
    </row>
    <row r="5" spans="2:25" ht="35.25" customHeight="1" thickTop="1" x14ac:dyDescent="0.25">
      <c r="B5" s="164" t="s">
        <v>235</v>
      </c>
      <c r="C5" s="138">
        <v>1</v>
      </c>
      <c r="D5" s="72" t="s">
        <v>243</v>
      </c>
      <c r="E5" s="138" t="s">
        <v>236</v>
      </c>
      <c r="F5" s="138" t="s">
        <v>269</v>
      </c>
      <c r="G5" s="138" t="s">
        <v>155</v>
      </c>
      <c r="H5" s="138" t="s">
        <v>241</v>
      </c>
      <c r="I5" s="138" t="s">
        <v>155</v>
      </c>
      <c r="J5" s="138" t="s">
        <v>155</v>
      </c>
      <c r="K5" s="138" t="s">
        <v>242</v>
      </c>
      <c r="L5" s="138" t="s">
        <v>239</v>
      </c>
      <c r="M5" s="138" t="s">
        <v>155</v>
      </c>
      <c r="N5" s="138" t="s">
        <v>155</v>
      </c>
      <c r="O5" s="138" t="s">
        <v>155</v>
      </c>
      <c r="P5" s="138" t="s">
        <v>155</v>
      </c>
      <c r="Q5" s="143">
        <v>12</v>
      </c>
      <c r="R5" s="138" t="s">
        <v>248</v>
      </c>
      <c r="S5" s="144">
        <v>43678</v>
      </c>
      <c r="T5" s="145">
        <v>161.67458098287341</v>
      </c>
      <c r="U5" s="145">
        <v>233.15999444999701</v>
      </c>
      <c r="V5" s="145">
        <f t="shared" ref="V5:V21" si="0">U5*$V$3</f>
        <v>93.263997779998817</v>
      </c>
      <c r="W5" s="145">
        <f t="shared" ref="W5:W20" si="1">U5+V5</f>
        <v>326.42399222999586</v>
      </c>
      <c r="X5" s="145">
        <f t="shared" ref="X5:X18" si="2">W5*1.18</f>
        <v>385.1803108313951</v>
      </c>
      <c r="Y5" s="168"/>
    </row>
    <row r="6" spans="2:25" ht="35.25" customHeight="1" x14ac:dyDescent="0.25">
      <c r="B6" s="165" t="s">
        <v>272</v>
      </c>
      <c r="C6" s="36">
        <v>2</v>
      </c>
      <c r="D6" s="26" t="s">
        <v>243</v>
      </c>
      <c r="E6" s="36" t="s">
        <v>236</v>
      </c>
      <c r="F6" s="36" t="s">
        <v>269</v>
      </c>
      <c r="G6" s="36" t="s">
        <v>155</v>
      </c>
      <c r="H6" s="36" t="s">
        <v>241</v>
      </c>
      <c r="I6" s="36" t="s">
        <v>155</v>
      </c>
      <c r="J6" s="36" t="s">
        <v>155</v>
      </c>
      <c r="K6" s="36" t="s">
        <v>242</v>
      </c>
      <c r="L6" s="36" t="s">
        <v>239</v>
      </c>
      <c r="M6" s="36" t="s">
        <v>155</v>
      </c>
      <c r="N6" s="36" t="s">
        <v>155</v>
      </c>
      <c r="O6" s="36" t="s">
        <v>155</v>
      </c>
      <c r="P6" s="36" t="s">
        <v>155</v>
      </c>
      <c r="Q6" s="134">
        <v>12</v>
      </c>
      <c r="R6" s="36" t="s">
        <v>248</v>
      </c>
      <c r="S6" s="135">
        <v>44440</v>
      </c>
      <c r="T6" s="136">
        <v>160.10999999999999</v>
      </c>
      <c r="U6" s="136">
        <v>247.69985294117646</v>
      </c>
      <c r="V6" s="136">
        <f>U6*$V$3</f>
        <v>99.079941176470584</v>
      </c>
      <c r="W6" s="136">
        <f t="shared" ref="W6" si="3">U6+V6</f>
        <v>346.77979411764704</v>
      </c>
      <c r="X6" s="136">
        <f t="shared" ref="X6" si="4">W6*1.18</f>
        <v>409.20015705882349</v>
      </c>
      <c r="Y6" s="169"/>
    </row>
    <row r="7" spans="2:25" ht="35.25" customHeight="1" x14ac:dyDescent="0.25">
      <c r="B7" s="165" t="s">
        <v>371</v>
      </c>
      <c r="C7" s="36">
        <v>3</v>
      </c>
      <c r="D7" s="26" t="s">
        <v>243</v>
      </c>
      <c r="E7" s="36" t="s">
        <v>236</v>
      </c>
      <c r="F7" s="36" t="s">
        <v>155</v>
      </c>
      <c r="G7" s="2" t="s">
        <v>155</v>
      </c>
      <c r="H7" s="36" t="s">
        <v>241</v>
      </c>
      <c r="I7" s="36" t="s">
        <v>155</v>
      </c>
      <c r="J7" s="36" t="s">
        <v>155</v>
      </c>
      <c r="K7" s="36" t="s">
        <v>242</v>
      </c>
      <c r="L7" s="36">
        <v>1.8</v>
      </c>
      <c r="M7" s="36" t="s">
        <v>155</v>
      </c>
      <c r="N7" s="36" t="s">
        <v>155</v>
      </c>
      <c r="O7" s="36" t="s">
        <v>155</v>
      </c>
      <c r="P7" s="36" t="s">
        <v>155</v>
      </c>
      <c r="Q7" s="134">
        <v>18</v>
      </c>
      <c r="R7" s="36" t="s">
        <v>248</v>
      </c>
      <c r="S7" s="135">
        <v>45093</v>
      </c>
      <c r="T7" s="136">
        <v>183.24</v>
      </c>
      <c r="U7" s="136">
        <v>269.56</v>
      </c>
      <c r="V7" s="136">
        <f>U7*$V$3</f>
        <v>107.82400000000001</v>
      </c>
      <c r="W7" s="136">
        <f>U7+V7</f>
        <v>377.38400000000001</v>
      </c>
      <c r="X7" s="136">
        <f>W7*1.18</f>
        <v>445.31311999999997</v>
      </c>
      <c r="Y7" s="174">
        <v>420</v>
      </c>
    </row>
    <row r="8" spans="2:25" ht="35.25" customHeight="1" x14ac:dyDescent="0.25">
      <c r="B8" s="165" t="s">
        <v>235</v>
      </c>
      <c r="C8" s="36">
        <v>4</v>
      </c>
      <c r="D8" s="26" t="s">
        <v>243</v>
      </c>
      <c r="E8" s="36" t="s">
        <v>236</v>
      </c>
      <c r="F8" s="2" t="s">
        <v>155</v>
      </c>
      <c r="G8" s="36" t="s">
        <v>155</v>
      </c>
      <c r="H8" s="36" t="s">
        <v>241</v>
      </c>
      <c r="I8" s="36" t="s">
        <v>155</v>
      </c>
      <c r="J8" s="36" t="s">
        <v>155</v>
      </c>
      <c r="K8" s="36" t="s">
        <v>242</v>
      </c>
      <c r="L8" s="36" t="s">
        <v>244</v>
      </c>
      <c r="M8" s="36" t="s">
        <v>155</v>
      </c>
      <c r="N8" s="36" t="s">
        <v>155</v>
      </c>
      <c r="O8" s="36" t="s">
        <v>155</v>
      </c>
      <c r="P8" s="36" t="s">
        <v>155</v>
      </c>
      <c r="Q8" s="134">
        <v>12</v>
      </c>
      <c r="R8" s="36" t="s">
        <v>248</v>
      </c>
      <c r="S8" s="135">
        <v>43678</v>
      </c>
      <c r="T8" s="136">
        <v>203.18562204604359</v>
      </c>
      <c r="U8" s="136">
        <v>293.02539843040159</v>
      </c>
      <c r="V8" s="136">
        <f t="shared" si="0"/>
        <v>117.21015937216065</v>
      </c>
      <c r="W8" s="136">
        <f t="shared" si="1"/>
        <v>410.23555780256225</v>
      </c>
      <c r="X8" s="136">
        <f t="shared" si="2"/>
        <v>484.07795820702341</v>
      </c>
      <c r="Y8" s="169"/>
    </row>
    <row r="9" spans="2:25" ht="35.25" customHeight="1" x14ac:dyDescent="0.25">
      <c r="B9" s="160" t="s">
        <v>235</v>
      </c>
      <c r="C9" s="1">
        <v>5</v>
      </c>
      <c r="D9" s="26" t="s">
        <v>243</v>
      </c>
      <c r="E9" s="2" t="s">
        <v>236</v>
      </c>
      <c r="F9" s="2" t="s">
        <v>155</v>
      </c>
      <c r="G9" s="2" t="s">
        <v>155</v>
      </c>
      <c r="H9" s="2" t="s">
        <v>241</v>
      </c>
      <c r="I9" s="2" t="s">
        <v>155</v>
      </c>
      <c r="J9" s="2" t="s">
        <v>155</v>
      </c>
      <c r="K9" s="2" t="s">
        <v>242</v>
      </c>
      <c r="L9" s="2" t="s">
        <v>245</v>
      </c>
      <c r="M9" s="2" t="s">
        <v>155</v>
      </c>
      <c r="N9" s="2" t="s">
        <v>155</v>
      </c>
      <c r="O9" s="2" t="s">
        <v>155</v>
      </c>
      <c r="P9" s="2" t="s">
        <v>155</v>
      </c>
      <c r="Q9" s="1">
        <v>12</v>
      </c>
      <c r="R9" s="2" t="s">
        <v>248</v>
      </c>
      <c r="S9" s="117">
        <v>43678</v>
      </c>
      <c r="T9" s="24">
        <v>234.86510075214719</v>
      </c>
      <c r="U9" s="24">
        <v>338.71215409965771</v>
      </c>
      <c r="V9" s="24">
        <f t="shared" si="0"/>
        <v>135.48486163986308</v>
      </c>
      <c r="W9" s="24">
        <f t="shared" si="1"/>
        <v>474.19701573952079</v>
      </c>
      <c r="X9" s="24">
        <f t="shared" si="2"/>
        <v>559.55247857263453</v>
      </c>
      <c r="Y9" s="169"/>
    </row>
    <row r="10" spans="2:25" ht="35.25" customHeight="1" thickBot="1" x14ac:dyDescent="0.3">
      <c r="B10" s="166" t="s">
        <v>371</v>
      </c>
      <c r="C10" s="110">
        <v>6</v>
      </c>
      <c r="D10" s="93" t="s">
        <v>243</v>
      </c>
      <c r="E10" s="110" t="s">
        <v>236</v>
      </c>
      <c r="F10" s="110" t="s">
        <v>155</v>
      </c>
      <c r="G10" s="110" t="s">
        <v>155</v>
      </c>
      <c r="H10" s="110" t="s">
        <v>241</v>
      </c>
      <c r="I10" s="2" t="s">
        <v>155</v>
      </c>
      <c r="J10" s="2" t="s">
        <v>155</v>
      </c>
      <c r="K10" s="110" t="s">
        <v>242</v>
      </c>
      <c r="L10" s="110" t="s">
        <v>245</v>
      </c>
      <c r="M10" s="2" t="s">
        <v>155</v>
      </c>
      <c r="N10" s="2" t="s">
        <v>155</v>
      </c>
      <c r="O10" s="2" t="s">
        <v>155</v>
      </c>
      <c r="P10" s="2" t="s">
        <v>155</v>
      </c>
      <c r="Q10" s="95">
        <v>18</v>
      </c>
      <c r="R10" s="57" t="s">
        <v>248</v>
      </c>
      <c r="S10" s="119">
        <v>45078</v>
      </c>
      <c r="T10" s="85">
        <v>274.8</v>
      </c>
      <c r="U10" s="85">
        <v>404.25</v>
      </c>
      <c r="V10" s="85">
        <f t="shared" si="0"/>
        <v>161.70000000000002</v>
      </c>
      <c r="W10" s="85">
        <f t="shared" si="1"/>
        <v>565.95000000000005</v>
      </c>
      <c r="X10" s="85">
        <f t="shared" si="2"/>
        <v>667.82100000000003</v>
      </c>
      <c r="Y10" s="157">
        <v>550</v>
      </c>
    </row>
    <row r="11" spans="2:25" ht="35.25" customHeight="1" thickTop="1" thickBot="1" x14ac:dyDescent="0.3">
      <c r="B11" s="167" t="s">
        <v>238</v>
      </c>
      <c r="C11" s="139">
        <v>7</v>
      </c>
      <c r="D11" s="142" t="s">
        <v>266</v>
      </c>
      <c r="E11" s="139" t="s">
        <v>252</v>
      </c>
      <c r="F11" s="139" t="s">
        <v>257</v>
      </c>
      <c r="G11" s="139">
        <v>276738</v>
      </c>
      <c r="H11" s="139" t="s">
        <v>155</v>
      </c>
      <c r="I11" s="139" t="s">
        <v>155</v>
      </c>
      <c r="J11" s="139" t="s">
        <v>155</v>
      </c>
      <c r="K11" s="139" t="s">
        <v>156</v>
      </c>
      <c r="L11" s="139" t="s">
        <v>264</v>
      </c>
      <c r="M11" s="139" t="s">
        <v>155</v>
      </c>
      <c r="N11" s="139" t="s">
        <v>155</v>
      </c>
      <c r="O11" s="139" t="s">
        <v>155</v>
      </c>
      <c r="P11" s="139" t="s">
        <v>155</v>
      </c>
      <c r="Q11" s="146">
        <v>1</v>
      </c>
      <c r="R11" s="139" t="s">
        <v>248</v>
      </c>
      <c r="S11" s="147">
        <v>44287</v>
      </c>
      <c r="T11" s="148">
        <v>1037.4490719999999</v>
      </c>
      <c r="U11" s="148">
        <v>1396.6152483287669</v>
      </c>
      <c r="V11" s="148">
        <f t="shared" ref="V11" si="5">U11*$V$3</f>
        <v>558.64609933150678</v>
      </c>
      <c r="W11" s="148">
        <f t="shared" ref="W11:W12" si="6">U11+V11</f>
        <v>1955.2613476602737</v>
      </c>
      <c r="X11" s="148">
        <f t="shared" ref="X11:X12" si="7">W11*1.18</f>
        <v>2307.2083902391228</v>
      </c>
      <c r="Y11" s="170"/>
    </row>
    <row r="12" spans="2:25" ht="35.25" customHeight="1" thickTop="1" thickBot="1" x14ac:dyDescent="0.3">
      <c r="B12" s="162" t="s">
        <v>238</v>
      </c>
      <c r="C12" s="154">
        <v>8</v>
      </c>
      <c r="D12" s="142" t="s">
        <v>267</v>
      </c>
      <c r="E12" s="152" t="s">
        <v>253</v>
      </c>
      <c r="F12" s="152" t="s">
        <v>258</v>
      </c>
      <c r="G12" s="152">
        <v>276739</v>
      </c>
      <c r="H12" s="152" t="s">
        <v>261</v>
      </c>
      <c r="I12" s="152" t="s">
        <v>155</v>
      </c>
      <c r="J12" s="152" t="s">
        <v>155</v>
      </c>
      <c r="K12" s="152" t="s">
        <v>156</v>
      </c>
      <c r="L12" s="152" t="s">
        <v>264</v>
      </c>
      <c r="M12" s="152" t="s">
        <v>155</v>
      </c>
      <c r="N12" s="152" t="s">
        <v>155</v>
      </c>
      <c r="O12" s="152" t="s">
        <v>155</v>
      </c>
      <c r="P12" s="152" t="s">
        <v>155</v>
      </c>
      <c r="Q12" s="154">
        <v>1</v>
      </c>
      <c r="R12" s="152" t="s">
        <v>248</v>
      </c>
      <c r="S12" s="155">
        <v>44287</v>
      </c>
      <c r="T12" s="132">
        <v>1183.209192</v>
      </c>
      <c r="U12" s="132">
        <v>1592.837705589041</v>
      </c>
      <c r="V12" s="132">
        <f>U12*$V$3</f>
        <v>637.13508223561644</v>
      </c>
      <c r="W12" s="132">
        <f t="shared" si="6"/>
        <v>2229.9727878246576</v>
      </c>
      <c r="X12" s="132">
        <f t="shared" si="7"/>
        <v>2631.3678896330957</v>
      </c>
      <c r="Y12" s="170"/>
    </row>
    <row r="13" spans="2:25" ht="35.25" customHeight="1" thickTop="1" x14ac:dyDescent="0.25">
      <c r="B13" s="164" t="s">
        <v>235</v>
      </c>
      <c r="C13" s="138">
        <v>9</v>
      </c>
      <c r="D13" s="72" t="s">
        <v>247</v>
      </c>
      <c r="E13" s="138" t="s">
        <v>237</v>
      </c>
      <c r="F13" s="138" t="s">
        <v>270</v>
      </c>
      <c r="G13" s="138"/>
      <c r="H13" s="138" t="s">
        <v>155</v>
      </c>
      <c r="I13" s="138" t="s">
        <v>155</v>
      </c>
      <c r="J13" s="138" t="s">
        <v>155</v>
      </c>
      <c r="K13" s="138" t="s">
        <v>246</v>
      </c>
      <c r="L13" s="138" t="s">
        <v>155</v>
      </c>
      <c r="M13" s="138" t="s">
        <v>155</v>
      </c>
      <c r="N13" s="138" t="s">
        <v>155</v>
      </c>
      <c r="O13" s="138" t="s">
        <v>155</v>
      </c>
      <c r="P13" s="138" t="s">
        <v>155</v>
      </c>
      <c r="Q13" s="143">
        <v>10</v>
      </c>
      <c r="R13" s="138" t="s">
        <v>248</v>
      </c>
      <c r="S13" s="144">
        <v>43678</v>
      </c>
      <c r="T13" s="145">
        <v>239.50849580728769</v>
      </c>
      <c r="U13" s="145">
        <v>345.40865492683719</v>
      </c>
      <c r="V13" s="145">
        <f t="shared" si="0"/>
        <v>138.16346197073489</v>
      </c>
      <c r="W13" s="145">
        <f t="shared" si="1"/>
        <v>483.57211689757207</v>
      </c>
      <c r="X13" s="145">
        <f t="shared" si="2"/>
        <v>570.61509793913501</v>
      </c>
      <c r="Y13" s="168"/>
    </row>
    <row r="14" spans="2:25" ht="35.25" customHeight="1" thickBot="1" x14ac:dyDescent="0.3">
      <c r="B14" s="151" t="s">
        <v>272</v>
      </c>
      <c r="C14" s="95">
        <v>10</v>
      </c>
      <c r="D14" s="93" t="s">
        <v>268</v>
      </c>
      <c r="E14" s="57" t="s">
        <v>237</v>
      </c>
      <c r="F14" s="57" t="s">
        <v>270</v>
      </c>
      <c r="G14" s="57"/>
      <c r="H14" s="57" t="s">
        <v>155</v>
      </c>
      <c r="I14" s="57" t="s">
        <v>155</v>
      </c>
      <c r="J14" s="57" t="s">
        <v>155</v>
      </c>
      <c r="K14" s="57" t="s">
        <v>246</v>
      </c>
      <c r="L14" s="57" t="s">
        <v>155</v>
      </c>
      <c r="M14" s="57" t="s">
        <v>155</v>
      </c>
      <c r="N14" s="57" t="s">
        <v>155</v>
      </c>
      <c r="O14" s="57" t="s">
        <v>155</v>
      </c>
      <c r="P14" s="57" t="s">
        <v>155</v>
      </c>
      <c r="Q14" s="95">
        <v>15</v>
      </c>
      <c r="R14" s="57" t="s">
        <v>248</v>
      </c>
      <c r="S14" s="119">
        <v>44440</v>
      </c>
      <c r="T14" s="85">
        <v>275.15199999999999</v>
      </c>
      <c r="U14" s="85">
        <v>425.67678431372548</v>
      </c>
      <c r="V14" s="85">
        <f t="shared" ref="V14:V17" si="8">U14*$V$3</f>
        <v>170.2707137254902</v>
      </c>
      <c r="W14" s="85">
        <f t="shared" ref="W14:W17" si="9">U14+V14</f>
        <v>595.9474980392157</v>
      </c>
      <c r="X14" s="85">
        <f t="shared" ref="X14:X17" si="10">W14*1.18</f>
        <v>703.21804768627453</v>
      </c>
      <c r="Y14" s="171"/>
    </row>
    <row r="15" spans="2:25" ht="35.25" customHeight="1" thickTop="1" thickBot="1" x14ac:dyDescent="0.3">
      <c r="B15" s="162" t="s">
        <v>371</v>
      </c>
      <c r="C15" s="154">
        <v>11</v>
      </c>
      <c r="D15" s="142" t="s">
        <v>372</v>
      </c>
      <c r="E15" s="152" t="s">
        <v>373</v>
      </c>
      <c r="F15" s="152" t="s">
        <v>374</v>
      </c>
      <c r="G15" s="152"/>
      <c r="H15" s="152"/>
      <c r="I15" s="152"/>
      <c r="J15" s="152"/>
      <c r="K15" s="152" t="s">
        <v>246</v>
      </c>
      <c r="L15" s="152" t="s">
        <v>155</v>
      </c>
      <c r="M15" s="152" t="s">
        <v>155</v>
      </c>
      <c r="N15" s="152" t="s">
        <v>155</v>
      </c>
      <c r="O15" s="152" t="s">
        <v>155</v>
      </c>
      <c r="P15" s="152" t="s">
        <v>155</v>
      </c>
      <c r="Q15" s="154">
        <v>15</v>
      </c>
      <c r="R15" s="152" t="s">
        <v>248</v>
      </c>
      <c r="S15" s="155">
        <v>45078</v>
      </c>
      <c r="T15" s="132">
        <v>283.05</v>
      </c>
      <c r="U15" s="132">
        <v>416.39</v>
      </c>
      <c r="V15" s="132">
        <f t="shared" si="8"/>
        <v>166.55600000000001</v>
      </c>
      <c r="W15" s="132">
        <f t="shared" si="9"/>
        <v>582.94600000000003</v>
      </c>
      <c r="X15" s="132">
        <f t="shared" si="10"/>
        <v>687.87627999999995</v>
      </c>
      <c r="Y15" s="173">
        <v>880</v>
      </c>
    </row>
    <row r="16" spans="2:25" ht="35.25" customHeight="1" thickTop="1" x14ac:dyDescent="0.25">
      <c r="B16" s="164" t="s">
        <v>238</v>
      </c>
      <c r="C16" s="138">
        <v>12</v>
      </c>
      <c r="D16" s="72" t="s">
        <v>265</v>
      </c>
      <c r="E16" s="138" t="s">
        <v>251</v>
      </c>
      <c r="F16" s="138" t="s">
        <v>256</v>
      </c>
      <c r="G16" s="138">
        <v>276737</v>
      </c>
      <c r="H16" s="138" t="s">
        <v>261</v>
      </c>
      <c r="I16" s="138" t="s">
        <v>155</v>
      </c>
      <c r="J16" s="138" t="s">
        <v>155</v>
      </c>
      <c r="K16" s="138" t="s">
        <v>156</v>
      </c>
      <c r="L16" s="138" t="s">
        <v>264</v>
      </c>
      <c r="M16" s="138" t="s">
        <v>155</v>
      </c>
      <c r="N16" s="138" t="s">
        <v>155</v>
      </c>
      <c r="O16" s="138" t="s">
        <v>155</v>
      </c>
      <c r="P16" s="138" t="s">
        <v>155</v>
      </c>
      <c r="Q16" s="143">
        <v>1</v>
      </c>
      <c r="R16" s="138" t="s">
        <v>248</v>
      </c>
      <c r="S16" s="144">
        <v>44287</v>
      </c>
      <c r="T16" s="145">
        <v>2894.9</v>
      </c>
      <c r="U16" s="145">
        <v>3897.12</v>
      </c>
      <c r="V16" s="145">
        <f t="shared" si="8"/>
        <v>1558.848</v>
      </c>
      <c r="W16" s="145">
        <f t="shared" si="9"/>
        <v>5455.9679999999998</v>
      </c>
      <c r="X16" s="145">
        <f t="shared" si="10"/>
        <v>6438.0422399999998</v>
      </c>
      <c r="Y16" s="168"/>
    </row>
    <row r="17" spans="2:25" ht="35.25" customHeight="1" thickBot="1" x14ac:dyDescent="0.3">
      <c r="B17" s="151" t="s">
        <v>271</v>
      </c>
      <c r="C17" s="95">
        <v>13</v>
      </c>
      <c r="D17" s="93" t="s">
        <v>265</v>
      </c>
      <c r="E17" s="57" t="s">
        <v>251</v>
      </c>
      <c r="F17" s="57" t="s">
        <v>256</v>
      </c>
      <c r="G17" s="57"/>
      <c r="H17" s="57" t="s">
        <v>261</v>
      </c>
      <c r="I17" s="57" t="s">
        <v>155</v>
      </c>
      <c r="J17" s="57" t="s">
        <v>155</v>
      </c>
      <c r="K17" s="57" t="s">
        <v>156</v>
      </c>
      <c r="L17" s="57" t="s">
        <v>264</v>
      </c>
      <c r="M17" s="57" t="s">
        <v>155</v>
      </c>
      <c r="N17" s="57" t="s">
        <v>155</v>
      </c>
      <c r="O17" s="57" t="s">
        <v>155</v>
      </c>
      <c r="P17" s="57" t="s">
        <v>155</v>
      </c>
      <c r="Q17" s="95">
        <v>2</v>
      </c>
      <c r="R17" s="57" t="s">
        <v>248</v>
      </c>
      <c r="S17" s="119">
        <v>44593</v>
      </c>
      <c r="T17" s="85">
        <v>2754</v>
      </c>
      <c r="U17" s="85">
        <v>4184.4985976178041</v>
      </c>
      <c r="V17" s="85">
        <f t="shared" si="8"/>
        <v>1673.7994390471217</v>
      </c>
      <c r="W17" s="85">
        <f t="shared" si="9"/>
        <v>5858.2980366649263</v>
      </c>
      <c r="X17" s="85">
        <f t="shared" si="10"/>
        <v>6912.7916832646124</v>
      </c>
      <c r="Y17" s="172"/>
    </row>
    <row r="18" spans="2:25" ht="35.25" customHeight="1" thickTop="1" thickBot="1" x14ac:dyDescent="0.3">
      <c r="B18" s="167" t="s">
        <v>238</v>
      </c>
      <c r="C18" s="139">
        <v>14</v>
      </c>
      <c r="D18" s="142" t="s">
        <v>262</v>
      </c>
      <c r="E18" s="139" t="s">
        <v>249</v>
      </c>
      <c r="F18" s="139" t="s">
        <v>254</v>
      </c>
      <c r="G18" s="139">
        <v>276735</v>
      </c>
      <c r="H18" s="139" t="s">
        <v>261</v>
      </c>
      <c r="I18" s="139" t="s">
        <v>155</v>
      </c>
      <c r="J18" s="139" t="s">
        <v>155</v>
      </c>
      <c r="K18" s="139" t="s">
        <v>260</v>
      </c>
      <c r="L18" s="139" t="s">
        <v>263</v>
      </c>
      <c r="M18" s="139" t="s">
        <v>155</v>
      </c>
      <c r="N18" s="139" t="s">
        <v>155</v>
      </c>
      <c r="O18" s="139" t="s">
        <v>155</v>
      </c>
      <c r="P18" s="139" t="s">
        <v>155</v>
      </c>
      <c r="Q18" s="146">
        <v>1</v>
      </c>
      <c r="R18" s="139" t="s">
        <v>248</v>
      </c>
      <c r="S18" s="147">
        <v>44287</v>
      </c>
      <c r="T18" s="148">
        <v>7360.8190320000003</v>
      </c>
      <c r="U18" s="148">
        <v>9909.1438584657553</v>
      </c>
      <c r="V18" s="148">
        <f t="shared" si="0"/>
        <v>3963.6575433863022</v>
      </c>
      <c r="W18" s="148">
        <f t="shared" si="1"/>
        <v>13872.801401852057</v>
      </c>
      <c r="X18" s="148">
        <f t="shared" si="2"/>
        <v>16369.905654185426</v>
      </c>
      <c r="Y18" s="170"/>
    </row>
    <row r="19" spans="2:25" ht="35.25" customHeight="1" thickTop="1" thickBot="1" x14ac:dyDescent="0.3">
      <c r="B19" s="162" t="s">
        <v>238</v>
      </c>
      <c r="C19" s="154">
        <v>15</v>
      </c>
      <c r="D19" s="142" t="s">
        <v>211</v>
      </c>
      <c r="E19" s="152" t="s">
        <v>250</v>
      </c>
      <c r="F19" s="152" t="s">
        <v>255</v>
      </c>
      <c r="G19" s="152">
        <v>276736</v>
      </c>
      <c r="H19" s="152" t="s">
        <v>155</v>
      </c>
      <c r="I19" s="152" t="s">
        <v>155</v>
      </c>
      <c r="J19" s="152" t="s">
        <v>155</v>
      </c>
      <c r="K19" s="152" t="s">
        <v>156</v>
      </c>
      <c r="L19" s="152" t="s">
        <v>263</v>
      </c>
      <c r="M19" s="152" t="s">
        <v>155</v>
      </c>
      <c r="N19" s="152" t="s">
        <v>155</v>
      </c>
      <c r="O19" s="152" t="s">
        <v>155</v>
      </c>
      <c r="P19" s="152" t="s">
        <v>155</v>
      </c>
      <c r="Q19" s="154">
        <v>1</v>
      </c>
      <c r="R19" s="152" t="s">
        <v>248</v>
      </c>
      <c r="S19" s="155">
        <v>44287</v>
      </c>
      <c r="T19" s="132">
        <v>6343.0246319999997</v>
      </c>
      <c r="U19" s="132">
        <v>8538.9877543561634</v>
      </c>
      <c r="V19" s="132">
        <f t="shared" si="0"/>
        <v>3415.5951017424654</v>
      </c>
      <c r="W19" s="132">
        <f t="shared" si="1"/>
        <v>11954.582856098628</v>
      </c>
      <c r="X19" s="132">
        <f>W19*1.18</f>
        <v>14106.407770196382</v>
      </c>
      <c r="Y19" s="170"/>
    </row>
    <row r="20" spans="2:25" ht="29.25" customHeight="1" thickTop="1" thickBot="1" x14ac:dyDescent="0.3">
      <c r="B20" s="162" t="s">
        <v>371</v>
      </c>
      <c r="C20" s="154">
        <v>16</v>
      </c>
      <c r="D20" s="153" t="s">
        <v>394</v>
      </c>
      <c r="E20" s="154" t="s">
        <v>375</v>
      </c>
      <c r="F20" s="154" t="s">
        <v>393</v>
      </c>
      <c r="G20" s="154">
        <v>284236</v>
      </c>
      <c r="H20" s="152" t="s">
        <v>155</v>
      </c>
      <c r="I20" s="152" t="s">
        <v>155</v>
      </c>
      <c r="J20" s="152" t="s">
        <v>155</v>
      </c>
      <c r="K20" s="140" t="s">
        <v>395</v>
      </c>
      <c r="L20" s="140" t="s">
        <v>155</v>
      </c>
      <c r="M20" s="152" t="s">
        <v>155</v>
      </c>
      <c r="N20" s="152" t="s">
        <v>155</v>
      </c>
      <c r="O20" s="152" t="s">
        <v>155</v>
      </c>
      <c r="P20" s="152" t="s">
        <v>155</v>
      </c>
      <c r="Q20" s="154">
        <v>1</v>
      </c>
      <c r="R20" s="154" t="s">
        <v>248</v>
      </c>
      <c r="S20" s="147">
        <v>45078</v>
      </c>
      <c r="T20" s="132">
        <v>3860.61</v>
      </c>
      <c r="U20" s="154">
        <v>5679.26</v>
      </c>
      <c r="V20" s="154">
        <f t="shared" si="0"/>
        <v>2271.7040000000002</v>
      </c>
      <c r="W20" s="154">
        <f t="shared" si="1"/>
        <v>7950.9639999999999</v>
      </c>
      <c r="X20" s="132">
        <f t="shared" ref="X20" si="11">W20*1.18</f>
        <v>9382.1375200000002</v>
      </c>
      <c r="Y20" s="173">
        <v>7300</v>
      </c>
    </row>
    <row r="21" spans="2:25" ht="69" customHeight="1" thickTop="1" thickBot="1" x14ac:dyDescent="0.3">
      <c r="B21" s="162" t="s">
        <v>371</v>
      </c>
      <c r="C21" s="154">
        <v>17</v>
      </c>
      <c r="D21" s="153" t="s">
        <v>397</v>
      </c>
      <c r="E21" s="163" t="s">
        <v>396</v>
      </c>
      <c r="F21" s="154" t="s">
        <v>398</v>
      </c>
      <c r="G21" s="154">
        <v>284237</v>
      </c>
      <c r="H21" s="152" t="s">
        <v>155</v>
      </c>
      <c r="I21" s="152" t="s">
        <v>155</v>
      </c>
      <c r="J21" s="152" t="s">
        <v>155</v>
      </c>
      <c r="K21" s="154" t="s">
        <v>395</v>
      </c>
      <c r="L21" s="161" t="s">
        <v>155</v>
      </c>
      <c r="M21" s="152" t="s">
        <v>155</v>
      </c>
      <c r="N21" s="152" t="s">
        <v>155</v>
      </c>
      <c r="O21" s="152" t="s">
        <v>155</v>
      </c>
      <c r="P21" s="152" t="s">
        <v>155</v>
      </c>
      <c r="Q21" s="154">
        <v>1</v>
      </c>
      <c r="R21" s="154" t="s">
        <v>248</v>
      </c>
      <c r="S21" s="147">
        <v>45078</v>
      </c>
      <c r="T21" s="161">
        <v>3922.8664000000003</v>
      </c>
      <c r="U21" s="154">
        <v>5770.8541097960779</v>
      </c>
      <c r="V21" s="154">
        <f t="shared" si="0"/>
        <v>2308.3416439184311</v>
      </c>
      <c r="W21" s="154">
        <f t="shared" ref="W21" si="12">U21+V21</f>
        <v>8079.195753714509</v>
      </c>
      <c r="X21" s="132">
        <f t="shared" ref="X21" si="13">W21*1.18</f>
        <v>9533.45098938312</v>
      </c>
      <c r="Y21" s="156">
        <v>7450</v>
      </c>
    </row>
    <row r="22" spans="2:25" ht="13" thickTop="1" x14ac:dyDescent="0.25"/>
  </sheetData>
  <mergeCells count="1">
    <mergeCell ref="B2:X2"/>
  </mergeCells>
  <conditionalFormatting sqref="X5:X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{8FA7301E-E32F-49DD-91E3-B8A86DE0B226}</x14:id>
        </ext>
      </extLst>
    </cfRule>
  </conditionalFormatting>
  <conditionalFormatting sqref="X8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{4D8E6F0C-34EF-4FC2-BFF3-2111831737C3}</x14:id>
        </ext>
      </extLst>
    </cfRule>
  </conditionalFormatting>
  <conditionalFormatting sqref="X9:X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{6E00F4DB-AB3C-4DC7-9DB6-A320094EAF90}</x14:id>
        </ext>
      </extLst>
    </cfRule>
  </conditionalFormatting>
  <conditionalFormatting sqref="X11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{00F21BBA-E03D-4FC6-A5A9-1E994DCDD289}</x14:id>
        </ext>
      </extLst>
    </cfRule>
  </conditionalFormatting>
  <conditionalFormatting sqref="X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{3BC1FB72-A16C-4781-AC69-537A6D8D5340}</x14:id>
        </ext>
      </extLst>
    </cfRule>
  </conditionalFormatting>
  <conditionalFormatting sqref="X13:X1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{FFC53F23-45FB-4ECB-AE2B-DF051F672FE9}</x14:id>
        </ext>
      </extLst>
    </cfRule>
  </conditionalFormatting>
  <conditionalFormatting sqref="X16:X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{F601E555-F5EC-4B4D-B0D7-C23BC8689DC5}</x14:id>
        </ext>
      </extLst>
    </cfRule>
  </conditionalFormatting>
  <conditionalFormatting sqref="X18:X1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{CA7E70AE-596A-4DB0-B89F-8389FE9D24EB}</x14:id>
        </ext>
      </extLst>
    </cfRule>
  </conditionalFormatting>
  <conditionalFormatting sqref="X20:X2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{11B58318-DAF2-417B-A3DE-A505689E7CFA}</x14:id>
        </ext>
      </extLst>
    </cfRule>
  </conditionalFormatting>
  <pageMargins left="0.25" right="0.25" top="0.75" bottom="0.75" header="0.3" footer="0.3"/>
  <pageSetup paperSize="9" scale="4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7301E-E32F-49DD-91E3-B8A86DE0B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X5:X7</xm:sqref>
        </x14:conditionalFormatting>
        <x14:conditionalFormatting xmlns:xm="http://schemas.microsoft.com/office/excel/2006/main">
          <x14:cfRule type="dataBar" id="{4D8E6F0C-34EF-4FC2-BFF3-2111831737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X8</xm:sqref>
        </x14:conditionalFormatting>
        <x14:conditionalFormatting xmlns:xm="http://schemas.microsoft.com/office/excel/2006/main">
          <x14:cfRule type="dataBar" id="{6E00F4DB-AB3C-4DC7-9DB6-A320094EA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X9:X10</xm:sqref>
        </x14:conditionalFormatting>
        <x14:conditionalFormatting xmlns:xm="http://schemas.microsoft.com/office/excel/2006/main">
          <x14:cfRule type="dataBar" id="{00F21BBA-E03D-4FC6-A5A9-1E994DCDD2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X11</xm:sqref>
        </x14:conditionalFormatting>
        <x14:conditionalFormatting xmlns:xm="http://schemas.microsoft.com/office/excel/2006/main">
          <x14:cfRule type="dataBar" id="{3BC1FB72-A16C-4781-AC69-537A6D8D5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X12</xm:sqref>
        </x14:conditionalFormatting>
        <x14:conditionalFormatting xmlns:xm="http://schemas.microsoft.com/office/excel/2006/main">
          <x14:cfRule type="dataBar" id="{FFC53F23-45FB-4ECB-AE2B-DF051F672FE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X13:X15</xm:sqref>
        </x14:conditionalFormatting>
        <x14:conditionalFormatting xmlns:xm="http://schemas.microsoft.com/office/excel/2006/main">
          <x14:cfRule type="dataBar" id="{F601E555-F5EC-4B4D-B0D7-C23BC8689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X16:X17</xm:sqref>
        </x14:conditionalFormatting>
        <x14:conditionalFormatting xmlns:xm="http://schemas.microsoft.com/office/excel/2006/main">
          <x14:cfRule type="dataBar" id="{CA7E70AE-596A-4DB0-B89F-8389FE9D24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X18:X19</xm:sqref>
        </x14:conditionalFormatting>
        <x14:conditionalFormatting xmlns:xm="http://schemas.microsoft.com/office/excel/2006/main">
          <x14:cfRule type="dataBar" id="{11B58318-DAF2-417B-A3DE-A505689E7CF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X20:X21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  <pageSetUpPr fitToPage="1"/>
  </sheetPr>
  <dimension ref="B1:X19"/>
  <sheetViews>
    <sheetView topLeftCell="B1" workbookViewId="0">
      <selection activeCell="G1" sqref="G1"/>
    </sheetView>
  </sheetViews>
  <sheetFormatPr baseColWidth="10" defaultColWidth="11.453125" defaultRowHeight="12.5" x14ac:dyDescent="0.25"/>
  <cols>
    <col min="1" max="1" width="1.81640625" style="113" customWidth="1"/>
    <col min="2" max="2" width="21.453125" style="113" customWidth="1"/>
    <col min="3" max="3" width="7.6328125" style="113" customWidth="1"/>
    <col min="4" max="4" width="41.6328125" style="129" customWidth="1"/>
    <col min="5" max="5" width="15.453125" style="113" customWidth="1"/>
    <col min="6" max="6" width="21.453125" style="113" customWidth="1"/>
    <col min="7" max="9" width="11.453125" style="113"/>
    <col min="10" max="10" width="14.36328125" style="113" customWidth="1"/>
    <col min="11" max="15" width="11.453125" style="113"/>
    <col min="16" max="16" width="11.453125" style="113" bestFit="1" customWidth="1"/>
    <col min="17" max="17" width="7.81640625" style="113" customWidth="1"/>
    <col min="18" max="18" width="11.453125" style="113" bestFit="1" customWidth="1"/>
    <col min="19" max="23" width="12.453125" style="113" bestFit="1" customWidth="1"/>
    <col min="24" max="16384" width="11.453125" style="113"/>
  </cols>
  <sheetData>
    <row r="1" spans="2:24" ht="13" x14ac:dyDescent="0.25">
      <c r="B1" s="112" t="s">
        <v>341</v>
      </c>
      <c r="R1" s="34"/>
      <c r="W1" s="114">
        <v>44756</v>
      </c>
      <c r="X1" s="123"/>
    </row>
    <row r="2" spans="2:24" ht="18.75" customHeight="1" x14ac:dyDescent="0.25">
      <c r="B2" s="433" t="s">
        <v>273</v>
      </c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123"/>
    </row>
    <row r="3" spans="2:24" ht="13" x14ac:dyDescent="0.3">
      <c r="B3" s="112"/>
      <c r="C3" s="111" t="s">
        <v>234</v>
      </c>
      <c r="E3" s="111"/>
      <c r="R3" s="34"/>
      <c r="U3" s="115">
        <v>0.4</v>
      </c>
      <c r="X3" s="123"/>
    </row>
    <row r="4" spans="2:24" ht="39" x14ac:dyDescent="0.25">
      <c r="B4" s="27" t="s">
        <v>186</v>
      </c>
      <c r="C4" s="27" t="s">
        <v>0</v>
      </c>
      <c r="D4" s="27" t="s">
        <v>1</v>
      </c>
      <c r="E4" s="27" t="s">
        <v>2</v>
      </c>
      <c r="F4" s="27" t="s">
        <v>259</v>
      </c>
      <c r="G4" s="27" t="s">
        <v>240</v>
      </c>
      <c r="H4" s="27" t="s">
        <v>5</v>
      </c>
      <c r="I4" s="27" t="s">
        <v>6</v>
      </c>
      <c r="J4" s="27" t="s">
        <v>8</v>
      </c>
      <c r="K4" s="27" t="s">
        <v>11</v>
      </c>
      <c r="L4" s="27" t="s">
        <v>202</v>
      </c>
      <c r="M4" s="27" t="s">
        <v>9</v>
      </c>
      <c r="N4" s="130" t="s">
        <v>39</v>
      </c>
      <c r="O4" s="27" t="s">
        <v>7</v>
      </c>
      <c r="P4" s="27" t="s">
        <v>162</v>
      </c>
      <c r="Q4" s="27" t="s">
        <v>3</v>
      </c>
      <c r="R4" s="27" t="s">
        <v>163</v>
      </c>
      <c r="S4" s="27" t="s">
        <v>164</v>
      </c>
      <c r="T4" s="27" t="s">
        <v>165</v>
      </c>
      <c r="U4" s="27" t="s">
        <v>150</v>
      </c>
      <c r="V4" s="27" t="s">
        <v>151</v>
      </c>
      <c r="W4" s="27" t="s">
        <v>166</v>
      </c>
      <c r="X4" s="123"/>
    </row>
    <row r="5" spans="2:24" ht="40.5" customHeight="1" x14ac:dyDescent="0.25">
      <c r="B5" s="133" t="s">
        <v>280</v>
      </c>
      <c r="C5" s="36">
        <v>1</v>
      </c>
      <c r="D5" s="137" t="s">
        <v>286</v>
      </c>
      <c r="E5" s="36" t="s">
        <v>274</v>
      </c>
      <c r="F5" s="2" t="s">
        <v>277</v>
      </c>
      <c r="G5" s="36" t="s">
        <v>155</v>
      </c>
      <c r="H5" s="36" t="s">
        <v>155</v>
      </c>
      <c r="I5" s="36" t="s">
        <v>155</v>
      </c>
      <c r="J5" s="36" t="s">
        <v>275</v>
      </c>
      <c r="K5" s="36" t="s">
        <v>155</v>
      </c>
      <c r="L5" s="36" t="s">
        <v>155</v>
      </c>
      <c r="M5" s="36" t="s">
        <v>155</v>
      </c>
      <c r="N5" s="36" t="s">
        <v>155</v>
      </c>
      <c r="O5" s="36" t="s">
        <v>155</v>
      </c>
      <c r="P5" s="134">
        <v>5</v>
      </c>
      <c r="Q5" s="36" t="s">
        <v>279</v>
      </c>
      <c r="R5" s="135">
        <v>43952</v>
      </c>
      <c r="S5" s="136">
        <v>999.69499999999994</v>
      </c>
      <c r="T5" s="25">
        <v>1472.0557449730775</v>
      </c>
      <c r="U5" s="136">
        <f t="shared" ref="U5" si="0">T5*$U$3</f>
        <v>588.82229798923106</v>
      </c>
      <c r="V5" s="136">
        <f t="shared" ref="V5" si="1">T5+U5</f>
        <v>2060.8780429623084</v>
      </c>
      <c r="W5" s="136">
        <f t="shared" ref="W5" si="2">V5*1.18</f>
        <v>2431.836090695524</v>
      </c>
      <c r="X5" s="123"/>
    </row>
    <row r="6" spans="2:24" ht="25" customHeight="1" thickBot="1" x14ac:dyDescent="0.3">
      <c r="B6" s="121" t="s">
        <v>276</v>
      </c>
      <c r="C6" s="95">
        <v>2</v>
      </c>
      <c r="D6" s="93" t="s">
        <v>278</v>
      </c>
      <c r="E6" s="57" t="s">
        <v>274</v>
      </c>
      <c r="F6" s="57" t="s">
        <v>277</v>
      </c>
      <c r="G6" s="57" t="s">
        <v>155</v>
      </c>
      <c r="H6" s="57" t="s">
        <v>155</v>
      </c>
      <c r="I6" s="57" t="s">
        <v>155</v>
      </c>
      <c r="J6" s="57" t="s">
        <v>275</v>
      </c>
      <c r="K6" s="57" t="s">
        <v>155</v>
      </c>
      <c r="L6" s="57" t="s">
        <v>155</v>
      </c>
      <c r="M6" s="57" t="s">
        <v>155</v>
      </c>
      <c r="N6" s="57" t="s">
        <v>155</v>
      </c>
      <c r="O6" s="57" t="s">
        <v>155</v>
      </c>
      <c r="P6" s="95">
        <v>6</v>
      </c>
      <c r="Q6" s="57" t="s">
        <v>279</v>
      </c>
      <c r="R6" s="119">
        <v>44657</v>
      </c>
      <c r="S6" s="85">
        <v>948</v>
      </c>
      <c r="T6" s="85">
        <v>1489.4960372922578</v>
      </c>
      <c r="U6" s="85">
        <f>T6*$U$3</f>
        <v>595.7984149169032</v>
      </c>
      <c r="V6" s="85">
        <f>T6+U6</f>
        <v>2085.2944522091611</v>
      </c>
      <c r="W6" s="85">
        <f>V6*1.18</f>
        <v>2460.6474536068099</v>
      </c>
      <c r="X6" s="123"/>
    </row>
    <row r="7" spans="2:24" ht="40.5" customHeight="1" thickTop="1" x14ac:dyDescent="0.25">
      <c r="B7" s="133" t="s">
        <v>298</v>
      </c>
      <c r="C7" s="36">
        <v>3</v>
      </c>
      <c r="D7" s="137" t="s">
        <v>315</v>
      </c>
      <c r="E7" s="36" t="s">
        <v>284</v>
      </c>
      <c r="F7" s="2" t="s">
        <v>293</v>
      </c>
      <c r="G7" s="36" t="s">
        <v>155</v>
      </c>
      <c r="H7" s="36" t="s">
        <v>155</v>
      </c>
      <c r="I7" s="36" t="s">
        <v>155</v>
      </c>
      <c r="J7" s="36" t="s">
        <v>308</v>
      </c>
      <c r="K7" s="36" t="s">
        <v>155</v>
      </c>
      <c r="L7" s="36" t="s">
        <v>155</v>
      </c>
      <c r="M7" s="36" t="s">
        <v>155</v>
      </c>
      <c r="N7" s="36" t="s">
        <v>155</v>
      </c>
      <c r="O7" s="36" t="s">
        <v>155</v>
      </c>
      <c r="P7" s="134">
        <v>5</v>
      </c>
      <c r="Q7" s="36" t="s">
        <v>279</v>
      </c>
      <c r="R7" s="135">
        <v>42675</v>
      </c>
      <c r="S7" s="136">
        <v>392.00599199999999</v>
      </c>
      <c r="T7" s="25">
        <v>560.1365582377457</v>
      </c>
      <c r="U7" s="136">
        <f t="shared" ref="U7" si="3">T7*$U$3</f>
        <v>224.05462329509828</v>
      </c>
      <c r="V7" s="136">
        <f t="shared" ref="V7" si="4">T7+U7</f>
        <v>784.19118153284398</v>
      </c>
      <c r="W7" s="136">
        <f t="shared" ref="W7" si="5">V7*1.18</f>
        <v>925.34559420875587</v>
      </c>
      <c r="X7" s="123"/>
    </row>
    <row r="8" spans="2:24" ht="25" customHeight="1" thickBot="1" x14ac:dyDescent="0.3">
      <c r="B8" s="118" t="s">
        <v>280</v>
      </c>
      <c r="C8" s="95">
        <v>4</v>
      </c>
      <c r="D8" s="93" t="s">
        <v>285</v>
      </c>
      <c r="E8" s="57" t="s">
        <v>284</v>
      </c>
      <c r="F8" s="57" t="s">
        <v>282</v>
      </c>
      <c r="G8" s="57" t="s">
        <v>155</v>
      </c>
      <c r="H8" s="57" t="s">
        <v>155</v>
      </c>
      <c r="I8" s="57" t="s">
        <v>155</v>
      </c>
      <c r="J8" s="57" t="s">
        <v>275</v>
      </c>
      <c r="K8" s="57" t="s">
        <v>155</v>
      </c>
      <c r="L8" s="57" t="s">
        <v>155</v>
      </c>
      <c r="M8" s="57" t="s">
        <v>155</v>
      </c>
      <c r="N8" s="57" t="s">
        <v>155</v>
      </c>
      <c r="O8" s="57" t="s">
        <v>155</v>
      </c>
      <c r="P8" s="95">
        <v>10</v>
      </c>
      <c r="Q8" s="57" t="s">
        <v>279</v>
      </c>
      <c r="R8" s="119">
        <v>43952</v>
      </c>
      <c r="S8" s="85">
        <f>426.075+131.1</f>
        <v>557.17499999999995</v>
      </c>
      <c r="T8" s="85">
        <v>847.82082511807801</v>
      </c>
      <c r="U8" s="85">
        <f t="shared" ref="U8:U9" si="6">T8*$U$3</f>
        <v>339.1283300472312</v>
      </c>
      <c r="V8" s="85">
        <f t="shared" ref="V8:V9" si="7">T8+U8</f>
        <v>1186.9491551653091</v>
      </c>
      <c r="W8" s="85">
        <f t="shared" ref="W8:W9" si="8">V8*1.18</f>
        <v>1400.6000030950647</v>
      </c>
      <c r="X8" s="123"/>
    </row>
    <row r="9" spans="2:24" ht="40.5" customHeight="1" thickTop="1" x14ac:dyDescent="0.25">
      <c r="B9" s="133" t="s">
        <v>298</v>
      </c>
      <c r="C9" s="36">
        <v>5</v>
      </c>
      <c r="D9" s="137" t="s">
        <v>312</v>
      </c>
      <c r="E9" s="36" t="s">
        <v>283</v>
      </c>
      <c r="F9" s="2" t="s">
        <v>290</v>
      </c>
      <c r="G9" s="36" t="s">
        <v>19</v>
      </c>
      <c r="H9" s="36" t="s">
        <v>155</v>
      </c>
      <c r="I9" s="36" t="s">
        <v>155</v>
      </c>
      <c r="J9" s="36" t="s">
        <v>308</v>
      </c>
      <c r="K9" s="36" t="s">
        <v>239</v>
      </c>
      <c r="L9" s="36" t="s">
        <v>155</v>
      </c>
      <c r="M9" s="36" t="s">
        <v>155</v>
      </c>
      <c r="N9" s="36" t="s">
        <v>155</v>
      </c>
      <c r="O9" s="36" t="s">
        <v>155</v>
      </c>
      <c r="P9" s="134">
        <v>10</v>
      </c>
      <c r="Q9" s="36" t="s">
        <v>279</v>
      </c>
      <c r="R9" s="135">
        <v>42675</v>
      </c>
      <c r="S9" s="136">
        <v>363.01731360000002</v>
      </c>
      <c r="T9" s="25">
        <v>518.71469510755946</v>
      </c>
      <c r="U9" s="136">
        <f t="shared" si="6"/>
        <v>207.4858780430238</v>
      </c>
      <c r="V9" s="136">
        <f t="shared" si="7"/>
        <v>726.2005731505833</v>
      </c>
      <c r="W9" s="136">
        <f t="shared" si="8"/>
        <v>856.91667631768826</v>
      </c>
      <c r="X9" s="123"/>
    </row>
    <row r="10" spans="2:24" ht="25" customHeight="1" thickBot="1" x14ac:dyDescent="0.3">
      <c r="B10" s="118" t="s">
        <v>280</v>
      </c>
      <c r="C10" s="95">
        <v>6</v>
      </c>
      <c r="D10" s="93" t="s">
        <v>312</v>
      </c>
      <c r="E10" s="57" t="s">
        <v>283</v>
      </c>
      <c r="F10" s="57" t="s">
        <v>281</v>
      </c>
      <c r="G10" s="57" t="s">
        <v>19</v>
      </c>
      <c r="H10" s="57" t="s">
        <v>155</v>
      </c>
      <c r="I10" s="57" t="s">
        <v>155</v>
      </c>
      <c r="J10" s="57" t="s">
        <v>275</v>
      </c>
      <c r="K10" s="57" t="s">
        <v>239</v>
      </c>
      <c r="L10" s="57" t="s">
        <v>155</v>
      </c>
      <c r="M10" s="57" t="s">
        <v>155</v>
      </c>
      <c r="N10" s="57" t="s">
        <v>155</v>
      </c>
      <c r="O10" s="57" t="s">
        <v>155</v>
      </c>
      <c r="P10" s="95">
        <v>10</v>
      </c>
      <c r="Q10" s="57" t="s">
        <v>279</v>
      </c>
      <c r="R10" s="119">
        <v>43952</v>
      </c>
      <c r="S10" s="85">
        <v>399.85499999999996</v>
      </c>
      <c r="T10" s="85">
        <v>564.05010819538313</v>
      </c>
      <c r="U10" s="85">
        <f t="shared" ref="U10:U15" si="9">T10*$U$3</f>
        <v>225.62004327815328</v>
      </c>
      <c r="V10" s="85">
        <f t="shared" ref="V10:V15" si="10">T10+U10</f>
        <v>789.67015147353641</v>
      </c>
      <c r="W10" s="85">
        <f t="shared" ref="W10:W15" si="11">V10*1.18</f>
        <v>931.81077873877291</v>
      </c>
      <c r="X10" s="123"/>
    </row>
    <row r="11" spans="2:24" ht="25" customHeight="1" thickTop="1" thickBot="1" x14ac:dyDescent="0.3">
      <c r="B11" s="118" t="s">
        <v>298</v>
      </c>
      <c r="C11" s="95">
        <v>7</v>
      </c>
      <c r="D11" s="93" t="s">
        <v>313</v>
      </c>
      <c r="E11" s="57" t="s">
        <v>302</v>
      </c>
      <c r="F11" s="57" t="s">
        <v>291</v>
      </c>
      <c r="G11" s="57" t="s">
        <v>155</v>
      </c>
      <c r="H11" s="57" t="s">
        <v>155</v>
      </c>
      <c r="I11" s="57" t="s">
        <v>155</v>
      </c>
      <c r="J11" s="57" t="s">
        <v>308</v>
      </c>
      <c r="K11" s="57" t="s">
        <v>155</v>
      </c>
      <c r="L11" s="57" t="s">
        <v>155</v>
      </c>
      <c r="M11" s="57" t="s">
        <v>155</v>
      </c>
      <c r="N11" s="57" t="s">
        <v>155</v>
      </c>
      <c r="O11" s="57" t="s">
        <v>155</v>
      </c>
      <c r="P11" s="95">
        <v>10</v>
      </c>
      <c r="Q11" s="57" t="s">
        <v>279</v>
      </c>
      <c r="R11" s="119">
        <v>42675</v>
      </c>
      <c r="S11" s="85">
        <v>231.58001039999999</v>
      </c>
      <c r="T11" s="85">
        <v>330.90420205137411</v>
      </c>
      <c r="U11" s="85">
        <f t="shared" ref="U11" si="12">T11*$U$3</f>
        <v>132.36168082054965</v>
      </c>
      <c r="V11" s="85">
        <f t="shared" ref="V11" si="13">T11+U11</f>
        <v>463.26588287192374</v>
      </c>
      <c r="W11" s="85">
        <f t="shared" ref="W11" si="14">V11*1.18</f>
        <v>546.65374178886998</v>
      </c>
      <c r="X11" s="123"/>
    </row>
    <row r="12" spans="2:24" ht="40.5" customHeight="1" thickTop="1" x14ac:dyDescent="0.25">
      <c r="B12" s="133" t="s">
        <v>298</v>
      </c>
      <c r="C12" s="36">
        <v>8</v>
      </c>
      <c r="D12" s="137" t="s">
        <v>309</v>
      </c>
      <c r="E12" s="36" t="s">
        <v>299</v>
      </c>
      <c r="F12" s="2" t="s">
        <v>287</v>
      </c>
      <c r="G12" s="36" t="s">
        <v>19</v>
      </c>
      <c r="H12" s="36" t="s">
        <v>155</v>
      </c>
      <c r="I12" s="36" t="s">
        <v>155</v>
      </c>
      <c r="J12" s="36" t="s">
        <v>308</v>
      </c>
      <c r="K12" s="36" t="s">
        <v>239</v>
      </c>
      <c r="L12" s="36" t="s">
        <v>155</v>
      </c>
      <c r="M12" s="36" t="s">
        <v>155</v>
      </c>
      <c r="N12" s="36" t="s">
        <v>155</v>
      </c>
      <c r="O12" s="36" t="s">
        <v>155</v>
      </c>
      <c r="P12" s="134">
        <v>5</v>
      </c>
      <c r="Q12" s="36" t="s">
        <v>279</v>
      </c>
      <c r="R12" s="135">
        <v>42675</v>
      </c>
      <c r="S12" s="136">
        <v>200.28541439999998</v>
      </c>
      <c r="T12" s="25">
        <v>286.18741799037764</v>
      </c>
      <c r="U12" s="136">
        <f t="shared" si="9"/>
        <v>114.47496719615106</v>
      </c>
      <c r="V12" s="136">
        <f t="shared" si="10"/>
        <v>400.6623851865287</v>
      </c>
      <c r="W12" s="136">
        <f t="shared" si="11"/>
        <v>472.78161452010386</v>
      </c>
      <c r="X12" s="123"/>
    </row>
    <row r="13" spans="2:24" ht="40.5" customHeight="1" x14ac:dyDescent="0.25">
      <c r="B13" s="133" t="s">
        <v>298</v>
      </c>
      <c r="C13" s="36">
        <v>9</v>
      </c>
      <c r="D13" s="137" t="s">
        <v>309</v>
      </c>
      <c r="E13" s="36" t="s">
        <v>300</v>
      </c>
      <c r="F13" s="2" t="s">
        <v>288</v>
      </c>
      <c r="G13" s="36" t="s">
        <v>19</v>
      </c>
      <c r="H13" s="36" t="s">
        <v>155</v>
      </c>
      <c r="I13" s="36" t="s">
        <v>155</v>
      </c>
      <c r="J13" s="36" t="s">
        <v>308</v>
      </c>
      <c r="K13" s="36" t="s">
        <v>310</v>
      </c>
      <c r="L13" s="36" t="s">
        <v>155</v>
      </c>
      <c r="M13" s="36" t="s">
        <v>155</v>
      </c>
      <c r="N13" s="36" t="s">
        <v>155</v>
      </c>
      <c r="O13" s="36" t="s">
        <v>155</v>
      </c>
      <c r="P13" s="134">
        <v>5</v>
      </c>
      <c r="Q13" s="36" t="s">
        <v>279</v>
      </c>
      <c r="R13" s="135">
        <v>42675</v>
      </c>
      <c r="S13" s="136">
        <v>262.8746064</v>
      </c>
      <c r="T13" s="25">
        <v>375.62098611237059</v>
      </c>
      <c r="U13" s="136">
        <f>T13*$U$3</f>
        <v>150.24839444494825</v>
      </c>
      <c r="V13" s="136">
        <f t="shared" si="10"/>
        <v>525.86938055731889</v>
      </c>
      <c r="W13" s="136">
        <f t="shared" si="11"/>
        <v>620.52586905763621</v>
      </c>
      <c r="X13" s="123"/>
    </row>
    <row r="14" spans="2:24" ht="40.5" customHeight="1" x14ac:dyDescent="0.25">
      <c r="B14" s="133" t="s">
        <v>298</v>
      </c>
      <c r="C14" s="36">
        <v>10</v>
      </c>
      <c r="D14" s="137" t="s">
        <v>311</v>
      </c>
      <c r="E14" s="36" t="s">
        <v>301</v>
      </c>
      <c r="F14" s="2" t="s">
        <v>289</v>
      </c>
      <c r="G14" s="36" t="s">
        <v>155</v>
      </c>
      <c r="H14" s="36" t="s">
        <v>155</v>
      </c>
      <c r="I14" s="36" t="s">
        <v>155</v>
      </c>
      <c r="J14" s="36" t="s">
        <v>308</v>
      </c>
      <c r="K14" s="36" t="s">
        <v>264</v>
      </c>
      <c r="L14" s="36" t="s">
        <v>155</v>
      </c>
      <c r="M14" s="36" t="s">
        <v>155</v>
      </c>
      <c r="N14" s="36" t="s">
        <v>155</v>
      </c>
      <c r="O14" s="36" t="s">
        <v>155</v>
      </c>
      <c r="P14" s="134">
        <v>5</v>
      </c>
      <c r="Q14" s="36" t="s">
        <v>279</v>
      </c>
      <c r="R14" s="135">
        <v>42675</v>
      </c>
      <c r="S14" s="136">
        <v>375.53515199999998</v>
      </c>
      <c r="T14" s="25">
        <v>536.60140873195803</v>
      </c>
      <c r="U14" s="136">
        <f t="shared" si="9"/>
        <v>214.64056349278323</v>
      </c>
      <c r="V14" s="136">
        <f t="shared" si="10"/>
        <v>751.24197222474129</v>
      </c>
      <c r="W14" s="136">
        <f t="shared" si="11"/>
        <v>886.46552722519471</v>
      </c>
      <c r="X14" s="123"/>
    </row>
    <row r="15" spans="2:24" ht="40.5" customHeight="1" x14ac:dyDescent="0.25">
      <c r="B15" s="133" t="s">
        <v>298</v>
      </c>
      <c r="C15" s="36">
        <v>11</v>
      </c>
      <c r="D15" s="137" t="s">
        <v>314</v>
      </c>
      <c r="E15" s="36" t="s">
        <v>303</v>
      </c>
      <c r="F15" s="2" t="s">
        <v>292</v>
      </c>
      <c r="G15" s="36" t="s">
        <v>155</v>
      </c>
      <c r="H15" s="36" t="s">
        <v>155</v>
      </c>
      <c r="I15" s="36" t="s">
        <v>155</v>
      </c>
      <c r="J15" s="36" t="s">
        <v>308</v>
      </c>
      <c r="K15" s="36" t="s">
        <v>264</v>
      </c>
      <c r="L15" s="36" t="s">
        <v>155</v>
      </c>
      <c r="M15" s="36" t="s">
        <v>155</v>
      </c>
      <c r="N15" s="36" t="s">
        <v>155</v>
      </c>
      <c r="O15" s="36" t="s">
        <v>155</v>
      </c>
      <c r="P15" s="134">
        <v>3</v>
      </c>
      <c r="Q15" s="36" t="s">
        <v>279</v>
      </c>
      <c r="R15" s="135">
        <v>42675</v>
      </c>
      <c r="S15" s="136">
        <v>715.93251199999997</v>
      </c>
      <c r="T15" s="25">
        <v>1022.9944985182359</v>
      </c>
      <c r="U15" s="136">
        <f t="shared" si="9"/>
        <v>409.19779940729438</v>
      </c>
      <c r="V15" s="136">
        <f t="shared" si="10"/>
        <v>1432.1922979255303</v>
      </c>
      <c r="W15" s="136">
        <f t="shared" si="11"/>
        <v>1689.9869115521255</v>
      </c>
      <c r="X15" s="123"/>
    </row>
    <row r="16" spans="2:24" ht="40.5" customHeight="1" x14ac:dyDescent="0.25">
      <c r="B16" s="133" t="s">
        <v>298</v>
      </c>
      <c r="C16" s="36">
        <v>12</v>
      </c>
      <c r="D16" s="137" t="s">
        <v>317</v>
      </c>
      <c r="E16" s="36" t="s">
        <v>305</v>
      </c>
      <c r="F16" s="2" t="s">
        <v>295</v>
      </c>
      <c r="G16" s="36" t="s">
        <v>155</v>
      </c>
      <c r="H16" s="36" t="s">
        <v>155</v>
      </c>
      <c r="I16" s="36" t="s">
        <v>155</v>
      </c>
      <c r="J16" s="36" t="s">
        <v>308</v>
      </c>
      <c r="K16" s="36" t="s">
        <v>264</v>
      </c>
      <c r="L16" s="36" t="s">
        <v>155</v>
      </c>
      <c r="M16" s="36" t="s">
        <v>155</v>
      </c>
      <c r="N16" s="36" t="s">
        <v>155</v>
      </c>
      <c r="O16" s="36" t="s">
        <v>155</v>
      </c>
      <c r="P16" s="134">
        <v>2</v>
      </c>
      <c r="Q16" s="36" t="s">
        <v>279</v>
      </c>
      <c r="R16" s="135">
        <v>42675</v>
      </c>
      <c r="S16" s="136">
        <v>657.18651599999998</v>
      </c>
      <c r="T16" s="25">
        <v>939.05246528092653</v>
      </c>
      <c r="U16" s="136">
        <f t="shared" ref="U16:U18" si="15">T16*$U$3</f>
        <v>375.62098611237064</v>
      </c>
      <c r="V16" s="136">
        <f t="shared" ref="V16:V18" si="16">T16+U16</f>
        <v>1314.6734513932972</v>
      </c>
      <c r="W16" s="136">
        <f t="shared" ref="W16:W19" si="17">V16*1.18</f>
        <v>1551.3146726440907</v>
      </c>
      <c r="X16" s="123"/>
    </row>
    <row r="17" spans="2:24" ht="40.5" customHeight="1" x14ac:dyDescent="0.25">
      <c r="B17" s="133" t="s">
        <v>298</v>
      </c>
      <c r="C17" s="36">
        <v>13</v>
      </c>
      <c r="D17" s="137" t="s">
        <v>317</v>
      </c>
      <c r="E17" s="36" t="s">
        <v>306</v>
      </c>
      <c r="F17" s="2" t="s">
        <v>296</v>
      </c>
      <c r="G17" s="36" t="s">
        <v>155</v>
      </c>
      <c r="H17" s="36" t="s">
        <v>155</v>
      </c>
      <c r="I17" s="36" t="s">
        <v>155</v>
      </c>
      <c r="J17" s="36" t="s">
        <v>209</v>
      </c>
      <c r="K17" s="36" t="s">
        <v>318</v>
      </c>
      <c r="L17" s="36" t="s">
        <v>155</v>
      </c>
      <c r="M17" s="36" t="s">
        <v>155</v>
      </c>
      <c r="N17" s="36" t="s">
        <v>155</v>
      </c>
      <c r="O17" s="36" t="s">
        <v>155</v>
      </c>
      <c r="P17" s="134">
        <v>2</v>
      </c>
      <c r="Q17" s="36" t="s">
        <v>279</v>
      </c>
      <c r="R17" s="135">
        <v>42675</v>
      </c>
      <c r="S17" s="136">
        <v>801.14165759999992</v>
      </c>
      <c r="T17" s="25">
        <v>1144.7496719615103</v>
      </c>
      <c r="U17" s="136">
        <f t="shared" si="15"/>
        <v>457.89986878460417</v>
      </c>
      <c r="V17" s="136">
        <f t="shared" si="16"/>
        <v>1602.6495407461146</v>
      </c>
      <c r="W17" s="136">
        <f t="shared" si="17"/>
        <v>1891.126458080415</v>
      </c>
      <c r="X17" s="123"/>
    </row>
    <row r="18" spans="2:24" ht="40.5" customHeight="1" x14ac:dyDescent="0.25">
      <c r="B18" s="133" t="s">
        <v>298</v>
      </c>
      <c r="C18" s="36">
        <v>14</v>
      </c>
      <c r="D18" s="137" t="s">
        <v>317</v>
      </c>
      <c r="E18" s="36" t="s">
        <v>307</v>
      </c>
      <c r="F18" s="2" t="s">
        <v>297</v>
      </c>
      <c r="G18" s="36" t="s">
        <v>155</v>
      </c>
      <c r="H18" s="36" t="s">
        <v>155</v>
      </c>
      <c r="I18" s="36" t="s">
        <v>155</v>
      </c>
      <c r="J18" s="36" t="s">
        <v>209</v>
      </c>
      <c r="K18" s="36" t="s">
        <v>319</v>
      </c>
      <c r="L18" s="36" t="s">
        <v>155</v>
      </c>
      <c r="M18" s="36" t="s">
        <v>155</v>
      </c>
      <c r="N18" s="36" t="s">
        <v>155</v>
      </c>
      <c r="O18" s="36" t="s">
        <v>155</v>
      </c>
      <c r="P18" s="134">
        <v>1</v>
      </c>
      <c r="Q18" s="36" t="s">
        <v>279</v>
      </c>
      <c r="R18" s="135">
        <v>42675</v>
      </c>
      <c r="S18" s="136">
        <v>2098.3850159999997</v>
      </c>
      <c r="T18" s="25">
        <v>2998.3780470373445</v>
      </c>
      <c r="U18" s="136">
        <f t="shared" si="15"/>
        <v>1199.3512188149377</v>
      </c>
      <c r="V18" s="136">
        <f t="shared" si="16"/>
        <v>4197.729265852282</v>
      </c>
      <c r="W18" s="136">
        <f t="shared" si="17"/>
        <v>4953.3205337056925</v>
      </c>
      <c r="X18" s="123"/>
    </row>
    <row r="19" spans="2:24" ht="40.5" customHeight="1" x14ac:dyDescent="0.25">
      <c r="B19" s="133" t="s">
        <v>298</v>
      </c>
      <c r="C19" s="36">
        <v>15</v>
      </c>
      <c r="D19" s="137" t="s">
        <v>316</v>
      </c>
      <c r="E19" s="36" t="s">
        <v>304</v>
      </c>
      <c r="F19" s="2" t="s">
        <v>294</v>
      </c>
      <c r="G19" s="36" t="s">
        <v>155</v>
      </c>
      <c r="H19" s="36" t="s">
        <v>155</v>
      </c>
      <c r="I19" s="36" t="s">
        <v>155</v>
      </c>
      <c r="J19" s="36" t="s">
        <v>308</v>
      </c>
      <c r="K19" s="36" t="s">
        <v>155</v>
      </c>
      <c r="L19" s="36" t="s">
        <v>155</v>
      </c>
      <c r="M19" s="36" t="s">
        <v>155</v>
      </c>
      <c r="N19" s="36" t="s">
        <v>155</v>
      </c>
      <c r="O19" s="36" t="s">
        <v>155</v>
      </c>
      <c r="P19" s="134">
        <v>2</v>
      </c>
      <c r="Q19" s="36" t="s">
        <v>279</v>
      </c>
      <c r="R19" s="135">
        <v>42675</v>
      </c>
      <c r="S19" s="136">
        <v>187.76757599999999</v>
      </c>
      <c r="T19" s="25">
        <v>268.30070436597902</v>
      </c>
      <c r="U19" s="136">
        <f t="shared" ref="U19" si="18">T19*$U$3</f>
        <v>107.32028174639161</v>
      </c>
      <c r="V19" s="136">
        <f t="shared" ref="V19" si="19">T19+U19</f>
        <v>375.62098611237064</v>
      </c>
      <c r="W19" s="136">
        <f t="shared" si="17"/>
        <v>443.23276361259735</v>
      </c>
      <c r="X19" s="123"/>
    </row>
  </sheetData>
  <mergeCells count="1">
    <mergeCell ref="B2:W2"/>
  </mergeCells>
  <pageMargins left="0.25" right="0.25" top="0.75" bottom="0.75" header="0.3" footer="0.3"/>
  <pageSetup paperSize="9" scale="4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  <pageSetUpPr fitToPage="1"/>
  </sheetPr>
  <dimension ref="B1:X7"/>
  <sheetViews>
    <sheetView topLeftCell="H1" workbookViewId="0">
      <selection activeCell="E13" sqref="E13"/>
    </sheetView>
  </sheetViews>
  <sheetFormatPr baseColWidth="10" defaultColWidth="11.453125" defaultRowHeight="12.5" x14ac:dyDescent="0.25"/>
  <cols>
    <col min="1" max="1" width="1.81640625" style="113" customWidth="1"/>
    <col min="2" max="2" width="21.453125" style="113" customWidth="1"/>
    <col min="3" max="3" width="7.6328125" style="113" customWidth="1"/>
    <col min="4" max="4" width="26.6328125" style="129" customWidth="1"/>
    <col min="5" max="9" width="11.453125" style="113"/>
    <col min="10" max="10" width="13.1796875" style="113" customWidth="1"/>
    <col min="11" max="15" width="11.453125" style="113"/>
    <col min="16" max="16" width="11.453125" style="113" bestFit="1" customWidth="1"/>
    <col min="17" max="17" width="11.453125" style="113"/>
    <col min="18" max="18" width="11.453125" style="113" bestFit="1" customWidth="1"/>
    <col min="19" max="23" width="12.453125" style="113" bestFit="1" customWidth="1"/>
    <col min="24" max="16384" width="11.453125" style="113"/>
  </cols>
  <sheetData>
    <row r="1" spans="2:24" ht="13" x14ac:dyDescent="0.25">
      <c r="B1" s="112" t="s">
        <v>341</v>
      </c>
      <c r="R1" s="34"/>
      <c r="W1" s="114">
        <v>44220</v>
      </c>
      <c r="X1" s="123"/>
    </row>
    <row r="2" spans="2:24" ht="13" x14ac:dyDescent="0.25">
      <c r="B2" s="433" t="s">
        <v>328</v>
      </c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123"/>
    </row>
    <row r="3" spans="2:24" ht="13" x14ac:dyDescent="0.3">
      <c r="B3" s="112"/>
      <c r="C3" s="111" t="s">
        <v>320</v>
      </c>
      <c r="E3" s="111"/>
      <c r="R3" s="34"/>
      <c r="U3" s="115">
        <v>0.4</v>
      </c>
      <c r="X3" s="123"/>
    </row>
    <row r="4" spans="2:24" ht="39" x14ac:dyDescent="0.25">
      <c r="B4" s="28" t="s">
        <v>186</v>
      </c>
      <c r="C4" s="28" t="s">
        <v>0</v>
      </c>
      <c r="D4" s="28" t="s">
        <v>1</v>
      </c>
      <c r="E4" s="28" t="s">
        <v>2</v>
      </c>
      <c r="F4" s="28" t="s">
        <v>38</v>
      </c>
      <c r="G4" s="28" t="s">
        <v>4</v>
      </c>
      <c r="H4" s="28" t="s">
        <v>5</v>
      </c>
      <c r="I4" s="28" t="s">
        <v>6</v>
      </c>
      <c r="J4" s="28" t="s">
        <v>8</v>
      </c>
      <c r="K4" s="28" t="s">
        <v>11</v>
      </c>
      <c r="L4" s="28" t="s">
        <v>202</v>
      </c>
      <c r="M4" s="28" t="s">
        <v>9</v>
      </c>
      <c r="N4" s="37" t="s">
        <v>39</v>
      </c>
      <c r="O4" s="28" t="s">
        <v>7</v>
      </c>
      <c r="P4" s="28" t="s">
        <v>162</v>
      </c>
      <c r="Q4" s="28" t="s">
        <v>3</v>
      </c>
      <c r="R4" s="28" t="s">
        <v>163</v>
      </c>
      <c r="S4" s="28" t="s">
        <v>164</v>
      </c>
      <c r="T4" s="28" t="s">
        <v>165</v>
      </c>
      <c r="U4" s="28" t="s">
        <v>150</v>
      </c>
      <c r="V4" s="28" t="s">
        <v>151</v>
      </c>
      <c r="W4" s="28" t="s">
        <v>166</v>
      </c>
      <c r="X4" s="123"/>
    </row>
    <row r="5" spans="2:24" ht="25" x14ac:dyDescent="0.25">
      <c r="B5" s="116" t="s">
        <v>327</v>
      </c>
      <c r="C5" s="2">
        <v>1</v>
      </c>
      <c r="D5" s="26" t="s">
        <v>321</v>
      </c>
      <c r="E5" s="2" t="s">
        <v>322</v>
      </c>
      <c r="F5" s="15" t="s">
        <v>214</v>
      </c>
      <c r="G5" s="15" t="s">
        <v>14</v>
      </c>
      <c r="H5" s="15" t="s">
        <v>326</v>
      </c>
      <c r="I5" s="15" t="s">
        <v>325</v>
      </c>
      <c r="J5" s="2" t="s">
        <v>154</v>
      </c>
      <c r="K5" s="2" t="s">
        <v>23</v>
      </c>
      <c r="L5" s="15" t="s">
        <v>155</v>
      </c>
      <c r="M5" s="15" t="s">
        <v>155</v>
      </c>
      <c r="N5" s="15" t="s">
        <v>155</v>
      </c>
      <c r="O5" s="15" t="s">
        <v>16</v>
      </c>
      <c r="P5" s="1">
        <v>2</v>
      </c>
      <c r="Q5" s="15" t="s">
        <v>324</v>
      </c>
      <c r="R5" s="117">
        <v>44287</v>
      </c>
      <c r="S5" s="24">
        <v>10263.83</v>
      </c>
      <c r="T5" s="24">
        <v>13909.682638839988</v>
      </c>
      <c r="U5" s="131">
        <f t="shared" ref="U5:U6" si="0">T5*$U$3</f>
        <v>5563.8730555359953</v>
      </c>
      <c r="V5" s="24">
        <f t="shared" ref="V5" si="1">T5+U5</f>
        <v>19473.555694375984</v>
      </c>
      <c r="W5" s="24">
        <f t="shared" ref="W5" si="2">V5*1.18</f>
        <v>22978.795719363661</v>
      </c>
      <c r="X5" s="123"/>
    </row>
    <row r="6" spans="2:24" ht="25.5" thickBot="1" x14ac:dyDescent="0.3">
      <c r="B6" s="118" t="s">
        <v>327</v>
      </c>
      <c r="C6" s="57">
        <v>2</v>
      </c>
      <c r="D6" s="93" t="s">
        <v>321</v>
      </c>
      <c r="E6" s="57" t="s">
        <v>323</v>
      </c>
      <c r="F6" s="57" t="s">
        <v>214</v>
      </c>
      <c r="G6" s="57" t="s">
        <v>14</v>
      </c>
      <c r="H6" s="57" t="s">
        <v>326</v>
      </c>
      <c r="I6" s="57" t="s">
        <v>325</v>
      </c>
      <c r="J6" s="57" t="s">
        <v>154</v>
      </c>
      <c r="K6" s="57" t="s">
        <v>179</v>
      </c>
      <c r="L6" s="57" t="s">
        <v>155</v>
      </c>
      <c r="M6" s="57" t="s">
        <v>155</v>
      </c>
      <c r="N6" s="57" t="s">
        <v>155</v>
      </c>
      <c r="O6" s="95" t="s">
        <v>16</v>
      </c>
      <c r="P6" s="95">
        <v>3</v>
      </c>
      <c r="Q6" s="57" t="s">
        <v>324</v>
      </c>
      <c r="R6" s="117">
        <v>44287</v>
      </c>
      <c r="S6" s="85">
        <v>9971.33</v>
      </c>
      <c r="T6" s="85">
        <v>13513.282642750739</v>
      </c>
      <c r="U6" s="85">
        <f t="shared" si="0"/>
        <v>5405.3130571002957</v>
      </c>
      <c r="V6" s="85">
        <f>T6+U6</f>
        <v>18918.595699851034</v>
      </c>
      <c r="W6" s="85">
        <f>V6*1.18</f>
        <v>22323.94292582422</v>
      </c>
      <c r="X6" s="123"/>
    </row>
    <row r="7" spans="2:24" ht="13" thickTop="1" x14ac:dyDescent="0.25"/>
  </sheetData>
  <mergeCells count="1">
    <mergeCell ref="B2:W2"/>
  </mergeCells>
  <pageMargins left="0.25" right="0.25" top="0.75" bottom="0.75" header="0.3" footer="0.3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24"/>
  <sheetViews>
    <sheetView workbookViewId="0">
      <selection activeCell="G6" sqref="G6"/>
    </sheetView>
  </sheetViews>
  <sheetFormatPr baseColWidth="10" defaultRowHeight="14.5" x14ac:dyDescent="0.35"/>
  <sheetData>
    <row r="2" spans="1:9" x14ac:dyDescent="0.35">
      <c r="C2" s="434" t="s">
        <v>157</v>
      </c>
      <c r="D2" s="434"/>
      <c r="E2" s="434"/>
      <c r="F2" s="434"/>
    </row>
    <row r="3" spans="1:9" x14ac:dyDescent="0.35">
      <c r="B3" s="106" t="s">
        <v>159</v>
      </c>
      <c r="C3" s="106">
        <v>0.4</v>
      </c>
      <c r="D3" s="107">
        <v>2.5000000000000001E-2</v>
      </c>
      <c r="E3" s="106">
        <v>0.2</v>
      </c>
      <c r="F3" s="103" t="s">
        <v>160</v>
      </c>
      <c r="G3" s="102" t="s">
        <v>161</v>
      </c>
    </row>
    <row r="4" spans="1:9" x14ac:dyDescent="0.35">
      <c r="A4">
        <v>180</v>
      </c>
      <c r="B4" s="24">
        <v>14446</v>
      </c>
      <c r="C4" s="24">
        <f>B4*0.6</f>
        <v>8667.6</v>
      </c>
      <c r="D4" s="24">
        <f>C4*0.975</f>
        <v>8450.91</v>
      </c>
      <c r="E4" s="24">
        <f>D4*0.8</f>
        <v>6760.7280000000001</v>
      </c>
      <c r="F4" s="109">
        <f>E4*1%</f>
        <v>67.607280000000003</v>
      </c>
      <c r="G4" s="24">
        <f>E4+F4</f>
        <v>6828.3352800000002</v>
      </c>
    </row>
    <row r="5" spans="1:9" x14ac:dyDescent="0.35">
      <c r="A5">
        <v>240</v>
      </c>
      <c r="B5" s="24">
        <v>20922</v>
      </c>
      <c r="C5" s="24">
        <f>B5*0.6</f>
        <v>12553.199999999999</v>
      </c>
      <c r="D5" s="24">
        <f>C5*0.975</f>
        <v>12239.369999999999</v>
      </c>
      <c r="E5" s="24">
        <f>D5*0.8</f>
        <v>9791.4959999999992</v>
      </c>
      <c r="F5" s="109">
        <f>E5*1%</f>
        <v>97.914959999999994</v>
      </c>
      <c r="G5" s="24">
        <f>E5+F5</f>
        <v>9889.4109599999992</v>
      </c>
    </row>
    <row r="6" spans="1:9" x14ac:dyDescent="0.35">
      <c r="A6">
        <v>280</v>
      </c>
      <c r="B6" s="24">
        <v>22753</v>
      </c>
      <c r="C6" s="24">
        <f>B6*0.6</f>
        <v>13651.8</v>
      </c>
      <c r="D6" s="24">
        <f>C6*0.975</f>
        <v>13310.504999999999</v>
      </c>
      <c r="E6" s="24">
        <f>D6*0.8</f>
        <v>10648.404</v>
      </c>
      <c r="F6" s="109">
        <f>E6*1%</f>
        <v>106.48404000000001</v>
      </c>
      <c r="G6" s="24">
        <f>E6+F6</f>
        <v>10754.88804</v>
      </c>
    </row>
    <row r="7" spans="1:9" x14ac:dyDescent="0.35">
      <c r="B7" s="102"/>
      <c r="C7" s="102"/>
      <c r="D7" s="102"/>
      <c r="E7" s="102"/>
      <c r="F7" s="108"/>
      <c r="G7" s="102"/>
    </row>
    <row r="13" spans="1:9" x14ac:dyDescent="0.35">
      <c r="C13" s="435" t="s">
        <v>158</v>
      </c>
      <c r="D13" s="435"/>
      <c r="E13" s="435"/>
      <c r="F13" s="435"/>
    </row>
    <row r="14" spans="1:9" x14ac:dyDescent="0.35">
      <c r="B14" s="106" t="s">
        <v>159</v>
      </c>
      <c r="C14" s="103">
        <v>0.4</v>
      </c>
      <c r="D14" s="104">
        <v>2.5000000000000001E-2</v>
      </c>
      <c r="E14" s="103">
        <v>0.15</v>
      </c>
      <c r="F14" s="103" t="s">
        <v>160</v>
      </c>
      <c r="G14" s="103" t="s">
        <v>161</v>
      </c>
    </row>
    <row r="15" spans="1:9" x14ac:dyDescent="0.35">
      <c r="B15" s="24">
        <v>19615</v>
      </c>
      <c r="C15" s="24">
        <f>B15*0.6</f>
        <v>11769</v>
      </c>
      <c r="D15" s="24">
        <f>C15*0.975</f>
        <v>11474.775</v>
      </c>
      <c r="E15" s="24">
        <f>D15*0.85</f>
        <v>9753.5587500000001</v>
      </c>
      <c r="F15" s="109">
        <f>E15*1%</f>
        <v>97.535587500000005</v>
      </c>
      <c r="G15" s="24">
        <f>E15+F15</f>
        <v>9851.0943375000006</v>
      </c>
      <c r="I15" s="105">
        <f>100-15</f>
        <v>85</v>
      </c>
    </row>
    <row r="16" spans="1:9" x14ac:dyDescent="0.35">
      <c r="B16" s="24">
        <v>18841</v>
      </c>
      <c r="C16" s="24">
        <f>B16*0.6</f>
        <v>11304.6</v>
      </c>
      <c r="D16" s="24">
        <f>C16*0.975</f>
        <v>11021.985000000001</v>
      </c>
      <c r="E16" s="24">
        <f>D16*0.85</f>
        <v>9368.6872500000009</v>
      </c>
      <c r="F16" s="109">
        <f>E16*1%</f>
        <v>93.686872500000007</v>
      </c>
      <c r="G16" s="24">
        <f>E16+F16</f>
        <v>9462.3741225000012</v>
      </c>
    </row>
    <row r="17" spans="2:7" x14ac:dyDescent="0.35">
      <c r="B17" s="24"/>
      <c r="C17" s="24"/>
      <c r="D17" s="24"/>
      <c r="E17" s="24"/>
      <c r="F17" s="24"/>
      <c r="G17" s="24"/>
    </row>
    <row r="18" spans="2:7" x14ac:dyDescent="0.35">
      <c r="B18" s="24"/>
      <c r="C18" s="24"/>
      <c r="D18" s="24"/>
      <c r="E18" s="24"/>
      <c r="F18" s="24"/>
      <c r="G18" s="24"/>
    </row>
    <row r="19" spans="2:7" x14ac:dyDescent="0.35">
      <c r="B19" s="24"/>
      <c r="C19" s="24"/>
      <c r="D19" s="24"/>
      <c r="E19" s="24"/>
      <c r="F19" s="24"/>
      <c r="G19" s="24"/>
    </row>
    <row r="23" spans="2:7" x14ac:dyDescent="0.35">
      <c r="E23" s="91"/>
    </row>
    <row r="24" spans="2:7" x14ac:dyDescent="0.35">
      <c r="E24" s="91"/>
    </row>
  </sheetData>
  <mergeCells count="2">
    <mergeCell ref="C2:F2"/>
    <mergeCell ref="C13:F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pageSetUpPr fitToPage="1"/>
  </sheetPr>
  <dimension ref="B1:Y76"/>
  <sheetViews>
    <sheetView zoomScale="95" zoomScaleNormal="95" workbookViewId="0">
      <pane xSplit="5" ySplit="3" topLeftCell="F16" activePane="bottomRight" state="frozen"/>
      <selection pane="topRight" activeCell="E1" sqref="E1"/>
      <selection pane="bottomLeft" activeCell="A4" sqref="A4"/>
      <selection pane="bottomRight" activeCell="D80" sqref="D80"/>
    </sheetView>
  </sheetViews>
  <sheetFormatPr baseColWidth="10" defaultRowHeight="15" customHeight="1" x14ac:dyDescent="0.35"/>
  <cols>
    <col min="1" max="1" width="3" customWidth="1"/>
    <col min="2" max="2" width="19.453125" style="4" customWidth="1"/>
    <col min="3" max="3" width="7.6328125" customWidth="1"/>
    <col min="4" max="4" width="19.6328125" customWidth="1"/>
    <col min="5" max="5" width="18.81640625" customWidth="1"/>
    <col min="6" max="6" width="18.1796875" customWidth="1"/>
    <col min="7" max="7" width="9.1796875" customWidth="1"/>
    <col min="9" max="9" width="19.1796875" customWidth="1"/>
    <col min="16" max="16" width="12.81640625" customWidth="1"/>
    <col min="18" max="18" width="12.6328125" customWidth="1"/>
    <col min="19" max="19" width="11.453125" style="6"/>
    <col min="21" max="21" width="11.6328125" customWidth="1"/>
    <col min="23" max="23" width="12" customWidth="1"/>
    <col min="24" max="24" width="12.36328125" customWidth="1"/>
  </cols>
  <sheetData>
    <row r="1" spans="2:24" ht="14.5" x14ac:dyDescent="0.35">
      <c r="B1" s="436" t="s">
        <v>35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8"/>
      <c r="S1" s="3">
        <v>44237</v>
      </c>
    </row>
    <row r="2" spans="2:24" ht="14.5" x14ac:dyDescent="0.35">
      <c r="C2" s="5" t="s">
        <v>36</v>
      </c>
      <c r="D2" s="5"/>
      <c r="E2" s="5"/>
      <c r="V2" s="89">
        <v>0.4</v>
      </c>
    </row>
    <row r="3" spans="2:24" ht="52" x14ac:dyDescent="0.35">
      <c r="C3" s="21" t="s">
        <v>0</v>
      </c>
      <c r="D3" s="22" t="s">
        <v>37</v>
      </c>
      <c r="E3" s="22" t="s">
        <v>2</v>
      </c>
      <c r="F3" s="22" t="s">
        <v>1</v>
      </c>
      <c r="G3" s="22" t="s">
        <v>38</v>
      </c>
      <c r="H3" s="22" t="s">
        <v>4</v>
      </c>
      <c r="I3" s="22" t="s">
        <v>5</v>
      </c>
      <c r="J3" s="22" t="s">
        <v>6</v>
      </c>
      <c r="K3" s="22" t="s">
        <v>8</v>
      </c>
      <c r="L3" s="22" t="s">
        <v>11</v>
      </c>
      <c r="M3" s="22" t="s">
        <v>10</v>
      </c>
      <c r="N3" s="21" t="s">
        <v>9</v>
      </c>
      <c r="O3" s="23" t="s">
        <v>39</v>
      </c>
      <c r="P3" s="22" t="s">
        <v>7</v>
      </c>
      <c r="Q3" s="22" t="s">
        <v>40</v>
      </c>
      <c r="R3" s="22" t="s">
        <v>3</v>
      </c>
      <c r="S3" s="21" t="s">
        <v>41</v>
      </c>
      <c r="T3" s="21" t="s">
        <v>42</v>
      </c>
      <c r="U3" s="21" t="s">
        <v>43</v>
      </c>
      <c r="V3" s="100" t="s">
        <v>150</v>
      </c>
      <c r="W3" s="100" t="s">
        <v>151</v>
      </c>
      <c r="X3" s="100" t="s">
        <v>152</v>
      </c>
    </row>
    <row r="4" spans="2:24" ht="25" x14ac:dyDescent="0.35">
      <c r="B4" s="13" t="s">
        <v>103</v>
      </c>
      <c r="C4" s="2">
        <v>1</v>
      </c>
      <c r="D4" s="26" t="s">
        <v>92</v>
      </c>
      <c r="E4" s="2" t="s">
        <v>86</v>
      </c>
      <c r="F4" s="11" t="s">
        <v>46</v>
      </c>
      <c r="G4" s="11" t="s">
        <v>47</v>
      </c>
      <c r="H4" s="2" t="s">
        <v>14</v>
      </c>
      <c r="I4" s="2" t="s">
        <v>49</v>
      </c>
      <c r="J4" s="2" t="s">
        <v>50</v>
      </c>
      <c r="K4" s="15" t="s">
        <v>51</v>
      </c>
      <c r="L4" s="2" t="s">
        <v>87</v>
      </c>
      <c r="M4" s="2" t="s">
        <v>19</v>
      </c>
      <c r="N4" s="2" t="s">
        <v>15</v>
      </c>
      <c r="O4" s="2" t="s">
        <v>16</v>
      </c>
      <c r="P4" s="2" t="s">
        <v>16</v>
      </c>
      <c r="Q4" s="16">
        <v>2</v>
      </c>
      <c r="R4" s="2" t="s">
        <v>12</v>
      </c>
      <c r="S4" s="12">
        <v>43891</v>
      </c>
      <c r="T4" s="25">
        <v>3941.3789999999999</v>
      </c>
      <c r="U4" s="24">
        <v>5339.8603590150469</v>
      </c>
      <c r="V4" s="24">
        <f>U4*$V$2</f>
        <v>2135.9441436060188</v>
      </c>
      <c r="W4" s="24">
        <f>U4+V4</f>
        <v>7475.8045026210657</v>
      </c>
      <c r="X4" s="24">
        <f>W4*1.18</f>
        <v>8821.4493130928568</v>
      </c>
    </row>
    <row r="5" spans="2:24" ht="25" x14ac:dyDescent="0.35">
      <c r="B5" s="13" t="s">
        <v>85</v>
      </c>
      <c r="C5" s="2">
        <v>2</v>
      </c>
      <c r="D5" s="2" t="s">
        <v>45</v>
      </c>
      <c r="E5" s="2" t="s">
        <v>86</v>
      </c>
      <c r="F5" s="11" t="s">
        <v>46</v>
      </c>
      <c r="G5" s="11" t="s">
        <v>47</v>
      </c>
      <c r="H5" s="2" t="s">
        <v>14</v>
      </c>
      <c r="I5" s="2" t="s">
        <v>49</v>
      </c>
      <c r="J5" s="2" t="s">
        <v>50</v>
      </c>
      <c r="K5" s="2" t="s">
        <v>51</v>
      </c>
      <c r="L5" s="2" t="s">
        <v>87</v>
      </c>
      <c r="M5" s="2" t="s">
        <v>19</v>
      </c>
      <c r="N5" s="2" t="s">
        <v>15</v>
      </c>
      <c r="O5" s="2" t="s">
        <v>16</v>
      </c>
      <c r="P5" s="2" t="s">
        <v>16</v>
      </c>
      <c r="Q5" s="1">
        <v>3</v>
      </c>
      <c r="R5" s="2" t="s">
        <v>12</v>
      </c>
      <c r="S5" s="12">
        <v>44470</v>
      </c>
      <c r="T5" s="24">
        <v>3889.5187499999997</v>
      </c>
      <c r="U5" s="24">
        <v>5214.2429435615995</v>
      </c>
      <c r="V5" s="24">
        <f t="shared" ref="V5:V18" si="0">U5*$V$2</f>
        <v>2085.6971774246399</v>
      </c>
      <c r="W5" s="24">
        <f t="shared" ref="W5:W18" si="1">U5+V5</f>
        <v>7299.940120986239</v>
      </c>
      <c r="X5" s="24">
        <f t="shared" ref="X5:X18" si="2">W5*1.18</f>
        <v>8613.9293427637622</v>
      </c>
    </row>
    <row r="6" spans="2:24" ht="25.5" thickBot="1" x14ac:dyDescent="0.4">
      <c r="B6" s="82" t="s">
        <v>135</v>
      </c>
      <c r="C6" s="57">
        <v>3</v>
      </c>
      <c r="D6" s="57" t="s">
        <v>134</v>
      </c>
      <c r="E6" s="57" t="s">
        <v>86</v>
      </c>
      <c r="F6" s="60" t="s">
        <v>46</v>
      </c>
      <c r="G6" s="60" t="s">
        <v>47</v>
      </c>
      <c r="H6" s="57" t="s">
        <v>14</v>
      </c>
      <c r="I6" s="57" t="s">
        <v>133</v>
      </c>
      <c r="J6" s="57" t="s">
        <v>50</v>
      </c>
      <c r="K6" s="57" t="s">
        <v>51</v>
      </c>
      <c r="L6" s="57" t="s">
        <v>87</v>
      </c>
      <c r="M6" s="57" t="s">
        <v>19</v>
      </c>
      <c r="N6" s="57" t="s">
        <v>15</v>
      </c>
      <c r="O6" s="57" t="s">
        <v>16</v>
      </c>
      <c r="P6" s="57" t="s">
        <v>16</v>
      </c>
      <c r="Q6" s="95"/>
      <c r="R6" s="57" t="s">
        <v>12</v>
      </c>
      <c r="S6" s="87"/>
      <c r="T6" s="85">
        <v>4528.338749999999</v>
      </c>
      <c r="U6" s="85">
        <f>T6*1.35</f>
        <v>6113.257312499999</v>
      </c>
      <c r="V6" s="85">
        <f t="shared" si="0"/>
        <v>2445.3029249999995</v>
      </c>
      <c r="W6" s="85">
        <f t="shared" si="1"/>
        <v>8558.560237499998</v>
      </c>
      <c r="X6" s="85">
        <f t="shared" si="2"/>
        <v>10099.101080249997</v>
      </c>
    </row>
    <row r="7" spans="2:24" ht="25.5" thickTop="1" x14ac:dyDescent="0.35">
      <c r="B7" s="13" t="s">
        <v>103</v>
      </c>
      <c r="C7" s="50">
        <v>4</v>
      </c>
      <c r="D7" s="51" t="s">
        <v>45</v>
      </c>
      <c r="E7" s="50" t="s">
        <v>48</v>
      </c>
      <c r="F7" s="52" t="s">
        <v>46</v>
      </c>
      <c r="G7" s="52" t="s">
        <v>47</v>
      </c>
      <c r="H7" s="50" t="s">
        <v>14</v>
      </c>
      <c r="I7" s="50" t="s">
        <v>49</v>
      </c>
      <c r="J7" s="50" t="s">
        <v>50</v>
      </c>
      <c r="K7" s="50" t="s">
        <v>102</v>
      </c>
      <c r="L7" s="50" t="s">
        <v>89</v>
      </c>
      <c r="M7" s="50" t="s">
        <v>19</v>
      </c>
      <c r="N7" s="50" t="s">
        <v>15</v>
      </c>
      <c r="O7" s="50" t="s">
        <v>16</v>
      </c>
      <c r="P7" s="50" t="s">
        <v>16</v>
      </c>
      <c r="Q7" s="53">
        <v>2</v>
      </c>
      <c r="R7" s="50" t="s">
        <v>12</v>
      </c>
      <c r="S7" s="54">
        <v>43891</v>
      </c>
      <c r="T7" s="55">
        <v>4796.7893999999997</v>
      </c>
      <c r="U7" s="55">
        <v>6498.7877510900498</v>
      </c>
      <c r="V7" s="55">
        <f t="shared" si="0"/>
        <v>2599.51510043602</v>
      </c>
      <c r="W7" s="55">
        <f t="shared" si="1"/>
        <v>9098.3028515260703</v>
      </c>
      <c r="X7" s="55">
        <f t="shared" si="2"/>
        <v>10735.997364800762</v>
      </c>
    </row>
    <row r="8" spans="2:24" ht="25" x14ac:dyDescent="0.35">
      <c r="B8" s="13" t="s">
        <v>95</v>
      </c>
      <c r="C8" s="2">
        <v>5</v>
      </c>
      <c r="D8" s="2" t="s">
        <v>92</v>
      </c>
      <c r="E8" s="2" t="s">
        <v>48</v>
      </c>
      <c r="F8" s="11" t="s">
        <v>46</v>
      </c>
      <c r="G8" s="11" t="s">
        <v>47</v>
      </c>
      <c r="H8" s="2" t="s">
        <v>14</v>
      </c>
      <c r="I8" s="2" t="s">
        <v>49</v>
      </c>
      <c r="J8" s="2" t="s">
        <v>50</v>
      </c>
      <c r="K8" s="2" t="s">
        <v>51</v>
      </c>
      <c r="L8" s="2" t="s">
        <v>89</v>
      </c>
      <c r="M8" s="2" t="s">
        <v>19</v>
      </c>
      <c r="N8" s="2" t="s">
        <v>15</v>
      </c>
      <c r="O8" s="2" t="s">
        <v>16</v>
      </c>
      <c r="P8" s="2" t="s">
        <v>16</v>
      </c>
      <c r="Q8" s="1">
        <v>8</v>
      </c>
      <c r="R8" s="2" t="s">
        <v>12</v>
      </c>
      <c r="S8" s="12">
        <v>43952</v>
      </c>
      <c r="T8" s="24">
        <v>4629.32</v>
      </c>
      <c r="U8" s="24">
        <v>6361.7696974984374</v>
      </c>
      <c r="V8" s="24">
        <f t="shared" si="0"/>
        <v>2544.7078789993752</v>
      </c>
      <c r="W8" s="24">
        <f t="shared" si="1"/>
        <v>8906.4775764978131</v>
      </c>
      <c r="X8" s="24">
        <f t="shared" si="2"/>
        <v>10509.64354026742</v>
      </c>
    </row>
    <row r="9" spans="2:24" ht="25" x14ac:dyDescent="0.35">
      <c r="B9" s="13" t="s">
        <v>85</v>
      </c>
      <c r="C9" s="2">
        <v>6</v>
      </c>
      <c r="D9" s="2" t="s">
        <v>92</v>
      </c>
      <c r="E9" s="2" t="s">
        <v>48</v>
      </c>
      <c r="F9" s="11" t="s">
        <v>46</v>
      </c>
      <c r="G9" s="11" t="s">
        <v>47</v>
      </c>
      <c r="H9" s="2" t="s">
        <v>14</v>
      </c>
      <c r="I9" s="2" t="s">
        <v>49</v>
      </c>
      <c r="J9" s="2" t="s">
        <v>50</v>
      </c>
      <c r="K9" s="2" t="s">
        <v>51</v>
      </c>
      <c r="L9" s="2" t="s">
        <v>89</v>
      </c>
      <c r="M9" s="2" t="s">
        <v>19</v>
      </c>
      <c r="N9" s="2" t="s">
        <v>15</v>
      </c>
      <c r="O9" s="2" t="s">
        <v>16</v>
      </c>
      <c r="P9" s="2" t="s">
        <v>16</v>
      </c>
      <c r="Q9" s="1">
        <v>3</v>
      </c>
      <c r="R9" s="2" t="s">
        <v>12</v>
      </c>
      <c r="S9" s="12">
        <v>44105</v>
      </c>
      <c r="T9" s="24">
        <v>4733.6737499999999</v>
      </c>
      <c r="U9" s="24">
        <v>6345.9071763210477</v>
      </c>
      <c r="V9" s="24">
        <f>U9*$V$2</f>
        <v>2538.3628705284191</v>
      </c>
      <c r="W9" s="24">
        <f t="shared" si="1"/>
        <v>8884.2700468494659</v>
      </c>
      <c r="X9" s="24">
        <f t="shared" si="2"/>
        <v>10483.438655282369</v>
      </c>
    </row>
    <row r="10" spans="2:24" ht="25" x14ac:dyDescent="0.35">
      <c r="B10" s="13" t="s">
        <v>44</v>
      </c>
      <c r="C10" s="2">
        <v>7</v>
      </c>
      <c r="D10" s="2" t="s">
        <v>45</v>
      </c>
      <c r="E10" s="2" t="s">
        <v>48</v>
      </c>
      <c r="F10" s="11" t="s">
        <v>46</v>
      </c>
      <c r="G10" s="11" t="s">
        <v>47</v>
      </c>
      <c r="H10" s="2" t="s">
        <v>14</v>
      </c>
      <c r="I10" s="2" t="s">
        <v>49</v>
      </c>
      <c r="J10" s="2" t="s">
        <v>50</v>
      </c>
      <c r="K10" s="2" t="s">
        <v>51</v>
      </c>
      <c r="L10" s="2" t="s">
        <v>23</v>
      </c>
      <c r="M10" s="2" t="s">
        <v>19</v>
      </c>
      <c r="N10" s="2" t="s">
        <v>15</v>
      </c>
      <c r="O10" s="2" t="s">
        <v>16</v>
      </c>
      <c r="P10" s="2" t="s">
        <v>16</v>
      </c>
      <c r="Q10" s="1">
        <v>4</v>
      </c>
      <c r="R10" s="2" t="s">
        <v>12</v>
      </c>
      <c r="S10" s="12">
        <v>44197</v>
      </c>
      <c r="T10" s="24">
        <v>4197.1907250000004</v>
      </c>
      <c r="U10" s="24">
        <v>5669.7044709083475</v>
      </c>
      <c r="V10" s="24">
        <f t="shared" si="0"/>
        <v>2267.8817883633392</v>
      </c>
      <c r="W10" s="24">
        <f t="shared" si="1"/>
        <v>7937.5862592716867</v>
      </c>
      <c r="X10" s="24">
        <f t="shared" si="2"/>
        <v>9366.3517859405893</v>
      </c>
    </row>
    <row r="11" spans="2:24" ht="25.5" thickBot="1" x14ac:dyDescent="0.4">
      <c r="B11" s="82" t="s">
        <v>135</v>
      </c>
      <c r="C11" s="57">
        <v>8</v>
      </c>
      <c r="D11" s="57" t="s">
        <v>134</v>
      </c>
      <c r="E11" s="57" t="s">
        <v>48</v>
      </c>
      <c r="F11" s="60" t="s">
        <v>46</v>
      </c>
      <c r="G11" s="60" t="s">
        <v>47</v>
      </c>
      <c r="H11" s="57" t="s">
        <v>14</v>
      </c>
      <c r="I11" s="57" t="s">
        <v>136</v>
      </c>
      <c r="J11" s="57" t="s">
        <v>50</v>
      </c>
      <c r="K11" s="57" t="s">
        <v>51</v>
      </c>
      <c r="L11" s="57" t="s">
        <v>23</v>
      </c>
      <c r="M11" s="57" t="s">
        <v>19</v>
      </c>
      <c r="N11" s="57" t="s">
        <v>15</v>
      </c>
      <c r="O11" s="57" t="s">
        <v>16</v>
      </c>
      <c r="P11" s="57" t="s">
        <v>16</v>
      </c>
      <c r="Q11" s="95"/>
      <c r="R11" s="57" t="s">
        <v>12</v>
      </c>
      <c r="S11" s="87"/>
      <c r="T11" s="85">
        <v>5405.4</v>
      </c>
      <c r="U11" s="85">
        <f>T11*1.35</f>
        <v>7297.29</v>
      </c>
      <c r="V11" s="85">
        <f t="shared" si="0"/>
        <v>2918.9160000000002</v>
      </c>
      <c r="W11" s="85">
        <f t="shared" si="1"/>
        <v>10216.206</v>
      </c>
      <c r="X11" s="85">
        <f t="shared" si="2"/>
        <v>12055.123079999999</v>
      </c>
    </row>
    <row r="12" spans="2:24" ht="25.5" thickTop="1" x14ac:dyDescent="0.35">
      <c r="B12" s="13" t="s">
        <v>103</v>
      </c>
      <c r="C12" s="50">
        <v>9</v>
      </c>
      <c r="D12" s="51" t="s">
        <v>101</v>
      </c>
      <c r="E12" s="50" t="s">
        <v>29</v>
      </c>
      <c r="F12" s="52" t="s">
        <v>46</v>
      </c>
      <c r="G12" s="52" t="s">
        <v>47</v>
      </c>
      <c r="H12" s="50" t="s">
        <v>14</v>
      </c>
      <c r="I12" s="50" t="s">
        <v>49</v>
      </c>
      <c r="J12" s="50" t="s">
        <v>104</v>
      </c>
      <c r="K12" s="50" t="s">
        <v>102</v>
      </c>
      <c r="L12" s="50" t="s">
        <v>30</v>
      </c>
      <c r="M12" s="50" t="s">
        <v>19</v>
      </c>
      <c r="N12" s="50" t="s">
        <v>15</v>
      </c>
      <c r="O12" s="50" t="s">
        <v>16</v>
      </c>
      <c r="P12" s="50" t="s">
        <v>16</v>
      </c>
      <c r="Q12" s="53">
        <v>1</v>
      </c>
      <c r="R12" s="50" t="s">
        <v>12</v>
      </c>
      <c r="S12" s="54">
        <v>43891</v>
      </c>
      <c r="T12" s="55">
        <v>7277.6574000000001</v>
      </c>
      <c r="U12" s="55">
        <v>9859.9181293533293</v>
      </c>
      <c r="V12" s="55">
        <f t="shared" si="0"/>
        <v>3943.9672517413319</v>
      </c>
      <c r="W12" s="55">
        <f t="shared" si="1"/>
        <v>13803.88538109466</v>
      </c>
      <c r="X12" s="55">
        <f t="shared" si="2"/>
        <v>16288.584749691698</v>
      </c>
    </row>
    <row r="13" spans="2:24" ht="25" x14ac:dyDescent="0.35">
      <c r="B13" s="13" t="s">
        <v>95</v>
      </c>
      <c r="C13" s="2">
        <v>10</v>
      </c>
      <c r="D13" s="2" t="s">
        <v>94</v>
      </c>
      <c r="E13" s="2" t="s">
        <v>29</v>
      </c>
      <c r="F13" s="11" t="s">
        <v>46</v>
      </c>
      <c r="G13" s="11" t="s">
        <v>47</v>
      </c>
      <c r="H13" s="2" t="s">
        <v>14</v>
      </c>
      <c r="I13" s="2" t="s">
        <v>49</v>
      </c>
      <c r="J13" s="2" t="s">
        <v>53</v>
      </c>
      <c r="K13" s="2" t="s">
        <v>96</v>
      </c>
      <c r="L13" s="2" t="s">
        <v>30</v>
      </c>
      <c r="M13" s="2" t="s">
        <v>19</v>
      </c>
      <c r="N13" s="2" t="s">
        <v>15</v>
      </c>
      <c r="O13" s="2" t="s">
        <v>16</v>
      </c>
      <c r="P13" s="2" t="s">
        <v>16</v>
      </c>
      <c r="Q13" s="1">
        <v>1</v>
      </c>
      <c r="R13" s="2" t="s">
        <v>12</v>
      </c>
      <c r="S13" s="12">
        <v>43952</v>
      </c>
      <c r="T13" s="24">
        <v>7110.89</v>
      </c>
      <c r="U13" s="24">
        <v>9772.0279704675122</v>
      </c>
      <c r="V13" s="24">
        <f t="shared" si="0"/>
        <v>3908.811188187005</v>
      </c>
      <c r="W13" s="24">
        <f t="shared" si="1"/>
        <v>13680.839158654517</v>
      </c>
      <c r="X13" s="24">
        <f t="shared" si="2"/>
        <v>16143.390207212329</v>
      </c>
    </row>
    <row r="14" spans="2:24" ht="25" x14ac:dyDescent="0.35">
      <c r="B14" s="13" t="s">
        <v>44</v>
      </c>
      <c r="C14" s="2">
        <v>11</v>
      </c>
      <c r="D14" s="2" t="s">
        <v>52</v>
      </c>
      <c r="E14" s="2" t="s">
        <v>29</v>
      </c>
      <c r="F14" s="11" t="s">
        <v>46</v>
      </c>
      <c r="G14" s="11" t="s">
        <v>47</v>
      </c>
      <c r="H14" s="2" t="s">
        <v>14</v>
      </c>
      <c r="I14" s="2" t="s">
        <v>49</v>
      </c>
      <c r="J14" s="2" t="s">
        <v>53</v>
      </c>
      <c r="K14" s="2" t="s">
        <v>51</v>
      </c>
      <c r="L14" s="2" t="s">
        <v>30</v>
      </c>
      <c r="M14" s="2" t="s">
        <v>19</v>
      </c>
      <c r="N14" s="2" t="s">
        <v>15</v>
      </c>
      <c r="O14" s="2" t="s">
        <v>16</v>
      </c>
      <c r="P14" s="2" t="s">
        <v>16</v>
      </c>
      <c r="Q14" s="1">
        <v>3</v>
      </c>
      <c r="R14" s="2" t="s">
        <v>12</v>
      </c>
      <c r="S14" s="12">
        <v>44197</v>
      </c>
      <c r="T14" s="24">
        <v>6367.9502249999996</v>
      </c>
      <c r="U14" s="24">
        <v>8602.0384173045422</v>
      </c>
      <c r="V14" s="24">
        <f t="shared" si="0"/>
        <v>3440.8153669218173</v>
      </c>
      <c r="W14" s="24">
        <f t="shared" si="1"/>
        <v>12042.853784226359</v>
      </c>
      <c r="X14" s="24">
        <f t="shared" si="2"/>
        <v>14210.567465387103</v>
      </c>
    </row>
    <row r="15" spans="2:24" ht="25.5" thickBot="1" x14ac:dyDescent="0.4">
      <c r="B15" s="82" t="s">
        <v>138</v>
      </c>
      <c r="C15" s="57">
        <v>12</v>
      </c>
      <c r="D15" s="57" t="s">
        <v>137</v>
      </c>
      <c r="E15" s="57" t="s">
        <v>29</v>
      </c>
      <c r="F15" s="60" t="s">
        <v>46</v>
      </c>
      <c r="G15" s="60" t="s">
        <v>47</v>
      </c>
      <c r="H15" s="57" t="s">
        <v>14</v>
      </c>
      <c r="I15" s="57" t="s">
        <v>49</v>
      </c>
      <c r="J15" s="57" t="s">
        <v>53</v>
      </c>
      <c r="K15" s="57" t="s">
        <v>51</v>
      </c>
      <c r="L15" s="57" t="s">
        <v>30</v>
      </c>
      <c r="M15" s="57" t="s">
        <v>19</v>
      </c>
      <c r="N15" s="57" t="s">
        <v>15</v>
      </c>
      <c r="O15" s="57" t="s">
        <v>16</v>
      </c>
      <c r="P15" s="57" t="s">
        <v>16</v>
      </c>
      <c r="Q15" s="95"/>
      <c r="R15" s="57" t="s">
        <v>12</v>
      </c>
      <c r="S15" s="87"/>
      <c r="T15" s="85">
        <v>7650.9224999999997</v>
      </c>
      <c r="U15" s="85">
        <f>T15*1.35</f>
        <v>10328.745375</v>
      </c>
      <c r="V15" s="85">
        <f t="shared" si="0"/>
        <v>4131.4981500000004</v>
      </c>
      <c r="W15" s="85">
        <f t="shared" si="1"/>
        <v>14460.243525000002</v>
      </c>
      <c r="X15" s="85">
        <f t="shared" si="2"/>
        <v>17063.087359500001</v>
      </c>
    </row>
    <row r="16" spans="2:24" ht="25.5" thickTop="1" x14ac:dyDescent="0.35">
      <c r="B16" s="13" t="s">
        <v>103</v>
      </c>
      <c r="C16" s="50">
        <v>13</v>
      </c>
      <c r="D16" s="51" t="s">
        <v>84</v>
      </c>
      <c r="E16" s="50" t="s">
        <v>28</v>
      </c>
      <c r="F16" s="52" t="s">
        <v>46</v>
      </c>
      <c r="G16" s="52" t="s">
        <v>47</v>
      </c>
      <c r="H16" s="50" t="s">
        <v>14</v>
      </c>
      <c r="I16" s="50" t="s">
        <v>49</v>
      </c>
      <c r="J16" s="50" t="s">
        <v>50</v>
      </c>
      <c r="K16" s="50" t="s">
        <v>51</v>
      </c>
      <c r="L16" s="50" t="s">
        <v>34</v>
      </c>
      <c r="M16" s="50" t="s">
        <v>19</v>
      </c>
      <c r="N16" s="50" t="s">
        <v>15</v>
      </c>
      <c r="O16" s="50" t="s">
        <v>16</v>
      </c>
      <c r="P16" s="50" t="s">
        <v>16</v>
      </c>
      <c r="Q16" s="53">
        <v>1</v>
      </c>
      <c r="R16" s="50" t="s">
        <v>12</v>
      </c>
      <c r="S16" s="54">
        <v>43891</v>
      </c>
      <c r="T16" s="55">
        <v>5750.9009999999998</v>
      </c>
      <c r="U16" s="55">
        <v>7791.437534558333</v>
      </c>
      <c r="V16" s="55">
        <f t="shared" si="0"/>
        <v>3116.5750138233334</v>
      </c>
      <c r="W16" s="55">
        <f t="shared" si="1"/>
        <v>10908.012548381666</v>
      </c>
      <c r="X16" s="55">
        <f t="shared" si="2"/>
        <v>12871.454807090366</v>
      </c>
    </row>
    <row r="17" spans="2:24" ht="25" x14ac:dyDescent="0.35">
      <c r="B17" s="13" t="s">
        <v>85</v>
      </c>
      <c r="C17" s="2">
        <v>14</v>
      </c>
      <c r="D17" s="2" t="s">
        <v>84</v>
      </c>
      <c r="E17" s="2" t="s">
        <v>28</v>
      </c>
      <c r="F17" s="11" t="s">
        <v>46</v>
      </c>
      <c r="G17" s="11" t="s">
        <v>47</v>
      </c>
      <c r="H17" s="2" t="s">
        <v>14</v>
      </c>
      <c r="I17" s="2" t="s">
        <v>49</v>
      </c>
      <c r="J17" s="2" t="s">
        <v>50</v>
      </c>
      <c r="K17" s="2" t="s">
        <v>51</v>
      </c>
      <c r="L17" s="2" t="s">
        <v>34</v>
      </c>
      <c r="M17" s="2" t="s">
        <v>19</v>
      </c>
      <c r="N17" s="2" t="s">
        <v>15</v>
      </c>
      <c r="O17" s="2" t="s">
        <v>16</v>
      </c>
      <c r="P17" s="2" t="s">
        <v>16</v>
      </c>
      <c r="Q17" s="1">
        <v>1</v>
      </c>
      <c r="R17" s="2" t="s">
        <v>12</v>
      </c>
      <c r="S17" s="12">
        <v>44105</v>
      </c>
      <c r="T17" s="24">
        <v>5675.2312499999998</v>
      </c>
      <c r="U17" s="24">
        <v>7608.1480513219703</v>
      </c>
      <c r="V17" s="24">
        <f t="shared" si="0"/>
        <v>3043.2592205287883</v>
      </c>
      <c r="W17" s="24">
        <f t="shared" si="1"/>
        <v>10651.40727185076</v>
      </c>
      <c r="X17" s="24">
        <f t="shared" si="2"/>
        <v>12568.660580783895</v>
      </c>
    </row>
    <row r="18" spans="2:24" ht="25.5" x14ac:dyDescent="0.35">
      <c r="B18" s="10" t="s">
        <v>44</v>
      </c>
      <c r="C18" s="2">
        <v>15</v>
      </c>
      <c r="D18" s="2" t="s">
        <v>54</v>
      </c>
      <c r="E18" s="2" t="s">
        <v>28</v>
      </c>
      <c r="F18" s="11" t="s">
        <v>46</v>
      </c>
      <c r="G18" s="11" t="s">
        <v>47</v>
      </c>
      <c r="H18" s="2" t="s">
        <v>14</v>
      </c>
      <c r="I18" s="2" t="s">
        <v>49</v>
      </c>
      <c r="J18" s="2" t="s">
        <v>50</v>
      </c>
      <c r="K18" s="2" t="s">
        <v>51</v>
      </c>
      <c r="L18" s="2" t="s">
        <v>34</v>
      </c>
      <c r="M18" s="2" t="s">
        <v>19</v>
      </c>
      <c r="N18" s="2" t="s">
        <v>15</v>
      </c>
      <c r="O18" s="2" t="s">
        <v>16</v>
      </c>
      <c r="P18" s="2" t="s">
        <v>16</v>
      </c>
      <c r="Q18" s="1">
        <v>3</v>
      </c>
      <c r="R18" s="2" t="s">
        <v>12</v>
      </c>
      <c r="S18" s="12">
        <v>44197</v>
      </c>
      <c r="T18" s="24">
        <v>5032.0383749999992</v>
      </c>
      <c r="U18" s="24">
        <v>6797.4443721567777</v>
      </c>
      <c r="V18" s="24">
        <f t="shared" si="0"/>
        <v>2718.9777488627115</v>
      </c>
      <c r="W18" s="24">
        <f t="shared" si="1"/>
        <v>9516.4221210194883</v>
      </c>
      <c r="X18" s="24">
        <f t="shared" si="2"/>
        <v>11229.378102802995</v>
      </c>
    </row>
    <row r="19" spans="2:24" ht="25.5" thickBot="1" x14ac:dyDescent="0.4">
      <c r="B19" s="82" t="s">
        <v>139</v>
      </c>
      <c r="C19" s="57">
        <v>16</v>
      </c>
      <c r="D19" s="57"/>
      <c r="E19" s="57" t="s">
        <v>28</v>
      </c>
      <c r="F19" s="60" t="s">
        <v>46</v>
      </c>
      <c r="G19" s="60" t="s">
        <v>47</v>
      </c>
      <c r="H19" s="57" t="s">
        <v>14</v>
      </c>
      <c r="I19" s="57" t="s">
        <v>140</v>
      </c>
      <c r="J19" s="57" t="s">
        <v>50</v>
      </c>
      <c r="K19" s="57" t="s">
        <v>51</v>
      </c>
      <c r="L19" s="57" t="s">
        <v>34</v>
      </c>
      <c r="M19" s="57" t="s">
        <v>19</v>
      </c>
      <c r="N19" s="57" t="s">
        <v>15</v>
      </c>
      <c r="O19" s="57" t="s">
        <v>16</v>
      </c>
      <c r="P19" s="57" t="s">
        <v>16</v>
      </c>
      <c r="Q19" s="95"/>
      <c r="R19" s="57" t="s">
        <v>12</v>
      </c>
      <c r="S19" s="87"/>
      <c r="T19" s="85">
        <v>6405.3112499999988</v>
      </c>
      <c r="U19" s="85">
        <f>T19*1.35</f>
        <v>8647.1701874999999</v>
      </c>
      <c r="V19" s="85">
        <f>U19*$V$2</f>
        <v>3458.8680750000003</v>
      </c>
      <c r="W19" s="85">
        <f>U19+V19</f>
        <v>12106.0382625</v>
      </c>
      <c r="X19" s="85">
        <f>W19*1.18</f>
        <v>14285.12514975</v>
      </c>
    </row>
    <row r="20" spans="2:24" thickTop="1" x14ac:dyDescent="0.35">
      <c r="P20" s="14" t="s">
        <v>55</v>
      </c>
      <c r="Q20" s="6">
        <f>SUM(Q4:Q18)</f>
        <v>32</v>
      </c>
    </row>
    <row r="21" spans="2:24" ht="14.5" x14ac:dyDescent="0.35">
      <c r="P21" s="14"/>
      <c r="Q21" s="6"/>
    </row>
    <row r="22" spans="2:24" ht="14.5" x14ac:dyDescent="0.35">
      <c r="C22" s="5" t="s">
        <v>60</v>
      </c>
      <c r="D22" s="5"/>
      <c r="E22" s="5"/>
      <c r="V22" s="89">
        <v>0.4</v>
      </c>
    </row>
    <row r="23" spans="2:24" ht="52" x14ac:dyDescent="0.35">
      <c r="B23" s="10" t="s">
        <v>44</v>
      </c>
      <c r="C23" s="22" t="s">
        <v>0</v>
      </c>
      <c r="D23" s="22" t="s">
        <v>37</v>
      </c>
      <c r="E23" s="22" t="s">
        <v>2</v>
      </c>
      <c r="F23" s="22" t="s">
        <v>1</v>
      </c>
      <c r="G23" s="22" t="s">
        <v>38</v>
      </c>
      <c r="H23" s="22" t="s">
        <v>4</v>
      </c>
      <c r="I23" s="22" t="s">
        <v>5</v>
      </c>
      <c r="J23" s="22" t="s">
        <v>6</v>
      </c>
      <c r="K23" s="22" t="s">
        <v>8</v>
      </c>
      <c r="L23" s="22" t="s">
        <v>11</v>
      </c>
      <c r="M23" s="22" t="s">
        <v>10</v>
      </c>
      <c r="N23" s="21" t="s">
        <v>9</v>
      </c>
      <c r="O23" s="23" t="s">
        <v>39</v>
      </c>
      <c r="P23" s="22" t="s">
        <v>7</v>
      </c>
      <c r="Q23" s="22" t="s">
        <v>40</v>
      </c>
      <c r="R23" s="22" t="s">
        <v>3</v>
      </c>
      <c r="S23" s="21" t="s">
        <v>41</v>
      </c>
      <c r="T23" s="21" t="s">
        <v>42</v>
      </c>
      <c r="U23" s="21" t="s">
        <v>43</v>
      </c>
      <c r="V23" s="100" t="s">
        <v>150</v>
      </c>
      <c r="W23" s="100" t="s">
        <v>151</v>
      </c>
      <c r="X23" s="100" t="s">
        <v>152</v>
      </c>
    </row>
    <row r="24" spans="2:24" ht="38" x14ac:dyDescent="0.35">
      <c r="B24" s="13" t="s">
        <v>103</v>
      </c>
      <c r="C24" s="15">
        <v>1</v>
      </c>
      <c r="D24" s="26" t="s">
        <v>99</v>
      </c>
      <c r="E24" s="15" t="s">
        <v>107</v>
      </c>
      <c r="F24" s="11" t="s">
        <v>105</v>
      </c>
      <c r="G24" s="11" t="s">
        <v>62</v>
      </c>
      <c r="H24" s="2" t="s">
        <v>14</v>
      </c>
      <c r="I24" s="7" t="s">
        <v>106</v>
      </c>
      <c r="J24" s="15" t="s">
        <v>64</v>
      </c>
      <c r="K24" s="15" t="s">
        <v>96</v>
      </c>
      <c r="L24" s="15" t="s">
        <v>108</v>
      </c>
      <c r="M24" s="2" t="s">
        <v>19</v>
      </c>
      <c r="N24" s="2" t="s">
        <v>15</v>
      </c>
      <c r="O24" s="2" t="s">
        <v>16</v>
      </c>
      <c r="P24" s="2" t="s">
        <v>16</v>
      </c>
      <c r="Q24" s="15">
        <v>1</v>
      </c>
      <c r="R24" s="2" t="s">
        <v>12</v>
      </c>
      <c r="S24" s="30">
        <v>43891</v>
      </c>
      <c r="T24" s="24">
        <v>5632.6373999999996</v>
      </c>
      <c r="U24" s="24">
        <v>7631.2116061321622</v>
      </c>
      <c r="V24" s="90">
        <f>U24*$V$22</f>
        <v>3052.484642452865</v>
      </c>
      <c r="W24" s="90">
        <f>U24+V24</f>
        <v>10683.696248585027</v>
      </c>
      <c r="X24" s="90">
        <f>W24*1.18</f>
        <v>12606.761573330332</v>
      </c>
    </row>
    <row r="25" spans="2:24" ht="25.5" thickBot="1" x14ac:dyDescent="0.4">
      <c r="B25" s="82" t="s">
        <v>143</v>
      </c>
      <c r="C25" s="57">
        <v>2</v>
      </c>
      <c r="D25" s="93" t="s">
        <v>141</v>
      </c>
      <c r="E25" s="57" t="s">
        <v>107</v>
      </c>
      <c r="F25" s="60" t="s">
        <v>142</v>
      </c>
      <c r="G25" s="60" t="s">
        <v>62</v>
      </c>
      <c r="H25" s="57" t="s">
        <v>14</v>
      </c>
      <c r="I25" s="94" t="s">
        <v>106</v>
      </c>
      <c r="J25" s="57" t="s">
        <v>64</v>
      </c>
      <c r="K25" s="57" t="s">
        <v>96</v>
      </c>
      <c r="L25" s="57" t="s">
        <v>108</v>
      </c>
      <c r="M25" s="57" t="s">
        <v>19</v>
      </c>
      <c r="N25" s="57" t="s">
        <v>15</v>
      </c>
      <c r="O25" s="57" t="s">
        <v>16</v>
      </c>
      <c r="P25" s="57" t="s">
        <v>16</v>
      </c>
      <c r="Q25" s="57"/>
      <c r="R25" s="57" t="s">
        <v>12</v>
      </c>
      <c r="S25" s="84"/>
      <c r="T25" s="85">
        <v>5311.5074999999997</v>
      </c>
      <c r="U25" s="85">
        <f>T25*1.35</f>
        <v>7170.5351250000003</v>
      </c>
      <c r="V25" s="85">
        <f t="shared" ref="V25:V36" si="3">U25*$V$22</f>
        <v>2868.2140500000005</v>
      </c>
      <c r="W25" s="85">
        <f t="shared" ref="W25:W36" si="4">U25+V25</f>
        <v>10038.749175000001</v>
      </c>
      <c r="X25" s="85">
        <f t="shared" ref="X25:X36" si="5">W25*1.18</f>
        <v>11845.7240265</v>
      </c>
    </row>
    <row r="26" spans="2:24" ht="38.5" thickTop="1" x14ac:dyDescent="0.35">
      <c r="B26" s="13" t="s">
        <v>103</v>
      </c>
      <c r="C26" s="20">
        <v>3</v>
      </c>
      <c r="D26" s="51" t="s">
        <v>100</v>
      </c>
      <c r="E26" s="50" t="s">
        <v>97</v>
      </c>
      <c r="F26" s="52" t="s">
        <v>105</v>
      </c>
      <c r="G26" s="52" t="s">
        <v>62</v>
      </c>
      <c r="H26" s="50" t="s">
        <v>14</v>
      </c>
      <c r="I26" s="66" t="s">
        <v>106</v>
      </c>
      <c r="J26" s="20" t="s">
        <v>64</v>
      </c>
      <c r="K26" s="20" t="s">
        <v>96</v>
      </c>
      <c r="L26" s="50" t="s">
        <v>87</v>
      </c>
      <c r="M26" s="50" t="s">
        <v>19</v>
      </c>
      <c r="N26" s="50" t="s">
        <v>15</v>
      </c>
      <c r="O26" s="50" t="s">
        <v>16</v>
      </c>
      <c r="P26" s="50" t="s">
        <v>16</v>
      </c>
      <c r="Q26" s="20">
        <v>1</v>
      </c>
      <c r="R26" s="50" t="s">
        <v>12</v>
      </c>
      <c r="S26" s="67">
        <v>43891</v>
      </c>
      <c r="T26" s="55">
        <v>6294.6467999999986</v>
      </c>
      <c r="U26" s="55">
        <v>8528.1153934500835</v>
      </c>
      <c r="V26" s="55">
        <f t="shared" si="3"/>
        <v>3411.2461573800338</v>
      </c>
      <c r="W26" s="55">
        <f t="shared" si="4"/>
        <v>11939.361550830117</v>
      </c>
      <c r="X26" s="55">
        <f t="shared" si="5"/>
        <v>14088.446629979537</v>
      </c>
    </row>
    <row r="27" spans="2:24" ht="25" x14ac:dyDescent="0.35">
      <c r="B27" s="13" t="s">
        <v>103</v>
      </c>
      <c r="C27" s="15">
        <v>4</v>
      </c>
      <c r="D27" s="26" t="s">
        <v>93</v>
      </c>
      <c r="E27" s="2" t="s">
        <v>97</v>
      </c>
      <c r="F27" s="11" t="s">
        <v>46</v>
      </c>
      <c r="G27" s="11" t="s">
        <v>62</v>
      </c>
      <c r="H27" s="2" t="s">
        <v>14</v>
      </c>
      <c r="I27" s="2" t="s">
        <v>49</v>
      </c>
      <c r="J27" s="15" t="s">
        <v>64</v>
      </c>
      <c r="K27" s="15" t="s">
        <v>65</v>
      </c>
      <c r="L27" s="2" t="s">
        <v>87</v>
      </c>
      <c r="M27" s="2" t="s">
        <v>19</v>
      </c>
      <c r="N27" s="2" t="s">
        <v>15</v>
      </c>
      <c r="O27" s="2" t="s">
        <v>16</v>
      </c>
      <c r="P27" s="2" t="s">
        <v>16</v>
      </c>
      <c r="Q27" s="15">
        <v>1</v>
      </c>
      <c r="R27" s="2" t="s">
        <v>12</v>
      </c>
      <c r="S27" s="30">
        <v>43891</v>
      </c>
      <c r="T27" s="24">
        <v>5312.97</v>
      </c>
      <c r="U27" s="24">
        <v>7198.1197168899953</v>
      </c>
      <c r="V27" s="24">
        <f t="shared" si="3"/>
        <v>2879.2478867559985</v>
      </c>
      <c r="W27" s="24">
        <f t="shared" si="4"/>
        <v>10077.367603645995</v>
      </c>
      <c r="X27" s="24">
        <f t="shared" si="5"/>
        <v>11891.293772302273</v>
      </c>
    </row>
    <row r="28" spans="2:24" ht="25" x14ac:dyDescent="0.35">
      <c r="B28" s="10" t="s">
        <v>95</v>
      </c>
      <c r="C28" s="15">
        <v>5</v>
      </c>
      <c r="D28" s="2" t="s">
        <v>93</v>
      </c>
      <c r="E28" s="2" t="s">
        <v>97</v>
      </c>
      <c r="F28" s="11" t="s">
        <v>46</v>
      </c>
      <c r="G28" s="11" t="s">
        <v>62</v>
      </c>
      <c r="H28" s="2" t="s">
        <v>14</v>
      </c>
      <c r="I28" s="2" t="s">
        <v>49</v>
      </c>
      <c r="J28" s="2" t="s">
        <v>98</v>
      </c>
      <c r="K28" s="2" t="s">
        <v>96</v>
      </c>
      <c r="L28" s="2" t="s">
        <v>87</v>
      </c>
      <c r="M28" s="2" t="s">
        <v>19</v>
      </c>
      <c r="N28" s="2" t="s">
        <v>15</v>
      </c>
      <c r="O28" s="2" t="s">
        <v>16</v>
      </c>
      <c r="P28" s="2" t="s">
        <v>16</v>
      </c>
      <c r="Q28" s="1">
        <v>2</v>
      </c>
      <c r="R28" s="2" t="s">
        <v>12</v>
      </c>
      <c r="S28" s="12">
        <v>43952</v>
      </c>
      <c r="T28" s="24">
        <v>5138.68</v>
      </c>
      <c r="U28" s="24">
        <v>7061.7496109884978</v>
      </c>
      <c r="V28" s="24">
        <f>U28*$V$22</f>
        <v>2824.6998443953994</v>
      </c>
      <c r="W28" s="24">
        <f>U28+V28</f>
        <v>9886.4494553838977</v>
      </c>
      <c r="X28" s="24">
        <f>W28*1.18</f>
        <v>11666.010357352998</v>
      </c>
    </row>
    <row r="29" spans="2:24" ht="24" customHeight="1" thickBot="1" x14ac:dyDescent="0.4">
      <c r="B29" s="82" t="s">
        <v>143</v>
      </c>
      <c r="C29" s="57">
        <v>6</v>
      </c>
      <c r="D29" s="93" t="s">
        <v>141</v>
      </c>
      <c r="E29" s="57" t="s">
        <v>97</v>
      </c>
      <c r="F29" s="60" t="s">
        <v>46</v>
      </c>
      <c r="G29" s="60" t="s">
        <v>62</v>
      </c>
      <c r="H29" s="57" t="s">
        <v>14</v>
      </c>
      <c r="I29" s="94" t="s">
        <v>106</v>
      </c>
      <c r="J29" s="57" t="s">
        <v>98</v>
      </c>
      <c r="K29" s="57" t="s">
        <v>96</v>
      </c>
      <c r="L29" s="57" t="s">
        <v>87</v>
      </c>
      <c r="M29" s="57" t="s">
        <v>19</v>
      </c>
      <c r="N29" s="57" t="s">
        <v>15</v>
      </c>
      <c r="O29" s="57" t="s">
        <v>16</v>
      </c>
      <c r="P29" s="57" t="s">
        <v>16</v>
      </c>
      <c r="Q29" s="95"/>
      <c r="R29" s="57" t="s">
        <v>12</v>
      </c>
      <c r="S29" s="87"/>
      <c r="T29" s="85">
        <v>5877.0562499999996</v>
      </c>
      <c r="U29" s="85">
        <f>T29*1.35</f>
        <v>7934.0259374999996</v>
      </c>
      <c r="V29" s="85">
        <f t="shared" si="3"/>
        <v>3173.6103750000002</v>
      </c>
      <c r="W29" s="85">
        <f t="shared" si="4"/>
        <v>11107.636312499999</v>
      </c>
      <c r="X29" s="85">
        <f t="shared" si="5"/>
        <v>13107.010848749998</v>
      </c>
    </row>
    <row r="30" spans="2:24" ht="25.5" thickTop="1" x14ac:dyDescent="0.35">
      <c r="B30" s="13" t="s">
        <v>103</v>
      </c>
      <c r="C30" s="20">
        <v>7</v>
      </c>
      <c r="D30" s="51" t="s">
        <v>61</v>
      </c>
      <c r="E30" s="50" t="s">
        <v>63</v>
      </c>
      <c r="F30" s="52" t="s">
        <v>46</v>
      </c>
      <c r="G30" s="52" t="s">
        <v>62</v>
      </c>
      <c r="H30" s="50" t="s">
        <v>14</v>
      </c>
      <c r="I30" s="50" t="s">
        <v>49</v>
      </c>
      <c r="J30" s="50" t="s">
        <v>64</v>
      </c>
      <c r="K30" s="50" t="s">
        <v>96</v>
      </c>
      <c r="L30" s="50" t="s">
        <v>89</v>
      </c>
      <c r="M30" s="50" t="s">
        <v>19</v>
      </c>
      <c r="N30" s="50" t="s">
        <v>15</v>
      </c>
      <c r="O30" s="50" t="s">
        <v>16</v>
      </c>
      <c r="P30" s="50" t="s">
        <v>16</v>
      </c>
      <c r="Q30" s="53">
        <v>2</v>
      </c>
      <c r="R30" s="50" t="s">
        <v>12</v>
      </c>
      <c r="S30" s="54">
        <v>43891</v>
      </c>
      <c r="T30" s="55">
        <v>7900.9866000000002</v>
      </c>
      <c r="U30" s="55">
        <v>10704.417195719841</v>
      </c>
      <c r="V30" s="55">
        <f t="shared" si="3"/>
        <v>4281.7668782879364</v>
      </c>
      <c r="W30" s="55">
        <f t="shared" si="4"/>
        <v>14986.184074007779</v>
      </c>
      <c r="X30" s="55">
        <f t="shared" si="5"/>
        <v>17683.697207329176</v>
      </c>
    </row>
    <row r="31" spans="2:24" ht="25" x14ac:dyDescent="0.35">
      <c r="B31" s="10" t="s">
        <v>85</v>
      </c>
      <c r="C31" s="15">
        <v>8</v>
      </c>
      <c r="D31" s="2" t="s">
        <v>61</v>
      </c>
      <c r="E31" s="2" t="s">
        <v>63</v>
      </c>
      <c r="F31" s="11" t="s">
        <v>46</v>
      </c>
      <c r="G31" s="11" t="s">
        <v>62</v>
      </c>
      <c r="H31" s="2" t="s">
        <v>14</v>
      </c>
      <c r="I31" s="2" t="s">
        <v>49</v>
      </c>
      <c r="J31" s="2" t="s">
        <v>64</v>
      </c>
      <c r="K31" s="2" t="s">
        <v>65</v>
      </c>
      <c r="L31" s="2" t="s">
        <v>89</v>
      </c>
      <c r="M31" s="2" t="s">
        <v>19</v>
      </c>
      <c r="N31" s="2" t="s">
        <v>15</v>
      </c>
      <c r="O31" s="2" t="s">
        <v>16</v>
      </c>
      <c r="P31" s="2" t="s">
        <v>16</v>
      </c>
      <c r="Q31" s="1">
        <v>2</v>
      </c>
      <c r="R31" s="2" t="s">
        <v>12</v>
      </c>
      <c r="S31" s="12">
        <v>44105</v>
      </c>
      <c r="T31" s="24">
        <v>7797.0262499999999</v>
      </c>
      <c r="U31" s="24">
        <v>10452.60139312275</v>
      </c>
      <c r="V31" s="24">
        <f t="shared" si="3"/>
        <v>4181.0405572490999</v>
      </c>
      <c r="W31" s="24">
        <f t="shared" si="4"/>
        <v>14633.64195037185</v>
      </c>
      <c r="X31" s="24">
        <f t="shared" si="5"/>
        <v>17267.697501438783</v>
      </c>
    </row>
    <row r="32" spans="2:24" ht="25" x14ac:dyDescent="0.35">
      <c r="B32" s="10" t="s">
        <v>44</v>
      </c>
      <c r="C32" s="15">
        <v>9</v>
      </c>
      <c r="D32" s="2" t="s">
        <v>61</v>
      </c>
      <c r="E32" s="2" t="s">
        <v>63</v>
      </c>
      <c r="F32" s="11" t="s">
        <v>46</v>
      </c>
      <c r="G32" s="11" t="s">
        <v>62</v>
      </c>
      <c r="H32" s="2" t="s">
        <v>14</v>
      </c>
      <c r="I32" s="2" t="s">
        <v>49</v>
      </c>
      <c r="J32" s="2" t="s">
        <v>64</v>
      </c>
      <c r="K32" s="2" t="s">
        <v>65</v>
      </c>
      <c r="L32" s="2" t="s">
        <v>89</v>
      </c>
      <c r="M32" s="2" t="s">
        <v>19</v>
      </c>
      <c r="N32" s="2" t="s">
        <v>15</v>
      </c>
      <c r="O32" s="2" t="s">
        <v>16</v>
      </c>
      <c r="P32" s="2" t="s">
        <v>16</v>
      </c>
      <c r="Q32" s="1">
        <v>1</v>
      </c>
      <c r="R32" s="2" t="s">
        <v>12</v>
      </c>
      <c r="S32" s="12">
        <v>44197</v>
      </c>
      <c r="T32" s="24">
        <v>6913.3632749999988</v>
      </c>
      <c r="U32" s="24">
        <v>9338.8004590334822</v>
      </c>
      <c r="V32" s="24">
        <f t="shared" si="3"/>
        <v>3735.5201836133929</v>
      </c>
      <c r="W32" s="24">
        <f t="shared" si="4"/>
        <v>13074.320642646875</v>
      </c>
      <c r="X32" s="24">
        <f t="shared" si="5"/>
        <v>15427.698358323312</v>
      </c>
    </row>
    <row r="33" spans="2:25" ht="25.5" thickBot="1" x14ac:dyDescent="0.4">
      <c r="B33" s="82" t="s">
        <v>143</v>
      </c>
      <c r="C33" s="15">
        <v>10</v>
      </c>
      <c r="D33" s="96" t="s">
        <v>141</v>
      </c>
      <c r="E33" s="15" t="s">
        <v>63</v>
      </c>
      <c r="F33" s="97" t="s">
        <v>46</v>
      </c>
      <c r="G33" s="97" t="s">
        <v>62</v>
      </c>
      <c r="H33" s="57" t="s">
        <v>14</v>
      </c>
      <c r="I33" s="94" t="s">
        <v>106</v>
      </c>
      <c r="J33" s="57" t="s">
        <v>64</v>
      </c>
      <c r="K33" s="57" t="s">
        <v>65</v>
      </c>
      <c r="L33" s="57" t="s">
        <v>89</v>
      </c>
      <c r="M33" s="57" t="s">
        <v>19</v>
      </c>
      <c r="N33" s="57" t="s">
        <v>15</v>
      </c>
      <c r="O33" s="57" t="s">
        <v>16</v>
      </c>
      <c r="P33" s="57" t="s">
        <v>16</v>
      </c>
      <c r="Q33" s="95"/>
      <c r="R33" s="57" t="s">
        <v>12</v>
      </c>
      <c r="S33" s="87"/>
      <c r="T33" s="85">
        <v>8512.6274999999987</v>
      </c>
      <c r="U33" s="85">
        <f>T33*1.35</f>
        <v>11492.047124999999</v>
      </c>
      <c r="V33" s="85">
        <f t="shared" si="3"/>
        <v>4596.8188499999997</v>
      </c>
      <c r="W33" s="85">
        <f t="shared" si="4"/>
        <v>16088.865974999999</v>
      </c>
      <c r="X33" s="85">
        <f t="shared" si="5"/>
        <v>18984.861850499998</v>
      </c>
    </row>
    <row r="34" spans="2:25" ht="25.5" thickTop="1" x14ac:dyDescent="0.35">
      <c r="B34" s="13" t="s">
        <v>103</v>
      </c>
      <c r="C34" s="70">
        <v>11</v>
      </c>
      <c r="D34" s="72" t="s">
        <v>90</v>
      </c>
      <c r="E34" s="70" t="s">
        <v>18</v>
      </c>
      <c r="F34" s="59" t="s">
        <v>46</v>
      </c>
      <c r="G34" s="59" t="s">
        <v>62</v>
      </c>
      <c r="H34" s="50" t="s">
        <v>14</v>
      </c>
      <c r="I34" s="50" t="s">
        <v>49</v>
      </c>
      <c r="J34" s="50" t="s">
        <v>91</v>
      </c>
      <c r="K34" s="50" t="s">
        <v>96</v>
      </c>
      <c r="L34" s="50" t="s">
        <v>88</v>
      </c>
      <c r="M34" s="50" t="s">
        <v>19</v>
      </c>
      <c r="N34" s="50" t="s">
        <v>15</v>
      </c>
      <c r="O34" s="50" t="s">
        <v>16</v>
      </c>
      <c r="P34" s="50" t="s">
        <v>16</v>
      </c>
      <c r="Q34" s="53">
        <v>1</v>
      </c>
      <c r="R34" s="50" t="s">
        <v>12</v>
      </c>
      <c r="S34" s="54">
        <v>43891</v>
      </c>
      <c r="T34" s="55">
        <v>8639.9117999999999</v>
      </c>
      <c r="U34" s="55">
        <v>11705.5280718262</v>
      </c>
      <c r="V34" s="55">
        <f t="shared" si="3"/>
        <v>4682.2112287304799</v>
      </c>
      <c r="W34" s="55">
        <f t="shared" si="4"/>
        <v>16387.739300556681</v>
      </c>
      <c r="X34" s="55">
        <f t="shared" si="5"/>
        <v>19337.532374656883</v>
      </c>
    </row>
    <row r="35" spans="2:25" ht="25" x14ac:dyDescent="0.35">
      <c r="B35" s="10" t="s">
        <v>85</v>
      </c>
      <c r="C35" s="15">
        <v>12</v>
      </c>
      <c r="D35" s="2" t="s">
        <v>90</v>
      </c>
      <c r="E35" s="2" t="s">
        <v>18</v>
      </c>
      <c r="F35" s="11" t="s">
        <v>46</v>
      </c>
      <c r="G35" s="11" t="s">
        <v>62</v>
      </c>
      <c r="H35" s="2" t="s">
        <v>14</v>
      </c>
      <c r="I35" s="2" t="s">
        <v>49</v>
      </c>
      <c r="J35" s="2" t="s">
        <v>91</v>
      </c>
      <c r="K35" s="2" t="s">
        <v>65</v>
      </c>
      <c r="L35" s="2" t="s">
        <v>88</v>
      </c>
      <c r="M35" s="2" t="s">
        <v>19</v>
      </c>
      <c r="N35" s="2" t="s">
        <v>15</v>
      </c>
      <c r="O35" s="2" t="s">
        <v>16</v>
      </c>
      <c r="P35" s="2" t="s">
        <v>16</v>
      </c>
      <c r="Q35" s="1">
        <v>2</v>
      </c>
      <c r="R35" s="2" t="s">
        <v>12</v>
      </c>
      <c r="S35" s="12">
        <v>44105</v>
      </c>
      <c r="T35" s="24">
        <v>8526.2287499999984</v>
      </c>
      <c r="U35" s="24">
        <v>11430.161660714333</v>
      </c>
      <c r="V35" s="24">
        <f t="shared" si="3"/>
        <v>4572.0646642857337</v>
      </c>
      <c r="W35" s="24">
        <f t="shared" si="4"/>
        <v>16002.226325000067</v>
      </c>
      <c r="X35" s="24">
        <f t="shared" si="5"/>
        <v>18882.627063500076</v>
      </c>
    </row>
    <row r="36" spans="2:25" ht="25.5" thickBot="1" x14ac:dyDescent="0.4">
      <c r="B36" s="82" t="s">
        <v>145</v>
      </c>
      <c r="C36" s="57">
        <v>13</v>
      </c>
      <c r="D36" s="57" t="s">
        <v>144</v>
      </c>
      <c r="E36" s="57" t="s">
        <v>18</v>
      </c>
      <c r="F36" s="60" t="s">
        <v>46</v>
      </c>
      <c r="G36" s="60" t="s">
        <v>62</v>
      </c>
      <c r="H36" s="57" t="s">
        <v>14</v>
      </c>
      <c r="I36" s="94" t="s">
        <v>133</v>
      </c>
      <c r="J36" s="57" t="s">
        <v>91</v>
      </c>
      <c r="K36" s="57" t="s">
        <v>65</v>
      </c>
      <c r="L36" s="57" t="s">
        <v>88</v>
      </c>
      <c r="M36" s="57" t="s">
        <v>19</v>
      </c>
      <c r="N36" s="57" t="s">
        <v>15</v>
      </c>
      <c r="O36" s="57" t="s">
        <v>16</v>
      </c>
      <c r="P36" s="57" t="s">
        <v>16</v>
      </c>
      <c r="Q36" s="95"/>
      <c r="R36" s="57" t="s">
        <v>12</v>
      </c>
      <c r="S36" s="87"/>
      <c r="T36" s="85">
        <v>9242.7075000000004</v>
      </c>
      <c r="U36" s="85">
        <f>T36*1.35</f>
        <v>12477.655125000001</v>
      </c>
      <c r="V36" s="85">
        <f t="shared" si="3"/>
        <v>4991.0620500000005</v>
      </c>
      <c r="W36" s="85">
        <f t="shared" si="4"/>
        <v>17468.717175000002</v>
      </c>
      <c r="X36" s="85">
        <f t="shared" si="5"/>
        <v>20613.086266500002</v>
      </c>
    </row>
    <row r="37" spans="2:25" thickTop="1" x14ac:dyDescent="0.35">
      <c r="C37" s="14"/>
      <c r="D37" s="14"/>
      <c r="E37" s="14"/>
      <c r="F37" s="33"/>
      <c r="G37" s="33"/>
      <c r="H37" s="14"/>
      <c r="I37" s="14"/>
      <c r="J37" s="14"/>
      <c r="K37" s="14"/>
      <c r="L37" s="14"/>
      <c r="M37" s="14"/>
      <c r="N37" s="14"/>
      <c r="O37" s="14"/>
      <c r="P37" s="14"/>
      <c r="Q37" s="34"/>
      <c r="R37" s="14"/>
      <c r="S37" s="31"/>
      <c r="T37" s="35"/>
      <c r="U37" s="35"/>
    </row>
    <row r="38" spans="2:25" ht="14.5" x14ac:dyDescent="0.35">
      <c r="C38" s="14"/>
      <c r="D38" s="14"/>
      <c r="E38" s="14"/>
      <c r="F38" s="33"/>
      <c r="G38" s="33"/>
      <c r="H38" s="14"/>
      <c r="I38" s="14"/>
      <c r="J38" s="14"/>
      <c r="K38" s="14"/>
      <c r="L38" s="14"/>
      <c r="M38" s="14"/>
      <c r="N38" s="14"/>
      <c r="O38" s="14"/>
      <c r="P38" s="14" t="s">
        <v>55</v>
      </c>
      <c r="Q38" s="34">
        <f>SUM(Q24:Q35)</f>
        <v>13</v>
      </c>
      <c r="R38" s="14"/>
      <c r="S38" s="31"/>
      <c r="T38" s="35"/>
      <c r="U38" s="35"/>
    </row>
    <row r="39" spans="2:25" ht="14.5" x14ac:dyDescent="0.35">
      <c r="P39" s="14"/>
      <c r="Q39" s="6"/>
    </row>
    <row r="40" spans="2:25" ht="14.5" x14ac:dyDescent="0.35">
      <c r="C40" s="5" t="s">
        <v>66</v>
      </c>
      <c r="D40" s="5"/>
      <c r="V40" s="89">
        <v>0.4</v>
      </c>
    </row>
    <row r="41" spans="2:25" ht="52" x14ac:dyDescent="0.35">
      <c r="C41" s="27" t="s">
        <v>0</v>
      </c>
      <c r="D41" s="37" t="s">
        <v>67</v>
      </c>
      <c r="E41" s="37" t="s">
        <v>2</v>
      </c>
      <c r="F41" s="27" t="s">
        <v>1</v>
      </c>
      <c r="G41" s="27" t="s">
        <v>38</v>
      </c>
      <c r="H41" s="27" t="s">
        <v>4</v>
      </c>
      <c r="I41" s="27" t="s">
        <v>5</v>
      </c>
      <c r="J41" s="27" t="s">
        <v>6</v>
      </c>
      <c r="K41" s="27" t="s">
        <v>8</v>
      </c>
      <c r="L41" s="27" t="s">
        <v>11</v>
      </c>
      <c r="M41" s="27" t="s">
        <v>10</v>
      </c>
      <c r="N41" s="28" t="s">
        <v>9</v>
      </c>
      <c r="O41" s="37" t="s">
        <v>39</v>
      </c>
      <c r="P41" s="27" t="s">
        <v>7</v>
      </c>
      <c r="Q41" s="27" t="s">
        <v>40</v>
      </c>
      <c r="R41" s="27" t="s">
        <v>3</v>
      </c>
      <c r="S41" s="28" t="s">
        <v>41</v>
      </c>
      <c r="T41" s="28" t="s">
        <v>42</v>
      </c>
      <c r="U41" s="28" t="s">
        <v>43</v>
      </c>
      <c r="V41" s="100" t="s">
        <v>150</v>
      </c>
      <c r="W41" s="100" t="s">
        <v>151</v>
      </c>
      <c r="X41" s="100" t="s">
        <v>152</v>
      </c>
    </row>
    <row r="42" spans="2:25" ht="29" x14ac:dyDescent="0.35">
      <c r="B42" s="10" t="s">
        <v>132</v>
      </c>
      <c r="C42" s="2">
        <v>1</v>
      </c>
      <c r="D42" s="38" t="s">
        <v>109</v>
      </c>
      <c r="E42" s="17" t="s">
        <v>115</v>
      </c>
      <c r="F42" s="17" t="s">
        <v>114</v>
      </c>
      <c r="G42" s="2" t="s">
        <v>15</v>
      </c>
      <c r="H42" s="2" t="s">
        <v>14</v>
      </c>
      <c r="I42" s="15" t="s">
        <v>116</v>
      </c>
      <c r="J42" s="2" t="s">
        <v>15</v>
      </c>
      <c r="K42" s="15" t="s">
        <v>124</v>
      </c>
      <c r="L42" s="15" t="s">
        <v>117</v>
      </c>
      <c r="M42" s="8" t="s">
        <v>13</v>
      </c>
      <c r="N42" s="2" t="s">
        <v>19</v>
      </c>
      <c r="O42" s="18" t="s">
        <v>74</v>
      </c>
      <c r="P42" s="18" t="s">
        <v>24</v>
      </c>
      <c r="Q42" s="15">
        <v>1</v>
      </c>
      <c r="R42" s="2" t="s">
        <v>12</v>
      </c>
      <c r="S42" s="30">
        <v>44075</v>
      </c>
      <c r="T42" s="24">
        <v>2218.9899999999998</v>
      </c>
      <c r="U42" s="24">
        <v>3109.721769782655</v>
      </c>
      <c r="V42" s="24">
        <f>U42*$V$40</f>
        <v>1243.888707913062</v>
      </c>
      <c r="W42" s="24">
        <f>U42+V42</f>
        <v>4353.6104776957172</v>
      </c>
      <c r="X42" s="24">
        <f>W42*1.18</f>
        <v>5137.2603636809463</v>
      </c>
    </row>
    <row r="43" spans="2:25" ht="29" x14ac:dyDescent="0.35">
      <c r="B43" s="10" t="s">
        <v>120</v>
      </c>
      <c r="C43" s="2">
        <v>2</v>
      </c>
      <c r="D43" s="18" t="s">
        <v>109</v>
      </c>
      <c r="E43" s="17" t="s">
        <v>115</v>
      </c>
      <c r="F43" s="17" t="s">
        <v>114</v>
      </c>
      <c r="G43" s="2" t="s">
        <v>15</v>
      </c>
      <c r="H43" s="2" t="s">
        <v>14</v>
      </c>
      <c r="I43" s="15" t="s">
        <v>116</v>
      </c>
      <c r="J43" s="2" t="s">
        <v>15</v>
      </c>
      <c r="K43" s="15" t="s">
        <v>102</v>
      </c>
      <c r="L43" s="15" t="s">
        <v>117</v>
      </c>
      <c r="M43" s="8" t="s">
        <v>13</v>
      </c>
      <c r="N43" s="2" t="s">
        <v>19</v>
      </c>
      <c r="O43" s="18" t="s">
        <v>74</v>
      </c>
      <c r="P43" s="18" t="s">
        <v>24</v>
      </c>
      <c r="Q43" s="15">
        <v>1</v>
      </c>
      <c r="R43" s="2" t="s">
        <v>12</v>
      </c>
      <c r="S43" s="30">
        <v>43891</v>
      </c>
      <c r="T43" s="24">
        <v>2818.9920000000002</v>
      </c>
      <c r="U43" s="24">
        <v>4396.4774737485886</v>
      </c>
      <c r="V43" s="24">
        <f>U43*$V$40</f>
        <v>1758.5909894994356</v>
      </c>
      <c r="W43" s="24">
        <f t="shared" ref="W43:W72" si="6">U43+V43</f>
        <v>6155.0684632480243</v>
      </c>
      <c r="X43" s="24">
        <f t="shared" ref="X43:X72" si="7">W43*1.18</f>
        <v>7262.9807866326682</v>
      </c>
    </row>
    <row r="44" spans="2:25" ht="25" x14ac:dyDescent="0.35">
      <c r="B44" s="92" t="s">
        <v>148</v>
      </c>
      <c r="C44" s="2">
        <v>3</v>
      </c>
      <c r="D44" s="18" t="s">
        <v>149</v>
      </c>
      <c r="E44" s="17" t="s">
        <v>115</v>
      </c>
      <c r="F44" s="17" t="s">
        <v>118</v>
      </c>
      <c r="G44" s="2" t="s">
        <v>15</v>
      </c>
      <c r="H44" s="2" t="s">
        <v>14</v>
      </c>
      <c r="I44" s="15" t="s">
        <v>146</v>
      </c>
      <c r="J44" s="2" t="s">
        <v>15</v>
      </c>
      <c r="K44" s="15" t="s">
        <v>102</v>
      </c>
      <c r="L44" s="15" t="s">
        <v>117</v>
      </c>
      <c r="M44" s="15" t="s">
        <v>17</v>
      </c>
      <c r="N44" s="2" t="s">
        <v>17</v>
      </c>
      <c r="O44" s="18" t="s">
        <v>79</v>
      </c>
      <c r="P44" s="18" t="s">
        <v>24</v>
      </c>
      <c r="Q44" s="15"/>
      <c r="R44" s="2" t="s">
        <v>12</v>
      </c>
      <c r="S44" s="30"/>
      <c r="T44" s="24">
        <v>2212.9679999999998</v>
      </c>
      <c r="U44" s="24">
        <f>T44*1.35</f>
        <v>2987.5068000000001</v>
      </c>
      <c r="V44" s="24">
        <f>U44*$V$40</f>
        <v>1195.0027200000002</v>
      </c>
      <c r="W44" s="24">
        <f t="shared" si="6"/>
        <v>4182.5095200000005</v>
      </c>
      <c r="X44" s="24">
        <f t="shared" si="7"/>
        <v>4935.3612336000006</v>
      </c>
      <c r="Y44" t="s">
        <v>123</v>
      </c>
    </row>
    <row r="45" spans="2:25" ht="38" thickBot="1" x14ac:dyDescent="0.4">
      <c r="B45" s="98" t="s">
        <v>148</v>
      </c>
      <c r="C45" s="57">
        <v>4</v>
      </c>
      <c r="D45" s="78" t="s">
        <v>149</v>
      </c>
      <c r="E45" s="83" t="s">
        <v>115</v>
      </c>
      <c r="F45" s="83" t="s">
        <v>118</v>
      </c>
      <c r="G45" s="57" t="s">
        <v>15</v>
      </c>
      <c r="H45" s="57" t="s">
        <v>14</v>
      </c>
      <c r="I45" s="57" t="s">
        <v>146</v>
      </c>
      <c r="J45" s="57" t="s">
        <v>15</v>
      </c>
      <c r="K45" s="78" t="s">
        <v>78</v>
      </c>
      <c r="L45" s="57" t="s">
        <v>117</v>
      </c>
      <c r="M45" s="57" t="s">
        <v>17</v>
      </c>
      <c r="N45" s="57" t="s">
        <v>17</v>
      </c>
      <c r="O45" s="78" t="s">
        <v>79</v>
      </c>
      <c r="P45" s="78" t="s">
        <v>80</v>
      </c>
      <c r="Q45" s="57"/>
      <c r="R45" s="57" t="s">
        <v>12</v>
      </c>
      <c r="S45" s="84"/>
      <c r="T45" s="85">
        <v>2383.5120000000002</v>
      </c>
      <c r="U45" s="85">
        <f>T45*1.35</f>
        <v>3217.7412000000004</v>
      </c>
      <c r="V45" s="85">
        <f t="shared" ref="V45:V69" si="8">U45*$V$40</f>
        <v>1287.0964800000002</v>
      </c>
      <c r="W45" s="85">
        <f t="shared" si="6"/>
        <v>4504.8376800000005</v>
      </c>
      <c r="X45" s="85">
        <f t="shared" si="7"/>
        <v>5315.7084623999999</v>
      </c>
      <c r="Y45" t="s">
        <v>123</v>
      </c>
    </row>
    <row r="46" spans="2:25" ht="38" thickTop="1" x14ac:dyDescent="0.35">
      <c r="B46" s="13" t="s">
        <v>58</v>
      </c>
      <c r="C46" s="50">
        <v>5</v>
      </c>
      <c r="D46" s="17" t="s">
        <v>73</v>
      </c>
      <c r="E46" s="17" t="s">
        <v>25</v>
      </c>
      <c r="F46" s="17" t="s">
        <v>114</v>
      </c>
      <c r="G46" s="2" t="s">
        <v>15</v>
      </c>
      <c r="H46" s="2" t="s">
        <v>14</v>
      </c>
      <c r="I46" s="18" t="s">
        <v>71</v>
      </c>
      <c r="J46" s="2" t="s">
        <v>15</v>
      </c>
      <c r="K46" s="18" t="s">
        <v>59</v>
      </c>
      <c r="L46" s="18" t="s">
        <v>22</v>
      </c>
      <c r="M46" s="9" t="s">
        <v>13</v>
      </c>
      <c r="N46" s="18" t="s">
        <v>19</v>
      </c>
      <c r="O46" s="18" t="s">
        <v>74</v>
      </c>
      <c r="P46" s="18" t="s">
        <v>24</v>
      </c>
      <c r="Q46" s="19">
        <v>2</v>
      </c>
      <c r="R46" s="2" t="s">
        <v>12</v>
      </c>
      <c r="S46" s="12">
        <v>44256</v>
      </c>
      <c r="T46" s="24">
        <v>2891.9519999999998</v>
      </c>
      <c r="U46" s="24">
        <v>3881.53088835874</v>
      </c>
      <c r="V46" s="55">
        <f>U46*$V$40</f>
        <v>1552.6123553434961</v>
      </c>
      <c r="W46" s="55">
        <f t="shared" si="6"/>
        <v>5434.1432437022358</v>
      </c>
      <c r="X46" s="55">
        <f t="shared" si="7"/>
        <v>6412.2890275686377</v>
      </c>
      <c r="Y46" t="s">
        <v>123</v>
      </c>
    </row>
    <row r="47" spans="2:25" ht="29" x14ac:dyDescent="0.35">
      <c r="B47" s="13" t="s">
        <v>132</v>
      </c>
      <c r="C47" s="2">
        <v>6</v>
      </c>
      <c r="D47" s="38" t="s">
        <v>126</v>
      </c>
      <c r="E47" s="74" t="s">
        <v>25</v>
      </c>
      <c r="F47" s="74" t="s">
        <v>118</v>
      </c>
      <c r="G47" s="50" t="s">
        <v>15</v>
      </c>
      <c r="H47" s="50" t="s">
        <v>14</v>
      </c>
      <c r="I47" s="20" t="s">
        <v>119</v>
      </c>
      <c r="J47" s="50" t="s">
        <v>15</v>
      </c>
      <c r="K47" s="20" t="s">
        <v>125</v>
      </c>
      <c r="L47" s="77" t="s">
        <v>22</v>
      </c>
      <c r="M47" s="20" t="s">
        <v>17</v>
      </c>
      <c r="N47" s="50" t="s">
        <v>19</v>
      </c>
      <c r="O47" s="77" t="s">
        <v>79</v>
      </c>
      <c r="P47" s="77" t="s">
        <v>80</v>
      </c>
      <c r="Q47" s="20">
        <v>1</v>
      </c>
      <c r="R47" s="50" t="s">
        <v>12</v>
      </c>
      <c r="S47" s="67">
        <v>44075</v>
      </c>
      <c r="T47" s="55">
        <v>1992.04</v>
      </c>
      <c r="U47" s="55">
        <v>2791.6710549744894</v>
      </c>
      <c r="V47" s="90">
        <f t="shared" si="8"/>
        <v>1116.6684219897959</v>
      </c>
      <c r="W47" s="90">
        <f t="shared" si="6"/>
        <v>3908.3394769642855</v>
      </c>
      <c r="X47" s="90">
        <f t="shared" si="7"/>
        <v>4611.8405828178566</v>
      </c>
    </row>
    <row r="48" spans="2:25" ht="25" x14ac:dyDescent="0.35">
      <c r="B48" s="10" t="s">
        <v>120</v>
      </c>
      <c r="C48" s="2">
        <v>7</v>
      </c>
      <c r="D48" s="26" t="s">
        <v>110</v>
      </c>
      <c r="E48" s="17" t="s">
        <v>25</v>
      </c>
      <c r="F48" s="17" t="s">
        <v>118</v>
      </c>
      <c r="G48" s="2" t="s">
        <v>15</v>
      </c>
      <c r="H48" s="2" t="s">
        <v>14</v>
      </c>
      <c r="I48" s="15" t="s">
        <v>119</v>
      </c>
      <c r="J48" s="2" t="s">
        <v>15</v>
      </c>
      <c r="K48" s="15" t="s">
        <v>102</v>
      </c>
      <c r="L48" s="18" t="s">
        <v>22</v>
      </c>
      <c r="M48" s="15" t="s">
        <v>17</v>
      </c>
      <c r="N48" s="2" t="s">
        <v>17</v>
      </c>
      <c r="O48" s="18" t="s">
        <v>79</v>
      </c>
      <c r="P48" s="18" t="s">
        <v>24</v>
      </c>
      <c r="Q48" s="8">
        <v>1</v>
      </c>
      <c r="R48" s="2" t="s">
        <v>12</v>
      </c>
      <c r="S48" s="29">
        <v>43891</v>
      </c>
      <c r="T48" s="24">
        <v>2102.16</v>
      </c>
      <c r="U48" s="24">
        <v>3278.511995144127</v>
      </c>
      <c r="V48" s="90">
        <f t="shared" si="8"/>
        <v>1311.4047980576509</v>
      </c>
      <c r="W48" s="90">
        <f t="shared" si="6"/>
        <v>4589.9167932017781</v>
      </c>
      <c r="X48" s="90">
        <f t="shared" si="7"/>
        <v>5416.1018159780979</v>
      </c>
    </row>
    <row r="49" spans="2:25" ht="37.5" x14ac:dyDescent="0.35">
      <c r="B49" s="10" t="s">
        <v>58</v>
      </c>
      <c r="C49" s="2">
        <v>8</v>
      </c>
      <c r="D49" s="18" t="s">
        <v>77</v>
      </c>
      <c r="E49" s="18" t="s">
        <v>25</v>
      </c>
      <c r="F49" s="18" t="s">
        <v>76</v>
      </c>
      <c r="G49" s="2" t="s">
        <v>15</v>
      </c>
      <c r="H49" s="2" t="s">
        <v>14</v>
      </c>
      <c r="I49" s="2" t="s">
        <v>32</v>
      </c>
      <c r="J49" s="2" t="s">
        <v>15</v>
      </c>
      <c r="K49" s="18" t="s">
        <v>78</v>
      </c>
      <c r="L49" s="18" t="s">
        <v>22</v>
      </c>
      <c r="M49" s="18" t="s">
        <v>17</v>
      </c>
      <c r="N49" s="18" t="s">
        <v>17</v>
      </c>
      <c r="O49" s="18" t="s">
        <v>79</v>
      </c>
      <c r="P49" s="18" t="s">
        <v>80</v>
      </c>
      <c r="Q49" s="19">
        <v>1</v>
      </c>
      <c r="R49" s="2" t="s">
        <v>12</v>
      </c>
      <c r="S49" s="12">
        <v>44256</v>
      </c>
      <c r="T49" s="24">
        <v>2269.056</v>
      </c>
      <c r="U49" s="24">
        <v>3045.4900189960722</v>
      </c>
      <c r="V49" s="24">
        <f>U49*$V$40</f>
        <v>1218.1960075984289</v>
      </c>
      <c r="W49" s="24">
        <f t="shared" si="6"/>
        <v>4263.6860265945015</v>
      </c>
      <c r="X49" s="24">
        <f t="shared" si="7"/>
        <v>5031.1495113815117</v>
      </c>
      <c r="Y49" t="s">
        <v>123</v>
      </c>
    </row>
    <row r="50" spans="2:25" ht="37.5" x14ac:dyDescent="0.35">
      <c r="B50" s="10" t="s">
        <v>58</v>
      </c>
      <c r="C50" s="2">
        <v>9</v>
      </c>
      <c r="D50" s="18" t="s">
        <v>81</v>
      </c>
      <c r="E50" s="18" t="s">
        <v>25</v>
      </c>
      <c r="F50" s="18" t="s">
        <v>76</v>
      </c>
      <c r="G50" s="2" t="s">
        <v>15</v>
      </c>
      <c r="H50" s="2" t="s">
        <v>14</v>
      </c>
      <c r="I50" s="2" t="s">
        <v>32</v>
      </c>
      <c r="J50" s="2" t="s">
        <v>15</v>
      </c>
      <c r="K50" s="18" t="s">
        <v>78</v>
      </c>
      <c r="L50" s="18" t="s">
        <v>22</v>
      </c>
      <c r="M50" s="18" t="s">
        <v>17</v>
      </c>
      <c r="N50" s="18" t="s">
        <v>19</v>
      </c>
      <c r="O50" s="18" t="s">
        <v>74</v>
      </c>
      <c r="P50" s="18" t="s">
        <v>80</v>
      </c>
      <c r="Q50" s="19">
        <v>1</v>
      </c>
      <c r="R50" s="2" t="s">
        <v>12</v>
      </c>
      <c r="S50" s="12">
        <v>44256</v>
      </c>
      <c r="T50" s="24">
        <v>2642.52</v>
      </c>
      <c r="U50" s="24">
        <v>3546.7473191483591</v>
      </c>
      <c r="V50" s="24">
        <f t="shared" si="8"/>
        <v>1418.6989276593438</v>
      </c>
      <c r="W50" s="24">
        <f t="shared" si="6"/>
        <v>4965.4462468077027</v>
      </c>
      <c r="X50" s="24">
        <f t="shared" si="7"/>
        <v>5859.2265712330891</v>
      </c>
      <c r="Y50" t="s">
        <v>123</v>
      </c>
    </row>
    <row r="51" spans="2:25" ht="25" x14ac:dyDescent="0.35">
      <c r="B51" s="92" t="s">
        <v>148</v>
      </c>
      <c r="C51" s="2">
        <v>10</v>
      </c>
      <c r="D51" s="18" t="s">
        <v>149</v>
      </c>
      <c r="E51" s="18" t="s">
        <v>25</v>
      </c>
      <c r="F51" s="18" t="s">
        <v>76</v>
      </c>
      <c r="G51" s="2" t="s">
        <v>15</v>
      </c>
      <c r="H51" s="2" t="s">
        <v>14</v>
      </c>
      <c r="I51" s="15" t="s">
        <v>146</v>
      </c>
      <c r="J51" s="2" t="s">
        <v>15</v>
      </c>
      <c r="K51" s="15" t="s">
        <v>102</v>
      </c>
      <c r="L51" s="18" t="s">
        <v>22</v>
      </c>
      <c r="M51" s="18" t="s">
        <v>17</v>
      </c>
      <c r="N51" s="18" t="s">
        <v>17</v>
      </c>
      <c r="O51" s="18" t="s">
        <v>79</v>
      </c>
      <c r="P51" s="18" t="s">
        <v>24</v>
      </c>
      <c r="Q51" s="19"/>
      <c r="R51" s="2" t="s">
        <v>12</v>
      </c>
      <c r="S51" s="12"/>
      <c r="T51" s="24">
        <v>2283.192</v>
      </c>
      <c r="U51" s="24">
        <f>T51*1.35</f>
        <v>3082.3092000000001</v>
      </c>
      <c r="V51" s="24">
        <f>U51*$V$40</f>
        <v>1232.9236800000001</v>
      </c>
      <c r="W51" s="24">
        <f t="shared" si="6"/>
        <v>4315.2328800000005</v>
      </c>
      <c r="X51" s="24">
        <f t="shared" si="7"/>
        <v>5091.9747984000005</v>
      </c>
      <c r="Y51" t="s">
        <v>123</v>
      </c>
    </row>
    <row r="52" spans="2:25" ht="38" thickBot="1" x14ac:dyDescent="0.4">
      <c r="B52" s="98" t="s">
        <v>148</v>
      </c>
      <c r="C52" s="57">
        <v>11</v>
      </c>
      <c r="D52" s="78" t="s">
        <v>149</v>
      </c>
      <c r="E52" s="78" t="s">
        <v>25</v>
      </c>
      <c r="F52" s="78" t="s">
        <v>76</v>
      </c>
      <c r="G52" s="57" t="s">
        <v>15</v>
      </c>
      <c r="H52" s="57" t="s">
        <v>14</v>
      </c>
      <c r="I52" s="57" t="s">
        <v>146</v>
      </c>
      <c r="J52" s="57" t="s">
        <v>15</v>
      </c>
      <c r="K52" s="78" t="s">
        <v>78</v>
      </c>
      <c r="L52" s="78" t="s">
        <v>22</v>
      </c>
      <c r="M52" s="78" t="s">
        <v>17</v>
      </c>
      <c r="N52" s="78" t="s">
        <v>17</v>
      </c>
      <c r="O52" s="78" t="s">
        <v>79</v>
      </c>
      <c r="P52" s="78" t="s">
        <v>80</v>
      </c>
      <c r="Q52" s="86"/>
      <c r="R52" s="57" t="s">
        <v>12</v>
      </c>
      <c r="S52" s="87"/>
      <c r="T52" s="85">
        <v>2453.7359999999999</v>
      </c>
      <c r="U52" s="85">
        <f>T52*1.35</f>
        <v>3312.5436</v>
      </c>
      <c r="V52" s="85">
        <f t="shared" si="8"/>
        <v>1325.0174400000001</v>
      </c>
      <c r="W52" s="85">
        <f t="shared" si="6"/>
        <v>4637.5610400000005</v>
      </c>
      <c r="X52" s="85">
        <f t="shared" si="7"/>
        <v>5472.3220271999999</v>
      </c>
      <c r="Y52" t="s">
        <v>123</v>
      </c>
    </row>
    <row r="53" spans="2:25" ht="26.5" thickTop="1" x14ac:dyDescent="0.35">
      <c r="B53" s="13" t="s">
        <v>120</v>
      </c>
      <c r="C53" s="50">
        <v>12</v>
      </c>
      <c r="D53" s="51" t="s">
        <v>70</v>
      </c>
      <c r="E53" s="2" t="s">
        <v>26</v>
      </c>
      <c r="F53" s="2" t="s">
        <v>121</v>
      </c>
      <c r="G53" s="2" t="s">
        <v>15</v>
      </c>
      <c r="H53" s="2" t="s">
        <v>14</v>
      </c>
      <c r="I53" s="2" t="s">
        <v>122</v>
      </c>
      <c r="J53" s="2" t="s">
        <v>15</v>
      </c>
      <c r="K53" s="18" t="s">
        <v>102</v>
      </c>
      <c r="L53" s="2" t="s">
        <v>27</v>
      </c>
      <c r="M53" s="7" t="s">
        <v>13</v>
      </c>
      <c r="N53" s="18" t="s">
        <v>19</v>
      </c>
      <c r="O53" s="2" t="s">
        <v>74</v>
      </c>
      <c r="P53" s="18" t="s">
        <v>24</v>
      </c>
      <c r="Q53" s="19">
        <v>1</v>
      </c>
      <c r="R53" s="2" t="s">
        <v>12</v>
      </c>
      <c r="S53" s="12">
        <v>43891</v>
      </c>
      <c r="T53" s="24">
        <v>3416.3519999999999</v>
      </c>
      <c r="U53" s="24">
        <v>5328.1153725856393</v>
      </c>
      <c r="V53" s="55">
        <f t="shared" si="8"/>
        <v>2131.2461490342557</v>
      </c>
      <c r="W53" s="55">
        <f t="shared" si="6"/>
        <v>7459.361521619895</v>
      </c>
      <c r="X53" s="55">
        <f t="shared" si="7"/>
        <v>8802.046595511476</v>
      </c>
    </row>
    <row r="54" spans="2:25" ht="37.5" x14ac:dyDescent="0.35">
      <c r="B54" s="10" t="s">
        <v>56</v>
      </c>
      <c r="C54" s="2">
        <v>13</v>
      </c>
      <c r="D54" s="2" t="s">
        <v>70</v>
      </c>
      <c r="E54" s="2" t="s">
        <v>26</v>
      </c>
      <c r="F54" s="2" t="s">
        <v>121</v>
      </c>
      <c r="G54" s="2" t="s">
        <v>15</v>
      </c>
      <c r="H54" s="2" t="s">
        <v>14</v>
      </c>
      <c r="I54" s="2" t="s">
        <v>71</v>
      </c>
      <c r="J54" s="2" t="s">
        <v>15</v>
      </c>
      <c r="K54" s="2" t="s">
        <v>57</v>
      </c>
      <c r="L54" s="2" t="s">
        <v>27</v>
      </c>
      <c r="M54" s="7" t="s">
        <v>13</v>
      </c>
      <c r="N54" s="2" t="s">
        <v>19</v>
      </c>
      <c r="O54" s="2" t="s">
        <v>74</v>
      </c>
      <c r="P54" s="2" t="s">
        <v>72</v>
      </c>
      <c r="Q54" s="1">
        <v>1</v>
      </c>
      <c r="R54" s="2" t="s">
        <v>12</v>
      </c>
      <c r="S54" s="12">
        <v>44197</v>
      </c>
      <c r="T54" s="24">
        <v>3202.83</v>
      </c>
      <c r="U54" s="24">
        <v>4432.6218438392634</v>
      </c>
      <c r="V54" s="24">
        <f t="shared" si="8"/>
        <v>1773.0487375357054</v>
      </c>
      <c r="W54" s="24">
        <f t="shared" si="6"/>
        <v>6205.6705813749686</v>
      </c>
      <c r="X54" s="24">
        <f t="shared" si="7"/>
        <v>7322.6912860224629</v>
      </c>
    </row>
    <row r="55" spans="2:25" ht="25" x14ac:dyDescent="0.35">
      <c r="B55" s="13" t="s">
        <v>132</v>
      </c>
      <c r="C55" s="2">
        <v>14</v>
      </c>
      <c r="D55" s="77" t="s">
        <v>127</v>
      </c>
      <c r="E55" s="50" t="s">
        <v>26</v>
      </c>
      <c r="F55" s="77" t="s">
        <v>20</v>
      </c>
      <c r="G55" s="50" t="s">
        <v>15</v>
      </c>
      <c r="H55" s="50" t="s">
        <v>14</v>
      </c>
      <c r="I55" s="50" t="s">
        <v>32</v>
      </c>
      <c r="J55" s="50" t="s">
        <v>15</v>
      </c>
      <c r="K55" s="50" t="s">
        <v>124</v>
      </c>
      <c r="L55" s="50" t="s">
        <v>27</v>
      </c>
      <c r="M55" s="50" t="s">
        <v>17</v>
      </c>
      <c r="N55" s="77" t="s">
        <v>17</v>
      </c>
      <c r="O55" s="77" t="s">
        <v>79</v>
      </c>
      <c r="P55" s="77" t="s">
        <v>24</v>
      </c>
      <c r="Q55" s="50">
        <v>4</v>
      </c>
      <c r="R55" s="50" t="s">
        <v>12</v>
      </c>
      <c r="S55" s="54">
        <v>44075</v>
      </c>
      <c r="T55" s="55">
        <v>2219.81</v>
      </c>
      <c r="U55" s="55">
        <v>3110.8709285671575</v>
      </c>
      <c r="V55" s="90">
        <f t="shared" si="8"/>
        <v>1244.3483714268632</v>
      </c>
      <c r="W55" s="90">
        <f t="shared" si="6"/>
        <v>4355.2192999940207</v>
      </c>
      <c r="X55" s="90">
        <f t="shared" si="7"/>
        <v>5139.1587739929446</v>
      </c>
    </row>
    <row r="56" spans="2:25" ht="25" x14ac:dyDescent="0.35">
      <c r="B56" s="10" t="s">
        <v>132</v>
      </c>
      <c r="C56" s="2">
        <v>15</v>
      </c>
      <c r="D56" s="18" t="s">
        <v>75</v>
      </c>
      <c r="E56" s="36" t="s">
        <v>26</v>
      </c>
      <c r="F56" s="18" t="s">
        <v>20</v>
      </c>
      <c r="G56" s="2" t="s">
        <v>15</v>
      </c>
      <c r="H56" s="2" t="s">
        <v>14</v>
      </c>
      <c r="I56" s="36" t="s">
        <v>32</v>
      </c>
      <c r="J56" s="2" t="s">
        <v>15</v>
      </c>
      <c r="K56" s="36" t="s">
        <v>124</v>
      </c>
      <c r="L56" s="2" t="s">
        <v>27</v>
      </c>
      <c r="M56" s="2" t="s">
        <v>17</v>
      </c>
      <c r="N56" s="18" t="s">
        <v>19</v>
      </c>
      <c r="O56" s="36" t="s">
        <v>74</v>
      </c>
      <c r="P56" s="18" t="s">
        <v>24</v>
      </c>
      <c r="Q56" s="2">
        <v>2</v>
      </c>
      <c r="R56" s="2" t="s">
        <v>12</v>
      </c>
      <c r="S56" s="12">
        <v>44075</v>
      </c>
      <c r="T56" s="24">
        <v>2652.44</v>
      </c>
      <c r="U56" s="24">
        <v>3717.1643004440343</v>
      </c>
      <c r="V56" s="90">
        <f t="shared" si="8"/>
        <v>1486.8657201776139</v>
      </c>
      <c r="W56" s="90">
        <f t="shared" si="6"/>
        <v>5204.030020621648</v>
      </c>
      <c r="X56" s="90">
        <f t="shared" si="7"/>
        <v>6140.7554243335444</v>
      </c>
    </row>
    <row r="57" spans="2:25" ht="25" x14ac:dyDescent="0.35">
      <c r="B57" s="10" t="s">
        <v>132</v>
      </c>
      <c r="C57" s="2">
        <v>16</v>
      </c>
      <c r="D57" s="18" t="s">
        <v>128</v>
      </c>
      <c r="E57" s="2" t="s">
        <v>26</v>
      </c>
      <c r="F57" s="18" t="s">
        <v>20</v>
      </c>
      <c r="G57" s="2" t="s">
        <v>15</v>
      </c>
      <c r="H57" s="2" t="s">
        <v>14</v>
      </c>
      <c r="I57" s="2" t="s">
        <v>32</v>
      </c>
      <c r="J57" s="2" t="s">
        <v>15</v>
      </c>
      <c r="K57" s="2" t="s">
        <v>124</v>
      </c>
      <c r="L57" s="2" t="s">
        <v>27</v>
      </c>
      <c r="M57" s="2" t="s">
        <v>17</v>
      </c>
      <c r="N57" s="18" t="s">
        <v>19</v>
      </c>
      <c r="O57" s="18" t="s">
        <v>79</v>
      </c>
      <c r="P57" s="18" t="s">
        <v>24</v>
      </c>
      <c r="Q57" s="2">
        <v>2</v>
      </c>
      <c r="R57" s="2" t="s">
        <v>12</v>
      </c>
      <c r="S57" s="12">
        <v>44075</v>
      </c>
      <c r="T57" s="24">
        <v>2323.7800000000002</v>
      </c>
      <c r="U57" s="24">
        <v>3256.5758539630829</v>
      </c>
      <c r="V57" s="90">
        <f t="shared" si="8"/>
        <v>1302.6303415852333</v>
      </c>
      <c r="W57" s="90">
        <f t="shared" si="6"/>
        <v>4559.2061955483159</v>
      </c>
      <c r="X57" s="90">
        <f t="shared" si="7"/>
        <v>5379.8633107470123</v>
      </c>
    </row>
    <row r="58" spans="2:25" ht="25" x14ac:dyDescent="0.35">
      <c r="B58" s="10" t="s">
        <v>132</v>
      </c>
      <c r="C58" s="2">
        <v>17</v>
      </c>
      <c r="D58" s="18" t="s">
        <v>83</v>
      </c>
      <c r="E58" s="2" t="s">
        <v>26</v>
      </c>
      <c r="F58" s="18" t="s">
        <v>20</v>
      </c>
      <c r="G58" s="2" t="s">
        <v>15</v>
      </c>
      <c r="H58" s="2" t="s">
        <v>14</v>
      </c>
      <c r="I58" s="2" t="s">
        <v>32</v>
      </c>
      <c r="J58" s="2" t="s">
        <v>15</v>
      </c>
      <c r="K58" s="2" t="s">
        <v>125</v>
      </c>
      <c r="L58" s="2" t="s">
        <v>27</v>
      </c>
      <c r="M58" s="2" t="s">
        <v>17</v>
      </c>
      <c r="N58" s="18" t="s">
        <v>17</v>
      </c>
      <c r="O58" s="18" t="s">
        <v>79</v>
      </c>
      <c r="P58" s="18" t="s">
        <v>21</v>
      </c>
      <c r="Q58" s="2">
        <v>1</v>
      </c>
      <c r="R58" s="2" t="s">
        <v>12</v>
      </c>
      <c r="S58" s="12">
        <v>44075</v>
      </c>
      <c r="T58" s="24">
        <v>2465.5300000000002</v>
      </c>
      <c r="U58" s="24">
        <v>3455.2261682352023</v>
      </c>
      <c r="V58" s="90">
        <f t="shared" si="8"/>
        <v>1382.090467294081</v>
      </c>
      <c r="W58" s="90">
        <f t="shared" si="6"/>
        <v>4837.3166355292833</v>
      </c>
      <c r="X58" s="90">
        <f t="shared" si="7"/>
        <v>5708.0336299245537</v>
      </c>
    </row>
    <row r="59" spans="2:25" ht="25" x14ac:dyDescent="0.35">
      <c r="B59" s="10" t="s">
        <v>120</v>
      </c>
      <c r="C59" s="2">
        <v>18</v>
      </c>
      <c r="D59" s="26" t="s">
        <v>111</v>
      </c>
      <c r="E59" s="2" t="s">
        <v>26</v>
      </c>
      <c r="F59" s="2" t="s">
        <v>118</v>
      </c>
      <c r="G59" s="2" t="s">
        <v>15</v>
      </c>
      <c r="H59" s="2" t="s">
        <v>14</v>
      </c>
      <c r="I59" s="2" t="s">
        <v>32</v>
      </c>
      <c r="J59" s="2" t="s">
        <v>15</v>
      </c>
      <c r="K59" s="18" t="s">
        <v>51</v>
      </c>
      <c r="L59" s="2" t="s">
        <v>27</v>
      </c>
      <c r="M59" s="18" t="s">
        <v>17</v>
      </c>
      <c r="N59" s="18" t="s">
        <v>17</v>
      </c>
      <c r="O59" s="18" t="s">
        <v>79</v>
      </c>
      <c r="P59" s="18" t="s">
        <v>24</v>
      </c>
      <c r="Q59" s="19">
        <v>3</v>
      </c>
      <c r="R59" s="2" t="s">
        <v>12</v>
      </c>
      <c r="S59" s="12">
        <v>43891</v>
      </c>
      <c r="T59" s="24">
        <v>2176.0320000000002</v>
      </c>
      <c r="U59" s="24">
        <v>3393.7221780537475</v>
      </c>
      <c r="V59" s="90">
        <f t="shared" si="8"/>
        <v>1357.488871221499</v>
      </c>
      <c r="W59" s="90">
        <f t="shared" si="6"/>
        <v>4751.2110492752463</v>
      </c>
      <c r="X59" s="90">
        <f t="shared" si="7"/>
        <v>5606.42903814479</v>
      </c>
    </row>
    <row r="60" spans="2:25" ht="37.5" x14ac:dyDescent="0.35">
      <c r="B60" s="10" t="s">
        <v>58</v>
      </c>
      <c r="C60" s="2">
        <v>19</v>
      </c>
      <c r="D60" s="18" t="s">
        <v>75</v>
      </c>
      <c r="E60" s="18" t="s">
        <v>26</v>
      </c>
      <c r="F60" s="18" t="s">
        <v>76</v>
      </c>
      <c r="G60" s="2" t="s">
        <v>15</v>
      </c>
      <c r="H60" s="2" t="s">
        <v>14</v>
      </c>
      <c r="I60" s="2" t="s">
        <v>32</v>
      </c>
      <c r="J60" s="2" t="s">
        <v>15</v>
      </c>
      <c r="K60" s="18" t="s">
        <v>59</v>
      </c>
      <c r="L60" s="18" t="s">
        <v>27</v>
      </c>
      <c r="M60" s="18" t="s">
        <v>17</v>
      </c>
      <c r="N60" s="18" t="s">
        <v>19</v>
      </c>
      <c r="O60" s="18" t="s">
        <v>74</v>
      </c>
      <c r="P60" s="18" t="s">
        <v>24</v>
      </c>
      <c r="Q60" s="19">
        <v>2</v>
      </c>
      <c r="R60" s="2" t="s">
        <v>12</v>
      </c>
      <c r="S60" s="12">
        <v>44256</v>
      </c>
      <c r="T60" s="32">
        <v>2902.44</v>
      </c>
      <c r="U60" s="24">
        <v>3895.6077111957402</v>
      </c>
      <c r="V60" s="24">
        <f t="shared" si="8"/>
        <v>1558.2430844782962</v>
      </c>
      <c r="W60" s="24">
        <f t="shared" si="6"/>
        <v>5453.8507956740359</v>
      </c>
      <c r="X60" s="24">
        <f t="shared" si="7"/>
        <v>6435.5439388953619</v>
      </c>
      <c r="Y60" t="s">
        <v>123</v>
      </c>
    </row>
    <row r="61" spans="2:25" ht="37.5" x14ac:dyDescent="0.35">
      <c r="B61" s="10" t="s">
        <v>58</v>
      </c>
      <c r="C61" s="2">
        <v>20</v>
      </c>
      <c r="D61" s="18" t="s">
        <v>82</v>
      </c>
      <c r="E61" s="18" t="s">
        <v>26</v>
      </c>
      <c r="F61" s="18" t="s">
        <v>76</v>
      </c>
      <c r="G61" s="2" t="s">
        <v>15</v>
      </c>
      <c r="H61" s="2" t="s">
        <v>14</v>
      </c>
      <c r="I61" s="2" t="s">
        <v>32</v>
      </c>
      <c r="J61" s="2" t="s">
        <v>15</v>
      </c>
      <c r="K61" s="18" t="s">
        <v>78</v>
      </c>
      <c r="L61" s="18" t="s">
        <v>27</v>
      </c>
      <c r="M61" s="18" t="s">
        <v>17</v>
      </c>
      <c r="N61" s="18" t="s">
        <v>19</v>
      </c>
      <c r="O61" s="18" t="s">
        <v>74</v>
      </c>
      <c r="P61" s="18" t="s">
        <v>80</v>
      </c>
      <c r="Q61" s="19">
        <v>1</v>
      </c>
      <c r="R61" s="2" t="s">
        <v>12</v>
      </c>
      <c r="S61" s="12">
        <v>44256</v>
      </c>
      <c r="T61" s="24">
        <v>3088.0319999999997</v>
      </c>
      <c r="U61" s="24">
        <v>4144.706271833079</v>
      </c>
      <c r="V61" s="24">
        <f t="shared" si="8"/>
        <v>1657.8825087332316</v>
      </c>
      <c r="W61" s="24">
        <f t="shared" si="6"/>
        <v>5802.5887805663106</v>
      </c>
      <c r="X61" s="24">
        <f t="shared" si="7"/>
        <v>6847.0547610682461</v>
      </c>
      <c r="Y61" t="s">
        <v>123</v>
      </c>
    </row>
    <row r="62" spans="2:25" ht="37.5" x14ac:dyDescent="0.35">
      <c r="B62" s="10" t="s">
        <v>58</v>
      </c>
      <c r="C62" s="2">
        <v>21</v>
      </c>
      <c r="D62" s="18" t="s">
        <v>83</v>
      </c>
      <c r="E62" s="18" t="s">
        <v>26</v>
      </c>
      <c r="F62" s="18" t="s">
        <v>76</v>
      </c>
      <c r="G62" s="2" t="s">
        <v>15</v>
      </c>
      <c r="H62" s="2" t="s">
        <v>14</v>
      </c>
      <c r="I62" s="2" t="s">
        <v>32</v>
      </c>
      <c r="J62" s="2" t="s">
        <v>15</v>
      </c>
      <c r="K62" s="18" t="s">
        <v>78</v>
      </c>
      <c r="L62" s="18" t="s">
        <v>27</v>
      </c>
      <c r="M62" s="18" t="s">
        <v>17</v>
      </c>
      <c r="N62" s="18" t="s">
        <v>17</v>
      </c>
      <c r="O62" s="18" t="s">
        <v>79</v>
      </c>
      <c r="P62" s="18" t="s">
        <v>80</v>
      </c>
      <c r="Q62" s="19">
        <v>1</v>
      </c>
      <c r="R62" s="2" t="s">
        <v>12</v>
      </c>
      <c r="S62" s="12">
        <v>44256</v>
      </c>
      <c r="T62" s="24">
        <v>2405.4</v>
      </c>
      <c r="U62" s="24">
        <v>3228.4887158770698</v>
      </c>
      <c r="V62" s="24">
        <f t="shared" si="8"/>
        <v>1291.3954863508279</v>
      </c>
      <c r="W62" s="24">
        <f t="shared" si="6"/>
        <v>4519.8842022278977</v>
      </c>
      <c r="X62" s="24">
        <f t="shared" si="7"/>
        <v>5333.4633586289192</v>
      </c>
      <c r="Y62" t="s">
        <v>123</v>
      </c>
    </row>
    <row r="63" spans="2:25" ht="37.5" x14ac:dyDescent="0.35">
      <c r="B63" s="92" t="s">
        <v>148</v>
      </c>
      <c r="C63" s="2">
        <v>22</v>
      </c>
      <c r="D63" s="18" t="s">
        <v>149</v>
      </c>
      <c r="E63" s="18" t="s">
        <v>26</v>
      </c>
      <c r="F63" s="18" t="s">
        <v>76</v>
      </c>
      <c r="G63" s="2" t="s">
        <v>15</v>
      </c>
      <c r="H63" s="2" t="s">
        <v>14</v>
      </c>
      <c r="I63" s="15" t="s">
        <v>146</v>
      </c>
      <c r="J63" s="2" t="s">
        <v>15</v>
      </c>
      <c r="K63" s="18" t="s">
        <v>59</v>
      </c>
      <c r="L63" s="18" t="s">
        <v>27</v>
      </c>
      <c r="M63" s="18" t="s">
        <v>17</v>
      </c>
      <c r="N63" s="18" t="s">
        <v>17</v>
      </c>
      <c r="O63" s="18" t="s">
        <v>79</v>
      </c>
      <c r="P63" s="18" t="s">
        <v>24</v>
      </c>
      <c r="Q63" s="19"/>
      <c r="R63" s="2" t="s">
        <v>12</v>
      </c>
      <c r="S63" s="12"/>
      <c r="T63" s="24">
        <v>2403.12</v>
      </c>
      <c r="U63" s="24">
        <f>T63*1.35</f>
        <v>3244.212</v>
      </c>
      <c r="V63" s="24">
        <f t="shared" si="8"/>
        <v>1297.6848</v>
      </c>
      <c r="W63" s="24">
        <f t="shared" si="6"/>
        <v>4541.8968000000004</v>
      </c>
      <c r="X63" s="24">
        <f t="shared" si="7"/>
        <v>5359.4382240000004</v>
      </c>
      <c r="Y63" t="s">
        <v>123</v>
      </c>
    </row>
    <row r="64" spans="2:25" ht="38" thickBot="1" x14ac:dyDescent="0.4">
      <c r="B64" s="98" t="s">
        <v>148</v>
      </c>
      <c r="C64" s="57">
        <v>23</v>
      </c>
      <c r="D64" s="78" t="s">
        <v>149</v>
      </c>
      <c r="E64" s="78" t="s">
        <v>26</v>
      </c>
      <c r="F64" s="78" t="s">
        <v>76</v>
      </c>
      <c r="G64" s="57" t="s">
        <v>15</v>
      </c>
      <c r="H64" s="57" t="s">
        <v>14</v>
      </c>
      <c r="I64" s="57" t="s">
        <v>146</v>
      </c>
      <c r="J64" s="57" t="s">
        <v>15</v>
      </c>
      <c r="K64" s="78" t="s">
        <v>78</v>
      </c>
      <c r="L64" s="78" t="s">
        <v>27</v>
      </c>
      <c r="M64" s="78" t="s">
        <v>17</v>
      </c>
      <c r="N64" s="78" t="s">
        <v>17</v>
      </c>
      <c r="O64" s="78" t="s">
        <v>79</v>
      </c>
      <c r="P64" s="78" t="s">
        <v>80</v>
      </c>
      <c r="Q64" s="86"/>
      <c r="R64" s="57" t="s">
        <v>12</v>
      </c>
      <c r="S64" s="87"/>
      <c r="T64" s="85">
        <v>2592.8160000000003</v>
      </c>
      <c r="U64" s="85">
        <f>T64*1.35</f>
        <v>3500.3016000000007</v>
      </c>
      <c r="V64" s="85">
        <f t="shared" si="8"/>
        <v>1400.1206400000003</v>
      </c>
      <c r="W64" s="85">
        <f t="shared" si="6"/>
        <v>4900.4222400000008</v>
      </c>
      <c r="X64" s="85">
        <f t="shared" si="7"/>
        <v>5782.4982432000006</v>
      </c>
      <c r="Y64" t="s">
        <v>123</v>
      </c>
    </row>
    <row r="65" spans="2:25" ht="25.5" thickTop="1" x14ac:dyDescent="0.35">
      <c r="B65" s="13" t="s">
        <v>120</v>
      </c>
      <c r="C65" s="50">
        <v>24</v>
      </c>
      <c r="D65" s="51" t="s">
        <v>112</v>
      </c>
      <c r="E65" s="50" t="s">
        <v>33</v>
      </c>
      <c r="F65" s="50" t="s">
        <v>118</v>
      </c>
      <c r="G65" s="50" t="s">
        <v>15</v>
      </c>
      <c r="H65" s="50" t="s">
        <v>14</v>
      </c>
      <c r="I65" s="50" t="s">
        <v>32</v>
      </c>
      <c r="J65" s="50" t="s">
        <v>15</v>
      </c>
      <c r="K65" s="77" t="s">
        <v>51</v>
      </c>
      <c r="L65" s="50" t="s">
        <v>31</v>
      </c>
      <c r="M65" s="50" t="s">
        <v>17</v>
      </c>
      <c r="N65" s="77" t="s">
        <v>17</v>
      </c>
      <c r="O65" s="77" t="s">
        <v>79</v>
      </c>
      <c r="P65" s="77" t="s">
        <v>24</v>
      </c>
      <c r="Q65" s="80">
        <v>2</v>
      </c>
      <c r="R65" s="50" t="s">
        <v>12</v>
      </c>
      <c r="S65" s="54">
        <v>43891</v>
      </c>
      <c r="T65" s="55">
        <v>2407.2239999999997</v>
      </c>
      <c r="U65" s="55">
        <v>3754.2873801227429</v>
      </c>
      <c r="V65" s="99">
        <f t="shared" si="8"/>
        <v>1501.7149520490973</v>
      </c>
      <c r="W65" s="99">
        <f t="shared" si="6"/>
        <v>5256.00233217184</v>
      </c>
      <c r="X65" s="99">
        <f t="shared" si="7"/>
        <v>6202.082751962771</v>
      </c>
    </row>
    <row r="66" spans="2:25" ht="25" x14ac:dyDescent="0.35">
      <c r="B66" s="10" t="s">
        <v>120</v>
      </c>
      <c r="C66" s="2">
        <v>25</v>
      </c>
      <c r="D66" s="26" t="s">
        <v>113</v>
      </c>
      <c r="E66" s="2" t="s">
        <v>33</v>
      </c>
      <c r="F66" s="2" t="s">
        <v>118</v>
      </c>
      <c r="G66" s="2" t="s">
        <v>15</v>
      </c>
      <c r="H66" s="2" t="s">
        <v>14</v>
      </c>
      <c r="I66" s="2" t="s">
        <v>32</v>
      </c>
      <c r="J66" s="2" t="s">
        <v>15</v>
      </c>
      <c r="K66" s="18" t="s">
        <v>102</v>
      </c>
      <c r="L66" s="2" t="s">
        <v>31</v>
      </c>
      <c r="M66" s="2" t="s">
        <v>17</v>
      </c>
      <c r="N66" s="18" t="s">
        <v>19</v>
      </c>
      <c r="O66" s="18" t="s">
        <v>79</v>
      </c>
      <c r="P66" s="18" t="s">
        <v>24</v>
      </c>
      <c r="Q66" s="19">
        <v>1</v>
      </c>
      <c r="R66" s="2" t="s">
        <v>12</v>
      </c>
      <c r="S66" s="12">
        <v>43891</v>
      </c>
      <c r="T66" s="24">
        <v>2879.64</v>
      </c>
      <c r="U66" s="24">
        <v>4491.0636115694497</v>
      </c>
      <c r="V66" s="90">
        <f t="shared" si="8"/>
        <v>1796.4254446277801</v>
      </c>
      <c r="W66" s="90">
        <f t="shared" si="6"/>
        <v>6287.4890561972297</v>
      </c>
      <c r="X66" s="90">
        <f t="shared" si="7"/>
        <v>7419.2370863127308</v>
      </c>
    </row>
    <row r="67" spans="2:25" ht="25" x14ac:dyDescent="0.35">
      <c r="B67" s="10" t="s">
        <v>56</v>
      </c>
      <c r="C67" s="2">
        <v>26</v>
      </c>
      <c r="D67" s="2" t="s">
        <v>68</v>
      </c>
      <c r="E67" s="2" t="s">
        <v>33</v>
      </c>
      <c r="F67" s="2" t="s">
        <v>118</v>
      </c>
      <c r="G67" s="2" t="s">
        <v>15</v>
      </c>
      <c r="H67" s="2" t="s">
        <v>14</v>
      </c>
      <c r="I67" s="2" t="s">
        <v>32</v>
      </c>
      <c r="J67" s="2" t="s">
        <v>15</v>
      </c>
      <c r="K67" s="2" t="s">
        <v>69</v>
      </c>
      <c r="L67" s="2" t="s">
        <v>31</v>
      </c>
      <c r="M67" s="2" t="s">
        <v>17</v>
      </c>
      <c r="N67" s="2" t="s">
        <v>19</v>
      </c>
      <c r="O67" s="18" t="s">
        <v>79</v>
      </c>
      <c r="P67" s="2" t="s">
        <v>21</v>
      </c>
      <c r="Q67" s="1">
        <v>2</v>
      </c>
      <c r="R67" s="2" t="s">
        <v>12</v>
      </c>
      <c r="S67" s="12">
        <v>44197</v>
      </c>
      <c r="T67" s="24">
        <v>3220.7849999999994</v>
      </c>
      <c r="U67" s="24">
        <v>4457.4710319654296</v>
      </c>
      <c r="V67" s="24">
        <f t="shared" si="8"/>
        <v>1782.9884127861719</v>
      </c>
      <c r="W67" s="24">
        <f t="shared" si="6"/>
        <v>6240.459444751601</v>
      </c>
      <c r="X67" s="24">
        <f t="shared" si="7"/>
        <v>7363.742144806889</v>
      </c>
    </row>
    <row r="68" spans="2:25" ht="29" x14ac:dyDescent="0.35">
      <c r="B68" s="10" t="s">
        <v>132</v>
      </c>
      <c r="C68" s="2">
        <v>27</v>
      </c>
      <c r="D68" s="39" t="s">
        <v>129</v>
      </c>
      <c r="E68" s="2" t="s">
        <v>33</v>
      </c>
      <c r="F68" s="2" t="s">
        <v>118</v>
      </c>
      <c r="G68" s="2" t="s">
        <v>15</v>
      </c>
      <c r="H68" s="2" t="s">
        <v>14</v>
      </c>
      <c r="I68" s="2" t="s">
        <v>32</v>
      </c>
      <c r="J68" s="2" t="s">
        <v>15</v>
      </c>
      <c r="K68" s="18" t="s">
        <v>124</v>
      </c>
      <c r="L68" s="18" t="s">
        <v>34</v>
      </c>
      <c r="M68" s="2" t="s">
        <v>17</v>
      </c>
      <c r="N68" s="2" t="s">
        <v>17</v>
      </c>
      <c r="O68" s="18" t="s">
        <v>79</v>
      </c>
      <c r="P68" s="2" t="s">
        <v>24</v>
      </c>
      <c r="Q68" s="19">
        <v>4</v>
      </c>
      <c r="R68" s="2" t="s">
        <v>12</v>
      </c>
      <c r="S68" s="12">
        <v>44075</v>
      </c>
      <c r="T68" s="24">
        <v>2455.56</v>
      </c>
      <c r="U68" s="24">
        <v>3441.254079111442</v>
      </c>
      <c r="V68" s="24">
        <f t="shared" si="8"/>
        <v>1376.5016316445769</v>
      </c>
      <c r="W68" s="24">
        <f t="shared" si="6"/>
        <v>4817.7557107560187</v>
      </c>
      <c r="X68" s="24">
        <f t="shared" si="7"/>
        <v>5684.9517386921016</v>
      </c>
    </row>
    <row r="69" spans="2:25" ht="25" x14ac:dyDescent="0.35">
      <c r="B69" s="10" t="s">
        <v>132</v>
      </c>
      <c r="C69" s="2">
        <v>28</v>
      </c>
      <c r="D69" s="39" t="s">
        <v>130</v>
      </c>
      <c r="E69" s="2" t="s">
        <v>33</v>
      </c>
      <c r="F69" s="2" t="s">
        <v>118</v>
      </c>
      <c r="G69" s="2" t="s">
        <v>15</v>
      </c>
      <c r="H69" s="2" t="s">
        <v>14</v>
      </c>
      <c r="I69" s="2" t="s">
        <v>32</v>
      </c>
      <c r="J69" s="2" t="s">
        <v>15</v>
      </c>
      <c r="K69" s="18" t="s">
        <v>124</v>
      </c>
      <c r="L69" s="18" t="s">
        <v>34</v>
      </c>
      <c r="M69" s="2" t="s">
        <v>17</v>
      </c>
      <c r="N69" s="2" t="s">
        <v>19</v>
      </c>
      <c r="O69" s="2" t="s">
        <v>74</v>
      </c>
      <c r="P69" s="2" t="s">
        <v>24</v>
      </c>
      <c r="Q69" s="19">
        <v>2</v>
      </c>
      <c r="R69" s="2" t="s">
        <v>12</v>
      </c>
      <c r="S69" s="12">
        <v>44075</v>
      </c>
      <c r="T69" s="24">
        <v>2844.68</v>
      </c>
      <c r="U69" s="24">
        <v>3986.5719647521278</v>
      </c>
      <c r="V69" s="24">
        <f t="shared" si="8"/>
        <v>1594.6287859008512</v>
      </c>
      <c r="W69" s="24">
        <f t="shared" si="6"/>
        <v>5581.200750652979</v>
      </c>
      <c r="X69" s="24">
        <f t="shared" si="7"/>
        <v>6585.816885770515</v>
      </c>
    </row>
    <row r="70" spans="2:25" ht="29" x14ac:dyDescent="0.35">
      <c r="B70" s="10" t="s">
        <v>132</v>
      </c>
      <c r="C70" s="2">
        <v>29</v>
      </c>
      <c r="D70" s="39" t="s">
        <v>131</v>
      </c>
      <c r="E70" s="2" t="s">
        <v>33</v>
      </c>
      <c r="F70" s="2" t="s">
        <v>118</v>
      </c>
      <c r="G70" s="2" t="s">
        <v>15</v>
      </c>
      <c r="H70" s="2" t="s">
        <v>14</v>
      </c>
      <c r="I70" s="2" t="s">
        <v>32</v>
      </c>
      <c r="J70" s="2" t="s">
        <v>15</v>
      </c>
      <c r="K70" s="18" t="s">
        <v>125</v>
      </c>
      <c r="L70" s="18" t="s">
        <v>34</v>
      </c>
      <c r="M70" s="2" t="s">
        <v>17</v>
      </c>
      <c r="N70" s="2" t="s">
        <v>19</v>
      </c>
      <c r="O70" s="18" t="s">
        <v>79</v>
      </c>
      <c r="P70" s="2" t="s">
        <v>21</v>
      </c>
      <c r="Q70" s="19">
        <v>2</v>
      </c>
      <c r="R70" s="2" t="s">
        <v>12</v>
      </c>
      <c r="S70" s="12">
        <v>44075</v>
      </c>
      <c r="T70" s="24">
        <v>2991.93</v>
      </c>
      <c r="U70" s="24">
        <v>4192.9300513593198</v>
      </c>
      <c r="V70" s="24">
        <f>U70*$V$40</f>
        <v>1677.172020543728</v>
      </c>
      <c r="W70" s="24">
        <f t="shared" si="6"/>
        <v>5870.1020719030475</v>
      </c>
      <c r="X70" s="24">
        <f t="shared" si="7"/>
        <v>6926.7204448455959</v>
      </c>
    </row>
    <row r="71" spans="2:25" ht="37.5" x14ac:dyDescent="0.35">
      <c r="B71" s="92" t="s">
        <v>148</v>
      </c>
      <c r="C71" s="2">
        <v>30</v>
      </c>
      <c r="D71" s="18" t="s">
        <v>149</v>
      </c>
      <c r="E71" s="2" t="s">
        <v>33</v>
      </c>
      <c r="F71" s="2" t="s">
        <v>118</v>
      </c>
      <c r="G71" s="2" t="s">
        <v>15</v>
      </c>
      <c r="H71" s="2" t="s">
        <v>14</v>
      </c>
      <c r="I71" s="15" t="s">
        <v>146</v>
      </c>
      <c r="J71" s="2" t="s">
        <v>15</v>
      </c>
      <c r="K71" s="18" t="s">
        <v>59</v>
      </c>
      <c r="L71" s="18" t="s">
        <v>34</v>
      </c>
      <c r="M71" s="2" t="s">
        <v>17</v>
      </c>
      <c r="N71" s="2" t="s">
        <v>17</v>
      </c>
      <c r="O71" s="18" t="s">
        <v>79</v>
      </c>
      <c r="P71" s="2" t="s">
        <v>24</v>
      </c>
      <c r="Q71" s="19"/>
      <c r="R71" s="2" t="s">
        <v>12</v>
      </c>
      <c r="S71" s="12"/>
      <c r="T71" s="24">
        <v>2635.2240000000002</v>
      </c>
      <c r="U71" s="24">
        <f>T71*1.35</f>
        <v>3557.5524000000005</v>
      </c>
      <c r="V71" s="24">
        <f>U71*$V$40</f>
        <v>1423.0209600000003</v>
      </c>
      <c r="W71" s="24">
        <f t="shared" si="6"/>
        <v>4980.5733600000003</v>
      </c>
      <c r="X71" s="24">
        <f t="shared" si="7"/>
        <v>5877.0765647999997</v>
      </c>
      <c r="Y71" t="s">
        <v>123</v>
      </c>
    </row>
    <row r="72" spans="2:25" ht="38" thickBot="1" x14ac:dyDescent="0.4">
      <c r="B72" s="98" t="s">
        <v>148</v>
      </c>
      <c r="C72" s="57">
        <v>31</v>
      </c>
      <c r="D72" s="78" t="s">
        <v>149</v>
      </c>
      <c r="E72" s="57" t="s">
        <v>33</v>
      </c>
      <c r="F72" s="57" t="s">
        <v>118</v>
      </c>
      <c r="G72" s="57" t="s">
        <v>15</v>
      </c>
      <c r="H72" s="57" t="s">
        <v>14</v>
      </c>
      <c r="I72" s="57" t="s">
        <v>146</v>
      </c>
      <c r="J72" s="57" t="s">
        <v>15</v>
      </c>
      <c r="K72" s="78" t="s">
        <v>78</v>
      </c>
      <c r="L72" s="78" t="s">
        <v>34</v>
      </c>
      <c r="M72" s="57" t="s">
        <v>17</v>
      </c>
      <c r="N72" s="57" t="s">
        <v>17</v>
      </c>
      <c r="O72" s="78" t="s">
        <v>79</v>
      </c>
      <c r="P72" s="57" t="s">
        <v>21</v>
      </c>
      <c r="Q72" s="86"/>
      <c r="R72" s="57" t="s">
        <v>12</v>
      </c>
      <c r="S72" s="87"/>
      <c r="T72" s="85">
        <v>3026.4719999999998</v>
      </c>
      <c r="U72" s="85">
        <f>T72*1.35</f>
        <v>4085.7372</v>
      </c>
      <c r="V72" s="85">
        <f>U72*$V$40</f>
        <v>1634.2948800000001</v>
      </c>
      <c r="W72" s="85">
        <f t="shared" si="6"/>
        <v>5720.03208</v>
      </c>
      <c r="X72" s="85">
        <f t="shared" si="7"/>
        <v>6749.6378543999999</v>
      </c>
      <c r="Y72" t="s">
        <v>123</v>
      </c>
    </row>
    <row r="73" spans="2:25" ht="15" customHeight="1" thickTop="1" x14ac:dyDescent="0.35"/>
    <row r="75" spans="2:25" ht="15" customHeight="1" x14ac:dyDescent="0.35">
      <c r="U75" s="91"/>
      <c r="V75" s="91"/>
    </row>
    <row r="76" spans="2:25" ht="15" customHeight="1" x14ac:dyDescent="0.35">
      <c r="U76" s="91"/>
    </row>
  </sheetData>
  <mergeCells count="1">
    <mergeCell ref="B1:R1"/>
  </mergeCells>
  <pageMargins left="0.25" right="0.25" top="0.75" bottom="0.75" header="0.3" footer="0.3"/>
  <pageSetup paperSize="9" scale="45" fitToHeight="0" orientation="landscape" r:id="rId1"/>
  <rowBreaks count="1" manualBreakCount="1">
    <brk id="38" max="2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U17"/>
  <sheetViews>
    <sheetView workbookViewId="0">
      <selection activeCell="V10" sqref="V10"/>
    </sheetView>
  </sheetViews>
  <sheetFormatPr baseColWidth="10" defaultRowHeight="14.5" x14ac:dyDescent="0.35"/>
  <cols>
    <col min="1" max="1" width="3" customWidth="1"/>
    <col min="2" max="2" width="19.453125" style="4" customWidth="1"/>
    <col min="3" max="3" width="7.6328125" customWidth="1"/>
    <col min="4" max="4" width="19.6328125" customWidth="1"/>
    <col min="5" max="5" width="18.81640625" customWidth="1"/>
    <col min="6" max="6" width="18.1796875" customWidth="1"/>
    <col min="7" max="7" width="9.1796875" customWidth="1"/>
    <col min="9" max="9" width="19.1796875" customWidth="1"/>
    <col min="16" max="16" width="12.81640625" customWidth="1"/>
    <col min="18" max="18" width="12.6328125" customWidth="1"/>
    <col min="19" max="19" width="11.453125" style="6"/>
  </cols>
  <sheetData>
    <row r="1" spans="2:21" x14ac:dyDescent="0.35">
      <c r="B1" s="436" t="s">
        <v>35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8"/>
      <c r="S1" s="3">
        <v>44237</v>
      </c>
    </row>
    <row r="2" spans="2:21" x14ac:dyDescent="0.35">
      <c r="C2" s="5" t="s">
        <v>66</v>
      </c>
      <c r="D2" s="5"/>
    </row>
    <row r="3" spans="2:21" ht="52" x14ac:dyDescent="0.35">
      <c r="C3" s="27" t="s">
        <v>0</v>
      </c>
      <c r="D3" s="37" t="s">
        <v>67</v>
      </c>
      <c r="E3" s="37" t="s">
        <v>2</v>
      </c>
      <c r="F3" s="27" t="s">
        <v>1</v>
      </c>
      <c r="G3" s="27" t="s">
        <v>38</v>
      </c>
      <c r="H3" s="27" t="s">
        <v>4</v>
      </c>
      <c r="I3" s="27" t="s">
        <v>5</v>
      </c>
      <c r="J3" s="27" t="s">
        <v>6</v>
      </c>
      <c r="K3" s="27" t="s">
        <v>8</v>
      </c>
      <c r="L3" s="27" t="s">
        <v>11</v>
      </c>
      <c r="M3" s="27" t="s">
        <v>10</v>
      </c>
      <c r="N3" s="28" t="s">
        <v>9</v>
      </c>
      <c r="O3" s="37" t="s">
        <v>39</v>
      </c>
      <c r="P3" s="27" t="s">
        <v>7</v>
      </c>
      <c r="Q3" s="27" t="s">
        <v>40</v>
      </c>
      <c r="R3" s="27" t="s">
        <v>3</v>
      </c>
      <c r="S3" s="28" t="s">
        <v>41</v>
      </c>
      <c r="T3" s="28" t="s">
        <v>42</v>
      </c>
      <c r="U3" s="28" t="s">
        <v>43</v>
      </c>
    </row>
    <row r="4" spans="2:21" ht="29" x14ac:dyDescent="0.35">
      <c r="B4" s="10" t="s">
        <v>132</v>
      </c>
      <c r="C4" s="2">
        <v>1</v>
      </c>
      <c r="D4" s="38" t="s">
        <v>109</v>
      </c>
      <c r="E4" s="17" t="s">
        <v>115</v>
      </c>
      <c r="F4" s="17" t="s">
        <v>114</v>
      </c>
      <c r="G4" s="2" t="s">
        <v>15</v>
      </c>
      <c r="H4" s="2" t="s">
        <v>14</v>
      </c>
      <c r="I4" s="15" t="s">
        <v>116</v>
      </c>
      <c r="J4" s="2" t="s">
        <v>15</v>
      </c>
      <c r="K4" s="15" t="s">
        <v>124</v>
      </c>
      <c r="L4" s="15" t="s">
        <v>117</v>
      </c>
      <c r="M4" s="8" t="s">
        <v>13</v>
      </c>
      <c r="N4" s="2" t="s">
        <v>19</v>
      </c>
      <c r="O4" s="18" t="s">
        <v>74</v>
      </c>
      <c r="P4" s="18" t="s">
        <v>24</v>
      </c>
      <c r="Q4" s="15">
        <v>1</v>
      </c>
      <c r="R4" s="2" t="s">
        <v>12</v>
      </c>
      <c r="S4" s="30">
        <v>44075</v>
      </c>
      <c r="T4" s="24">
        <v>2218.9899999999998</v>
      </c>
      <c r="U4" s="2">
        <v>3109.721769782655</v>
      </c>
    </row>
    <row r="5" spans="2:21" ht="29" x14ac:dyDescent="0.35">
      <c r="B5" s="10" t="s">
        <v>120</v>
      </c>
      <c r="C5" s="2">
        <v>2</v>
      </c>
      <c r="D5" s="18" t="s">
        <v>109</v>
      </c>
      <c r="E5" s="17" t="s">
        <v>115</v>
      </c>
      <c r="F5" s="17" t="s">
        <v>114</v>
      </c>
      <c r="G5" s="2" t="s">
        <v>15</v>
      </c>
      <c r="H5" s="2" t="s">
        <v>14</v>
      </c>
      <c r="I5" s="15" t="s">
        <v>116</v>
      </c>
      <c r="J5" s="2" t="s">
        <v>15</v>
      </c>
      <c r="K5" s="15" t="s">
        <v>102</v>
      </c>
      <c r="L5" s="15" t="s">
        <v>117</v>
      </c>
      <c r="M5" s="8" t="s">
        <v>13</v>
      </c>
      <c r="N5" s="2" t="s">
        <v>19</v>
      </c>
      <c r="O5" s="18" t="s">
        <v>74</v>
      </c>
      <c r="P5" s="18" t="s">
        <v>24</v>
      </c>
      <c r="Q5" s="15">
        <v>1</v>
      </c>
      <c r="R5" s="2" t="s">
        <v>12</v>
      </c>
      <c r="S5" s="30">
        <v>43891</v>
      </c>
      <c r="T5" s="24">
        <v>2818.9920000000002</v>
      </c>
      <c r="U5" s="24">
        <v>4396.4774737485886</v>
      </c>
    </row>
    <row r="6" spans="2:21" ht="25" x14ac:dyDescent="0.35">
      <c r="B6" s="10" t="s">
        <v>145</v>
      </c>
      <c r="C6" s="2">
        <v>3</v>
      </c>
      <c r="D6" s="18" t="s">
        <v>147</v>
      </c>
      <c r="E6" s="17" t="s">
        <v>115</v>
      </c>
      <c r="F6" s="17" t="s">
        <v>118</v>
      </c>
      <c r="G6" s="2" t="s">
        <v>15</v>
      </c>
      <c r="H6" s="2" t="s">
        <v>14</v>
      </c>
      <c r="I6" s="15" t="s">
        <v>146</v>
      </c>
      <c r="J6" s="2" t="s">
        <v>15</v>
      </c>
      <c r="K6" s="15" t="s">
        <v>102</v>
      </c>
      <c r="L6" s="15" t="s">
        <v>117</v>
      </c>
      <c r="M6" s="15" t="s">
        <v>19</v>
      </c>
      <c r="N6" s="2" t="s">
        <v>19</v>
      </c>
      <c r="O6" s="18" t="s">
        <v>74</v>
      </c>
      <c r="P6" s="18" t="s">
        <v>24</v>
      </c>
      <c r="Q6" s="15"/>
      <c r="R6" s="2" t="s">
        <v>12</v>
      </c>
      <c r="S6" s="30"/>
      <c r="T6" s="24">
        <v>2704.5360000000001</v>
      </c>
      <c r="U6" s="24">
        <f>T6*1.35</f>
        <v>3651.1236000000004</v>
      </c>
    </row>
    <row r="7" spans="2:21" ht="38" thickBot="1" x14ac:dyDescent="0.4">
      <c r="B7" s="82" t="s">
        <v>145</v>
      </c>
      <c r="C7" s="57">
        <v>4</v>
      </c>
      <c r="D7" s="78" t="s">
        <v>147</v>
      </c>
      <c r="E7" s="83" t="s">
        <v>115</v>
      </c>
      <c r="F7" s="83" t="s">
        <v>118</v>
      </c>
      <c r="G7" s="57" t="s">
        <v>15</v>
      </c>
      <c r="H7" s="57" t="s">
        <v>14</v>
      </c>
      <c r="I7" s="57" t="s">
        <v>146</v>
      </c>
      <c r="J7" s="57" t="s">
        <v>15</v>
      </c>
      <c r="K7" s="78" t="s">
        <v>78</v>
      </c>
      <c r="L7" s="57" t="s">
        <v>117</v>
      </c>
      <c r="M7" s="57" t="s">
        <v>19</v>
      </c>
      <c r="N7" s="57" t="s">
        <v>19</v>
      </c>
      <c r="O7" s="78" t="s">
        <v>74</v>
      </c>
      <c r="P7" s="78" t="s">
        <v>80</v>
      </c>
      <c r="Q7" s="57"/>
      <c r="R7" s="57" t="s">
        <v>12</v>
      </c>
      <c r="S7" s="84"/>
      <c r="T7" s="85">
        <v>2875.08</v>
      </c>
      <c r="U7" s="85">
        <f>T7*1.35</f>
        <v>3881.3580000000002</v>
      </c>
    </row>
    <row r="8" spans="2:21" ht="38" thickTop="1" x14ac:dyDescent="0.35">
      <c r="B8" s="10" t="s">
        <v>58</v>
      </c>
      <c r="C8" s="2">
        <v>7</v>
      </c>
      <c r="D8" s="17" t="s">
        <v>73</v>
      </c>
      <c r="E8" s="17" t="s">
        <v>25</v>
      </c>
      <c r="F8" s="17" t="s">
        <v>114</v>
      </c>
      <c r="G8" s="2" t="s">
        <v>15</v>
      </c>
      <c r="H8" s="2" t="s">
        <v>14</v>
      </c>
      <c r="I8" s="18" t="s">
        <v>71</v>
      </c>
      <c r="J8" s="2" t="s">
        <v>15</v>
      </c>
      <c r="K8" s="18" t="s">
        <v>59</v>
      </c>
      <c r="L8" s="18" t="s">
        <v>22</v>
      </c>
      <c r="M8" s="9" t="s">
        <v>13</v>
      </c>
      <c r="N8" s="18" t="s">
        <v>19</v>
      </c>
      <c r="O8" s="18" t="s">
        <v>74</v>
      </c>
      <c r="P8" s="18" t="s">
        <v>24</v>
      </c>
      <c r="Q8" s="19">
        <v>2</v>
      </c>
      <c r="R8" s="2" t="s">
        <v>12</v>
      </c>
      <c r="S8" s="12">
        <v>44256</v>
      </c>
      <c r="T8" s="24">
        <v>2891.9519999999998</v>
      </c>
      <c r="U8" s="24">
        <v>3881.53088835874</v>
      </c>
    </row>
    <row r="9" spans="2:21" ht="25" x14ac:dyDescent="0.35">
      <c r="B9" s="10" t="s">
        <v>145</v>
      </c>
      <c r="C9" s="2">
        <v>10</v>
      </c>
      <c r="D9" s="18" t="s">
        <v>147</v>
      </c>
      <c r="E9" s="18" t="s">
        <v>25</v>
      </c>
      <c r="F9" s="18" t="s">
        <v>76</v>
      </c>
      <c r="G9" s="2" t="s">
        <v>15</v>
      </c>
      <c r="H9" s="2" t="s">
        <v>14</v>
      </c>
      <c r="I9" s="15" t="s">
        <v>146</v>
      </c>
      <c r="J9" s="2" t="s">
        <v>15</v>
      </c>
      <c r="K9" s="15" t="s">
        <v>102</v>
      </c>
      <c r="L9" s="18" t="s">
        <v>22</v>
      </c>
      <c r="M9" s="18" t="s">
        <v>19</v>
      </c>
      <c r="N9" s="18" t="s">
        <v>19</v>
      </c>
      <c r="O9" s="18" t="s">
        <v>74</v>
      </c>
      <c r="P9" s="18" t="s">
        <v>24</v>
      </c>
      <c r="Q9" s="19"/>
      <c r="R9" s="2" t="s">
        <v>12</v>
      </c>
      <c r="S9" s="12"/>
      <c r="T9" s="24">
        <v>2778.864</v>
      </c>
      <c r="U9" s="24">
        <f>T9*1.35</f>
        <v>3751.4664000000002</v>
      </c>
    </row>
    <row r="10" spans="2:21" ht="38" thickBot="1" x14ac:dyDescent="0.4">
      <c r="B10" s="82" t="s">
        <v>145</v>
      </c>
      <c r="C10" s="57">
        <v>11</v>
      </c>
      <c r="D10" s="78" t="s">
        <v>147</v>
      </c>
      <c r="E10" s="78" t="s">
        <v>25</v>
      </c>
      <c r="F10" s="78" t="s">
        <v>76</v>
      </c>
      <c r="G10" s="57" t="s">
        <v>15</v>
      </c>
      <c r="H10" s="57" t="s">
        <v>14</v>
      </c>
      <c r="I10" s="57" t="s">
        <v>146</v>
      </c>
      <c r="J10" s="57" t="s">
        <v>15</v>
      </c>
      <c r="K10" s="78" t="s">
        <v>78</v>
      </c>
      <c r="L10" s="78" t="s">
        <v>22</v>
      </c>
      <c r="M10" s="78" t="s">
        <v>19</v>
      </c>
      <c r="N10" s="78" t="s">
        <v>19</v>
      </c>
      <c r="O10" s="78" t="s">
        <v>74</v>
      </c>
      <c r="P10" s="78" t="s">
        <v>80</v>
      </c>
      <c r="Q10" s="86"/>
      <c r="R10" s="57" t="s">
        <v>12</v>
      </c>
      <c r="S10" s="87"/>
      <c r="T10" s="85">
        <v>2949.4079999999999</v>
      </c>
      <c r="U10" s="85">
        <f>T10*1.35</f>
        <v>3981.7008000000001</v>
      </c>
    </row>
    <row r="11" spans="2:21" ht="26.5" thickTop="1" x14ac:dyDescent="0.35">
      <c r="B11" s="10" t="s">
        <v>120</v>
      </c>
      <c r="C11" s="2">
        <v>16</v>
      </c>
      <c r="D11" s="26" t="s">
        <v>70</v>
      </c>
      <c r="E11" s="2" t="s">
        <v>26</v>
      </c>
      <c r="F11" s="2" t="s">
        <v>121</v>
      </c>
      <c r="G11" s="2" t="s">
        <v>15</v>
      </c>
      <c r="H11" s="2" t="s">
        <v>14</v>
      </c>
      <c r="I11" s="2" t="s">
        <v>122</v>
      </c>
      <c r="J11" s="2" t="s">
        <v>15</v>
      </c>
      <c r="K11" s="18" t="s">
        <v>102</v>
      </c>
      <c r="L11" s="2" t="s">
        <v>27</v>
      </c>
      <c r="M11" s="7" t="s">
        <v>13</v>
      </c>
      <c r="N11" s="18" t="s">
        <v>19</v>
      </c>
      <c r="O11" s="2" t="s">
        <v>74</v>
      </c>
      <c r="P11" s="18" t="s">
        <v>24</v>
      </c>
      <c r="Q11" s="19">
        <v>1</v>
      </c>
      <c r="R11" s="2" t="s">
        <v>12</v>
      </c>
      <c r="S11" s="12">
        <v>43891</v>
      </c>
      <c r="T11" s="24">
        <v>3416.3519999999999</v>
      </c>
      <c r="U11" s="24">
        <v>5328.1153725856393</v>
      </c>
    </row>
    <row r="12" spans="2:21" ht="37.5" x14ac:dyDescent="0.35">
      <c r="B12" s="10" t="s">
        <v>56</v>
      </c>
      <c r="C12" s="2">
        <v>18</v>
      </c>
      <c r="D12" s="2" t="s">
        <v>70</v>
      </c>
      <c r="E12" s="2" t="s">
        <v>26</v>
      </c>
      <c r="F12" s="2" t="s">
        <v>121</v>
      </c>
      <c r="G12" s="2" t="s">
        <v>15</v>
      </c>
      <c r="H12" s="2" t="s">
        <v>14</v>
      </c>
      <c r="I12" s="2" t="s">
        <v>71</v>
      </c>
      <c r="J12" s="2" t="s">
        <v>15</v>
      </c>
      <c r="K12" s="2" t="s">
        <v>57</v>
      </c>
      <c r="L12" s="2" t="s">
        <v>27</v>
      </c>
      <c r="M12" s="7" t="s">
        <v>13</v>
      </c>
      <c r="N12" s="2" t="s">
        <v>19</v>
      </c>
      <c r="O12" s="2" t="s">
        <v>74</v>
      </c>
      <c r="P12" s="2" t="s">
        <v>72</v>
      </c>
      <c r="Q12" s="1">
        <v>1</v>
      </c>
      <c r="R12" s="2" t="s">
        <v>12</v>
      </c>
      <c r="S12" s="12">
        <v>44197</v>
      </c>
      <c r="T12" s="24">
        <v>3202.83</v>
      </c>
      <c r="U12" s="24">
        <v>4432.6218438392634</v>
      </c>
    </row>
    <row r="13" spans="2:21" ht="37.5" x14ac:dyDescent="0.35">
      <c r="B13" s="10" t="s">
        <v>145</v>
      </c>
      <c r="C13" s="2">
        <v>22</v>
      </c>
      <c r="D13" s="18" t="s">
        <v>147</v>
      </c>
      <c r="E13" s="18" t="s">
        <v>26</v>
      </c>
      <c r="F13" s="18" t="s">
        <v>76</v>
      </c>
      <c r="G13" s="2" t="s">
        <v>15</v>
      </c>
      <c r="H13" s="2" t="s">
        <v>14</v>
      </c>
      <c r="I13" s="15" t="s">
        <v>146</v>
      </c>
      <c r="J13" s="2" t="s">
        <v>15</v>
      </c>
      <c r="K13" s="18" t="s">
        <v>59</v>
      </c>
      <c r="L13" s="18" t="s">
        <v>27</v>
      </c>
      <c r="M13" s="18" t="s">
        <v>19</v>
      </c>
      <c r="N13" s="18" t="s">
        <v>19</v>
      </c>
      <c r="O13" s="18" t="s">
        <v>74</v>
      </c>
      <c r="P13" s="18" t="s">
        <v>24</v>
      </c>
      <c r="Q13" s="19"/>
      <c r="R13" s="2" t="s">
        <v>12</v>
      </c>
      <c r="S13" s="12"/>
      <c r="T13" s="24">
        <v>3298.7039999999997</v>
      </c>
      <c r="U13" s="24">
        <f>T13*1.35</f>
        <v>4453.2503999999999</v>
      </c>
    </row>
    <row r="14" spans="2:21" ht="38" thickBot="1" x14ac:dyDescent="0.4">
      <c r="B14" s="82" t="s">
        <v>145</v>
      </c>
      <c r="C14" s="57">
        <v>23</v>
      </c>
      <c r="D14" s="78" t="s">
        <v>147</v>
      </c>
      <c r="E14" s="78" t="s">
        <v>26</v>
      </c>
      <c r="F14" s="78" t="s">
        <v>76</v>
      </c>
      <c r="G14" s="57" t="s">
        <v>15</v>
      </c>
      <c r="H14" s="57" t="s">
        <v>14</v>
      </c>
      <c r="I14" s="57" t="s">
        <v>146</v>
      </c>
      <c r="J14" s="57" t="s">
        <v>15</v>
      </c>
      <c r="K14" s="78" t="s">
        <v>78</v>
      </c>
      <c r="L14" s="78" t="s">
        <v>27</v>
      </c>
      <c r="M14" s="78" t="s">
        <v>19</v>
      </c>
      <c r="N14" s="78" t="s">
        <v>19</v>
      </c>
      <c r="O14" s="78" t="s">
        <v>74</v>
      </c>
      <c r="P14" s="78" t="s">
        <v>80</v>
      </c>
      <c r="Q14" s="86"/>
      <c r="R14" s="57" t="s">
        <v>12</v>
      </c>
      <c r="S14" s="87"/>
      <c r="T14" s="85">
        <v>3488.4</v>
      </c>
      <c r="U14" s="85">
        <f>T14*1.35</f>
        <v>4709.34</v>
      </c>
    </row>
    <row r="15" spans="2:21" ht="38" thickTop="1" x14ac:dyDescent="0.35">
      <c r="B15" s="10" t="s">
        <v>145</v>
      </c>
      <c r="C15" s="2">
        <v>30</v>
      </c>
      <c r="D15" s="18" t="s">
        <v>147</v>
      </c>
      <c r="E15" s="2" t="s">
        <v>33</v>
      </c>
      <c r="F15" s="2" t="s">
        <v>118</v>
      </c>
      <c r="G15" s="2" t="s">
        <v>15</v>
      </c>
      <c r="H15" s="2" t="s">
        <v>14</v>
      </c>
      <c r="I15" s="15" t="s">
        <v>146</v>
      </c>
      <c r="J15" s="2" t="s">
        <v>15</v>
      </c>
      <c r="K15" s="18" t="s">
        <v>59</v>
      </c>
      <c r="L15" s="18" t="s">
        <v>34</v>
      </c>
      <c r="M15" s="2" t="s">
        <v>19</v>
      </c>
      <c r="N15" s="2" t="s">
        <v>19</v>
      </c>
      <c r="O15" s="18" t="s">
        <v>74</v>
      </c>
      <c r="P15" s="2" t="s">
        <v>24</v>
      </c>
      <c r="Q15" s="19"/>
      <c r="R15" s="2" t="s">
        <v>12</v>
      </c>
      <c r="S15" s="12"/>
      <c r="T15" s="24">
        <v>3597.384</v>
      </c>
      <c r="U15" s="24">
        <f>T15*1.35</f>
        <v>4856.4684000000007</v>
      </c>
    </row>
    <row r="16" spans="2:21" ht="38" thickBot="1" x14ac:dyDescent="0.4">
      <c r="B16" s="82" t="s">
        <v>145</v>
      </c>
      <c r="C16" s="57">
        <v>31</v>
      </c>
      <c r="D16" s="88" t="s">
        <v>147</v>
      </c>
      <c r="E16" s="57" t="s">
        <v>33</v>
      </c>
      <c r="F16" s="57" t="s">
        <v>118</v>
      </c>
      <c r="G16" s="57" t="s">
        <v>15</v>
      </c>
      <c r="H16" s="57" t="s">
        <v>14</v>
      </c>
      <c r="I16" s="57" t="s">
        <v>146</v>
      </c>
      <c r="J16" s="57" t="s">
        <v>15</v>
      </c>
      <c r="K16" s="78" t="s">
        <v>78</v>
      </c>
      <c r="L16" s="78" t="s">
        <v>34</v>
      </c>
      <c r="M16" s="57" t="s">
        <v>19</v>
      </c>
      <c r="N16" s="57" t="s">
        <v>19</v>
      </c>
      <c r="O16" s="78" t="s">
        <v>74</v>
      </c>
      <c r="P16" s="57" t="s">
        <v>21</v>
      </c>
      <c r="Q16" s="86"/>
      <c r="R16" s="57" t="s">
        <v>12</v>
      </c>
      <c r="S16" s="87"/>
      <c r="T16" s="85">
        <v>3988.6320000000001</v>
      </c>
      <c r="U16" s="85">
        <f>T16*1.35</f>
        <v>5384.6532000000007</v>
      </c>
    </row>
    <row r="17" ht="15" customHeight="1" thickTop="1" x14ac:dyDescent="0.35"/>
  </sheetData>
  <mergeCells count="1">
    <mergeCell ref="B1:R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N73"/>
  <sheetViews>
    <sheetView workbookViewId="0">
      <selection activeCell="H7" sqref="H7"/>
    </sheetView>
  </sheetViews>
  <sheetFormatPr baseColWidth="10" defaultRowHeight="14.5" x14ac:dyDescent="0.35"/>
  <cols>
    <col min="1" max="1" width="3" customWidth="1"/>
    <col min="2" max="2" width="19.453125" style="4" customWidth="1"/>
    <col min="3" max="3" width="7.6328125" customWidth="1"/>
    <col min="4" max="4" width="19.6328125" customWidth="1"/>
    <col min="5" max="5" width="18.81640625" customWidth="1"/>
    <col min="6" max="6" width="18.1796875" customWidth="1"/>
    <col min="7" max="7" width="9.1796875" customWidth="1"/>
    <col min="9" max="9" width="19.1796875" customWidth="1"/>
    <col min="16" max="16" width="12.81640625" customWidth="1"/>
    <col min="18" max="18" width="12.6328125" customWidth="1"/>
    <col min="19" max="19" width="11.453125" style="6"/>
  </cols>
  <sheetData>
    <row r="1" spans="2:40" x14ac:dyDescent="0.35">
      <c r="B1" s="436" t="s">
        <v>35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8"/>
      <c r="S1" s="3">
        <v>44236</v>
      </c>
    </row>
    <row r="2" spans="2:40" x14ac:dyDescent="0.35">
      <c r="C2" s="5" t="s">
        <v>36</v>
      </c>
      <c r="D2" s="5"/>
      <c r="E2" s="5"/>
    </row>
    <row r="3" spans="2:40" ht="52" x14ac:dyDescent="0.35">
      <c r="C3" s="21" t="s">
        <v>0</v>
      </c>
      <c r="D3" s="22" t="s">
        <v>37</v>
      </c>
      <c r="E3" s="22" t="s">
        <v>2</v>
      </c>
      <c r="F3" s="22" t="s">
        <v>1</v>
      </c>
      <c r="G3" s="22" t="s">
        <v>38</v>
      </c>
      <c r="H3" s="22" t="s">
        <v>4</v>
      </c>
      <c r="I3" s="22" t="s">
        <v>5</v>
      </c>
      <c r="J3" s="22" t="s">
        <v>6</v>
      </c>
      <c r="K3" s="22" t="s">
        <v>8</v>
      </c>
      <c r="L3" s="22" t="s">
        <v>11</v>
      </c>
      <c r="M3" s="22" t="s">
        <v>10</v>
      </c>
      <c r="N3" s="21" t="s">
        <v>9</v>
      </c>
      <c r="O3" s="23" t="s">
        <v>39</v>
      </c>
      <c r="P3" s="22" t="s">
        <v>7</v>
      </c>
      <c r="Q3" s="22" t="s">
        <v>40</v>
      </c>
      <c r="R3" s="22" t="s">
        <v>3</v>
      </c>
      <c r="S3" s="21" t="s">
        <v>41</v>
      </c>
      <c r="T3" s="21" t="s">
        <v>42</v>
      </c>
      <c r="U3" s="21" t="s">
        <v>43</v>
      </c>
    </row>
    <row r="4" spans="2:40" ht="25" x14ac:dyDescent="0.35">
      <c r="B4" s="13" t="s">
        <v>103</v>
      </c>
      <c r="C4" s="2">
        <v>1</v>
      </c>
      <c r="D4" s="26" t="s">
        <v>92</v>
      </c>
      <c r="E4" s="2" t="s">
        <v>86</v>
      </c>
      <c r="F4" s="11" t="s">
        <v>46</v>
      </c>
      <c r="G4" s="11" t="s">
        <v>47</v>
      </c>
      <c r="H4" s="2" t="s">
        <v>14</v>
      </c>
      <c r="I4" s="2" t="s">
        <v>49</v>
      </c>
      <c r="J4" s="2" t="s">
        <v>50</v>
      </c>
      <c r="K4" s="15" t="s">
        <v>51</v>
      </c>
      <c r="L4" s="2" t="s">
        <v>87</v>
      </c>
      <c r="M4" s="2" t="s">
        <v>19</v>
      </c>
      <c r="N4" s="2" t="s">
        <v>15</v>
      </c>
      <c r="O4" s="2" t="s">
        <v>16</v>
      </c>
      <c r="P4" s="2" t="s">
        <v>16</v>
      </c>
      <c r="Q4" s="16">
        <v>2</v>
      </c>
      <c r="R4" s="2" t="s">
        <v>12</v>
      </c>
      <c r="S4" s="12">
        <v>43891</v>
      </c>
      <c r="T4" s="25">
        <v>3941.3789999999999</v>
      </c>
      <c r="U4" s="24">
        <v>5339.8603590150469</v>
      </c>
    </row>
    <row r="5" spans="2:40" ht="25" x14ac:dyDescent="0.35">
      <c r="B5" s="13" t="s">
        <v>85</v>
      </c>
      <c r="C5" s="2">
        <v>2</v>
      </c>
      <c r="D5" s="2" t="s">
        <v>45</v>
      </c>
      <c r="E5" s="2" t="s">
        <v>86</v>
      </c>
      <c r="F5" s="11" t="s">
        <v>46</v>
      </c>
      <c r="G5" s="11" t="s">
        <v>47</v>
      </c>
      <c r="H5" s="2" t="s">
        <v>14</v>
      </c>
      <c r="I5" s="2" t="s">
        <v>49</v>
      </c>
      <c r="J5" s="2" t="s">
        <v>50</v>
      </c>
      <c r="K5" s="2" t="s">
        <v>51</v>
      </c>
      <c r="L5" s="2" t="s">
        <v>87</v>
      </c>
      <c r="M5" s="2" t="s">
        <v>19</v>
      </c>
      <c r="N5" s="2" t="s">
        <v>15</v>
      </c>
      <c r="O5" s="2" t="s">
        <v>16</v>
      </c>
      <c r="P5" s="2" t="s">
        <v>16</v>
      </c>
      <c r="Q5" s="1">
        <v>3</v>
      </c>
      <c r="R5" s="2" t="s">
        <v>12</v>
      </c>
      <c r="S5" s="12">
        <v>44470</v>
      </c>
      <c r="T5" s="24">
        <v>3889.5187499999997</v>
      </c>
      <c r="U5" s="24">
        <v>5214.2429435615995</v>
      </c>
    </row>
    <row r="6" spans="2:40" s="40" customFormat="1" ht="25.5" thickBot="1" x14ac:dyDescent="0.4">
      <c r="B6" s="56" t="s">
        <v>135</v>
      </c>
      <c r="C6" s="57">
        <v>3</v>
      </c>
      <c r="D6" s="58" t="s">
        <v>134</v>
      </c>
      <c r="E6" s="57" t="s">
        <v>86</v>
      </c>
      <c r="F6" s="60" t="s">
        <v>46</v>
      </c>
      <c r="G6" s="60" t="s">
        <v>47</v>
      </c>
      <c r="H6" s="57" t="s">
        <v>14</v>
      </c>
      <c r="I6" s="58" t="s">
        <v>133</v>
      </c>
      <c r="J6" s="58" t="s">
        <v>50</v>
      </c>
      <c r="K6" s="57" t="s">
        <v>51</v>
      </c>
      <c r="L6" s="57" t="s">
        <v>87</v>
      </c>
      <c r="M6" s="58" t="s">
        <v>19</v>
      </c>
      <c r="N6" s="57" t="s">
        <v>15</v>
      </c>
      <c r="O6" s="57" t="s">
        <v>16</v>
      </c>
      <c r="P6" s="57" t="s">
        <v>16</v>
      </c>
      <c r="Q6" s="61"/>
      <c r="R6" s="57" t="s">
        <v>12</v>
      </c>
      <c r="S6" s="62"/>
      <c r="T6" s="63">
        <v>4528.338749999999</v>
      </c>
      <c r="U6" s="63">
        <f>T6*1.35</f>
        <v>6113.257312499999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2:40" ht="25.5" thickTop="1" x14ac:dyDescent="0.35">
      <c r="B7" s="13" t="s">
        <v>103</v>
      </c>
      <c r="C7" s="50">
        <v>4</v>
      </c>
      <c r="D7" s="51" t="s">
        <v>45</v>
      </c>
      <c r="E7" s="50" t="s">
        <v>48</v>
      </c>
      <c r="F7" s="52" t="s">
        <v>46</v>
      </c>
      <c r="G7" s="52" t="s">
        <v>47</v>
      </c>
      <c r="H7" s="50" t="s">
        <v>14</v>
      </c>
      <c r="I7" s="50" t="s">
        <v>49</v>
      </c>
      <c r="J7" s="50" t="s">
        <v>50</v>
      </c>
      <c r="K7" s="50" t="s">
        <v>102</v>
      </c>
      <c r="L7" s="50" t="s">
        <v>89</v>
      </c>
      <c r="M7" s="50" t="s">
        <v>19</v>
      </c>
      <c r="N7" s="50" t="s">
        <v>15</v>
      </c>
      <c r="O7" s="50" t="s">
        <v>16</v>
      </c>
      <c r="P7" s="50" t="s">
        <v>16</v>
      </c>
      <c r="Q7" s="53">
        <v>2</v>
      </c>
      <c r="R7" s="50" t="s">
        <v>12</v>
      </c>
      <c r="S7" s="54">
        <v>43891</v>
      </c>
      <c r="T7" s="55">
        <v>4796.7893999999997</v>
      </c>
      <c r="U7" s="55">
        <v>6498.7877510900498</v>
      </c>
    </row>
    <row r="8" spans="2:40" ht="25" x14ac:dyDescent="0.35">
      <c r="B8" s="13" t="s">
        <v>95</v>
      </c>
      <c r="C8" s="2">
        <v>5</v>
      </c>
      <c r="D8" s="2" t="s">
        <v>92</v>
      </c>
      <c r="E8" s="2" t="s">
        <v>48</v>
      </c>
      <c r="F8" s="11" t="s">
        <v>46</v>
      </c>
      <c r="G8" s="11" t="s">
        <v>47</v>
      </c>
      <c r="H8" s="2" t="s">
        <v>14</v>
      </c>
      <c r="I8" s="2" t="s">
        <v>49</v>
      </c>
      <c r="J8" s="2" t="s">
        <v>50</v>
      </c>
      <c r="K8" s="2" t="s">
        <v>51</v>
      </c>
      <c r="L8" s="2" t="s">
        <v>89</v>
      </c>
      <c r="M8" s="2" t="s">
        <v>19</v>
      </c>
      <c r="N8" s="2" t="s">
        <v>15</v>
      </c>
      <c r="O8" s="2" t="s">
        <v>16</v>
      </c>
      <c r="P8" s="2" t="s">
        <v>16</v>
      </c>
      <c r="Q8" s="1">
        <v>8</v>
      </c>
      <c r="R8" s="2" t="s">
        <v>12</v>
      </c>
      <c r="S8" s="12">
        <v>43952</v>
      </c>
      <c r="T8" s="24">
        <v>4629.32</v>
      </c>
      <c r="U8" s="24">
        <v>6361.7696974984374</v>
      </c>
    </row>
    <row r="9" spans="2:40" ht="25" x14ac:dyDescent="0.35">
      <c r="B9" s="13" t="s">
        <v>85</v>
      </c>
      <c r="C9" s="2">
        <v>6</v>
      </c>
      <c r="D9" s="2" t="s">
        <v>92</v>
      </c>
      <c r="E9" s="2" t="s">
        <v>48</v>
      </c>
      <c r="F9" s="11" t="s">
        <v>46</v>
      </c>
      <c r="G9" s="11" t="s">
        <v>47</v>
      </c>
      <c r="H9" s="2" t="s">
        <v>14</v>
      </c>
      <c r="I9" s="2" t="s">
        <v>49</v>
      </c>
      <c r="J9" s="2" t="s">
        <v>50</v>
      </c>
      <c r="K9" s="2" t="s">
        <v>51</v>
      </c>
      <c r="L9" s="2" t="s">
        <v>89</v>
      </c>
      <c r="M9" s="2" t="s">
        <v>19</v>
      </c>
      <c r="N9" s="2" t="s">
        <v>15</v>
      </c>
      <c r="O9" s="2" t="s">
        <v>16</v>
      </c>
      <c r="P9" s="2" t="s">
        <v>16</v>
      </c>
      <c r="Q9" s="1">
        <v>3</v>
      </c>
      <c r="R9" s="2" t="s">
        <v>12</v>
      </c>
      <c r="S9" s="12">
        <v>44105</v>
      </c>
      <c r="T9" s="24">
        <v>4733.6737499999999</v>
      </c>
      <c r="U9" s="24">
        <v>6345.9071763210477</v>
      </c>
    </row>
    <row r="10" spans="2:40" ht="25" x14ac:dyDescent="0.35">
      <c r="B10" s="13" t="s">
        <v>44</v>
      </c>
      <c r="C10" s="2">
        <v>7</v>
      </c>
      <c r="D10" s="2" t="s">
        <v>45</v>
      </c>
      <c r="E10" s="2" t="s">
        <v>48</v>
      </c>
      <c r="F10" s="11" t="s">
        <v>46</v>
      </c>
      <c r="G10" s="11" t="s">
        <v>47</v>
      </c>
      <c r="H10" s="2" t="s">
        <v>14</v>
      </c>
      <c r="I10" s="2" t="s">
        <v>49</v>
      </c>
      <c r="J10" s="2" t="s">
        <v>50</v>
      </c>
      <c r="K10" s="2" t="s">
        <v>51</v>
      </c>
      <c r="L10" s="2" t="s">
        <v>23</v>
      </c>
      <c r="M10" s="2" t="s">
        <v>19</v>
      </c>
      <c r="N10" s="2" t="s">
        <v>15</v>
      </c>
      <c r="O10" s="2" t="s">
        <v>16</v>
      </c>
      <c r="P10" s="2" t="s">
        <v>16</v>
      </c>
      <c r="Q10" s="1">
        <v>4</v>
      </c>
      <c r="R10" s="2" t="s">
        <v>12</v>
      </c>
      <c r="S10" s="12">
        <v>44197</v>
      </c>
      <c r="T10" s="24">
        <v>4197.1907250000004</v>
      </c>
      <c r="U10" s="24">
        <v>5669.7044709083475</v>
      </c>
    </row>
    <row r="11" spans="2:40" s="40" customFormat="1" ht="25.5" thickBot="1" x14ac:dyDescent="0.4">
      <c r="B11" s="56" t="s">
        <v>135</v>
      </c>
      <c r="C11" s="57">
        <v>8</v>
      </c>
      <c r="D11" s="58" t="s">
        <v>134</v>
      </c>
      <c r="E11" s="58" t="s">
        <v>48</v>
      </c>
      <c r="F11" s="64" t="s">
        <v>46</v>
      </c>
      <c r="G11" s="64" t="s">
        <v>47</v>
      </c>
      <c r="H11" s="58" t="s">
        <v>14</v>
      </c>
      <c r="I11" s="58" t="s">
        <v>136</v>
      </c>
      <c r="J11" s="58" t="s">
        <v>50</v>
      </c>
      <c r="K11" s="58" t="s">
        <v>51</v>
      </c>
      <c r="L11" s="58" t="s">
        <v>23</v>
      </c>
      <c r="M11" s="58" t="s">
        <v>19</v>
      </c>
      <c r="N11" s="58" t="s">
        <v>15</v>
      </c>
      <c r="O11" s="58" t="s">
        <v>16</v>
      </c>
      <c r="P11" s="58" t="s">
        <v>16</v>
      </c>
      <c r="Q11" s="61"/>
      <c r="R11" s="58" t="s">
        <v>12</v>
      </c>
      <c r="S11" s="62"/>
      <c r="T11" s="63">
        <v>5405.4</v>
      </c>
      <c r="U11" s="63">
        <f>T11*1.35</f>
        <v>7297.29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2:40" ht="25.5" thickTop="1" x14ac:dyDescent="0.35">
      <c r="B12" s="13" t="s">
        <v>103</v>
      </c>
      <c r="C12" s="50">
        <v>9</v>
      </c>
      <c r="D12" s="51" t="s">
        <v>101</v>
      </c>
      <c r="E12" s="50" t="s">
        <v>29</v>
      </c>
      <c r="F12" s="52" t="s">
        <v>46</v>
      </c>
      <c r="G12" s="52" t="s">
        <v>47</v>
      </c>
      <c r="H12" s="50" t="s">
        <v>14</v>
      </c>
      <c r="I12" s="50" t="s">
        <v>49</v>
      </c>
      <c r="J12" s="50" t="s">
        <v>104</v>
      </c>
      <c r="K12" s="50" t="s">
        <v>102</v>
      </c>
      <c r="L12" s="50" t="s">
        <v>30</v>
      </c>
      <c r="M12" s="50" t="s">
        <v>19</v>
      </c>
      <c r="N12" s="50" t="s">
        <v>15</v>
      </c>
      <c r="O12" s="50" t="s">
        <v>16</v>
      </c>
      <c r="P12" s="50" t="s">
        <v>16</v>
      </c>
      <c r="Q12" s="53">
        <v>1</v>
      </c>
      <c r="R12" s="50" t="s">
        <v>12</v>
      </c>
      <c r="S12" s="54">
        <v>43891</v>
      </c>
      <c r="T12" s="55">
        <v>7277.6574000000001</v>
      </c>
      <c r="U12" s="55">
        <v>9859.9181293533293</v>
      </c>
    </row>
    <row r="13" spans="2:40" ht="25" x14ac:dyDescent="0.35">
      <c r="B13" s="13" t="s">
        <v>95</v>
      </c>
      <c r="C13" s="2">
        <v>10</v>
      </c>
      <c r="D13" s="2" t="s">
        <v>94</v>
      </c>
      <c r="E13" s="2" t="s">
        <v>29</v>
      </c>
      <c r="F13" s="11" t="s">
        <v>46</v>
      </c>
      <c r="G13" s="11" t="s">
        <v>47</v>
      </c>
      <c r="H13" s="2" t="s">
        <v>14</v>
      </c>
      <c r="I13" s="2" t="s">
        <v>49</v>
      </c>
      <c r="J13" s="2" t="s">
        <v>53</v>
      </c>
      <c r="K13" s="2" t="s">
        <v>96</v>
      </c>
      <c r="L13" s="2" t="s">
        <v>30</v>
      </c>
      <c r="M13" s="2" t="s">
        <v>19</v>
      </c>
      <c r="N13" s="2" t="s">
        <v>15</v>
      </c>
      <c r="O13" s="2" t="s">
        <v>16</v>
      </c>
      <c r="P13" s="2" t="s">
        <v>16</v>
      </c>
      <c r="Q13" s="1">
        <v>1</v>
      </c>
      <c r="R13" s="2" t="s">
        <v>12</v>
      </c>
      <c r="S13" s="12">
        <v>43952</v>
      </c>
      <c r="T13" s="24">
        <v>7110.89</v>
      </c>
      <c r="U13" s="24">
        <v>9772.0279704675122</v>
      </c>
    </row>
    <row r="14" spans="2:40" ht="25" x14ac:dyDescent="0.35">
      <c r="B14" s="13" t="s">
        <v>44</v>
      </c>
      <c r="C14" s="2">
        <v>11</v>
      </c>
      <c r="D14" s="2" t="s">
        <v>52</v>
      </c>
      <c r="E14" s="2" t="s">
        <v>29</v>
      </c>
      <c r="F14" s="11" t="s">
        <v>46</v>
      </c>
      <c r="G14" s="11" t="s">
        <v>47</v>
      </c>
      <c r="H14" s="2" t="s">
        <v>14</v>
      </c>
      <c r="I14" s="2" t="s">
        <v>49</v>
      </c>
      <c r="J14" s="2" t="s">
        <v>53</v>
      </c>
      <c r="K14" s="2" t="s">
        <v>51</v>
      </c>
      <c r="L14" s="2" t="s">
        <v>30</v>
      </c>
      <c r="M14" s="2" t="s">
        <v>19</v>
      </c>
      <c r="N14" s="2" t="s">
        <v>15</v>
      </c>
      <c r="O14" s="2" t="s">
        <v>16</v>
      </c>
      <c r="P14" s="2" t="s">
        <v>16</v>
      </c>
      <c r="Q14" s="1">
        <v>3</v>
      </c>
      <c r="R14" s="2" t="s">
        <v>12</v>
      </c>
      <c r="S14" s="12">
        <v>44197</v>
      </c>
      <c r="T14" s="24">
        <v>6367.9502249999996</v>
      </c>
      <c r="U14" s="24">
        <v>8602.0384173045422</v>
      </c>
    </row>
    <row r="15" spans="2:40" s="40" customFormat="1" ht="25.5" thickBot="1" x14ac:dyDescent="0.4">
      <c r="B15" s="56" t="s">
        <v>138</v>
      </c>
      <c r="C15" s="57">
        <v>12</v>
      </c>
      <c r="D15" s="58" t="s">
        <v>137</v>
      </c>
      <c r="E15" s="58" t="s">
        <v>29</v>
      </c>
      <c r="F15" s="64" t="s">
        <v>46</v>
      </c>
      <c r="G15" s="64" t="s">
        <v>47</v>
      </c>
      <c r="H15" s="58" t="s">
        <v>14</v>
      </c>
      <c r="I15" s="58" t="s">
        <v>49</v>
      </c>
      <c r="J15" s="58" t="s">
        <v>53</v>
      </c>
      <c r="K15" s="58" t="s">
        <v>51</v>
      </c>
      <c r="L15" s="58" t="s">
        <v>30</v>
      </c>
      <c r="M15" s="58" t="s">
        <v>19</v>
      </c>
      <c r="N15" s="58" t="s">
        <v>15</v>
      </c>
      <c r="O15" s="58" t="s">
        <v>16</v>
      </c>
      <c r="P15" s="58" t="s">
        <v>16</v>
      </c>
      <c r="Q15" s="61"/>
      <c r="R15" s="58" t="s">
        <v>12</v>
      </c>
      <c r="S15" s="62"/>
      <c r="T15" s="63">
        <v>7650.9224999999997</v>
      </c>
      <c r="U15" s="63">
        <f>T15*1.35</f>
        <v>10328.745375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2:40" ht="25.5" thickTop="1" x14ac:dyDescent="0.35">
      <c r="B16" s="13" t="s">
        <v>103</v>
      </c>
      <c r="C16" s="50">
        <v>13</v>
      </c>
      <c r="D16" s="51" t="s">
        <v>84</v>
      </c>
      <c r="E16" s="50" t="s">
        <v>28</v>
      </c>
      <c r="F16" s="52" t="s">
        <v>46</v>
      </c>
      <c r="G16" s="52" t="s">
        <v>47</v>
      </c>
      <c r="H16" s="50" t="s">
        <v>14</v>
      </c>
      <c r="I16" s="50" t="s">
        <v>49</v>
      </c>
      <c r="J16" s="50" t="s">
        <v>50</v>
      </c>
      <c r="K16" s="50" t="s">
        <v>51</v>
      </c>
      <c r="L16" s="50" t="s">
        <v>34</v>
      </c>
      <c r="M16" s="50" t="s">
        <v>19</v>
      </c>
      <c r="N16" s="50" t="s">
        <v>15</v>
      </c>
      <c r="O16" s="50" t="s">
        <v>16</v>
      </c>
      <c r="P16" s="50" t="s">
        <v>16</v>
      </c>
      <c r="Q16" s="53">
        <v>1</v>
      </c>
      <c r="R16" s="50" t="s">
        <v>12</v>
      </c>
      <c r="S16" s="54">
        <v>43891</v>
      </c>
      <c r="T16" s="55">
        <v>5750.9009999999998</v>
      </c>
      <c r="U16" s="55">
        <v>7791.437534558333</v>
      </c>
    </row>
    <row r="17" spans="2:40" ht="25" x14ac:dyDescent="0.35">
      <c r="B17" s="13" t="s">
        <v>85</v>
      </c>
      <c r="C17" s="2">
        <v>14</v>
      </c>
      <c r="D17" s="2" t="s">
        <v>84</v>
      </c>
      <c r="E17" s="2" t="s">
        <v>28</v>
      </c>
      <c r="F17" s="11" t="s">
        <v>46</v>
      </c>
      <c r="G17" s="11" t="s">
        <v>47</v>
      </c>
      <c r="H17" s="2" t="s">
        <v>14</v>
      </c>
      <c r="I17" s="2" t="s">
        <v>49</v>
      </c>
      <c r="J17" s="2" t="s">
        <v>50</v>
      </c>
      <c r="K17" s="2" t="s">
        <v>51</v>
      </c>
      <c r="L17" s="2" t="s">
        <v>34</v>
      </c>
      <c r="M17" s="2" t="s">
        <v>19</v>
      </c>
      <c r="N17" s="2" t="s">
        <v>15</v>
      </c>
      <c r="O17" s="2" t="s">
        <v>16</v>
      </c>
      <c r="P17" s="2" t="s">
        <v>16</v>
      </c>
      <c r="Q17" s="1">
        <v>1</v>
      </c>
      <c r="R17" s="2" t="s">
        <v>12</v>
      </c>
      <c r="S17" s="12">
        <v>44105</v>
      </c>
      <c r="T17" s="24">
        <v>5675.2312499999998</v>
      </c>
      <c r="U17" s="24">
        <v>7608.1480513219703</v>
      </c>
    </row>
    <row r="18" spans="2:40" ht="25.5" x14ac:dyDescent="0.35">
      <c r="B18" s="10" t="s">
        <v>44</v>
      </c>
      <c r="C18" s="2">
        <v>15</v>
      </c>
      <c r="D18" s="2" t="s">
        <v>54</v>
      </c>
      <c r="E18" s="2" t="s">
        <v>28</v>
      </c>
      <c r="F18" s="11" t="s">
        <v>46</v>
      </c>
      <c r="G18" s="11" t="s">
        <v>47</v>
      </c>
      <c r="H18" s="2" t="s">
        <v>14</v>
      </c>
      <c r="I18" s="2" t="s">
        <v>49</v>
      </c>
      <c r="J18" s="2" t="s">
        <v>50</v>
      </c>
      <c r="K18" s="2" t="s">
        <v>51</v>
      </c>
      <c r="L18" s="2" t="s">
        <v>34</v>
      </c>
      <c r="M18" s="2" t="s">
        <v>19</v>
      </c>
      <c r="N18" s="2" t="s">
        <v>15</v>
      </c>
      <c r="O18" s="2" t="s">
        <v>16</v>
      </c>
      <c r="P18" s="2" t="s">
        <v>16</v>
      </c>
      <c r="Q18" s="1">
        <v>3</v>
      </c>
      <c r="R18" s="2" t="s">
        <v>12</v>
      </c>
      <c r="S18" s="12">
        <v>44197</v>
      </c>
      <c r="T18" s="24">
        <v>5032.0383749999992</v>
      </c>
      <c r="U18" s="24">
        <v>6797.4443721567777</v>
      </c>
    </row>
    <row r="19" spans="2:40" s="40" customFormat="1" ht="25.5" thickBot="1" x14ac:dyDescent="0.4">
      <c r="B19" s="56" t="s">
        <v>139</v>
      </c>
      <c r="C19" s="57">
        <v>16</v>
      </c>
      <c r="D19" s="58"/>
      <c r="E19" s="58" t="s">
        <v>28</v>
      </c>
      <c r="F19" s="64" t="s">
        <v>46</v>
      </c>
      <c r="G19" s="64" t="s">
        <v>47</v>
      </c>
      <c r="H19" s="58" t="s">
        <v>14</v>
      </c>
      <c r="I19" s="58" t="s">
        <v>140</v>
      </c>
      <c r="J19" s="58" t="s">
        <v>50</v>
      </c>
      <c r="K19" s="58" t="s">
        <v>51</v>
      </c>
      <c r="L19" s="58" t="s">
        <v>34</v>
      </c>
      <c r="M19" s="58" t="s">
        <v>19</v>
      </c>
      <c r="N19" s="58" t="s">
        <v>15</v>
      </c>
      <c r="O19" s="58" t="s">
        <v>16</v>
      </c>
      <c r="P19" s="58" t="s">
        <v>16</v>
      </c>
      <c r="Q19" s="61"/>
      <c r="R19" s="58" t="s">
        <v>12</v>
      </c>
      <c r="S19" s="62"/>
      <c r="T19" s="63">
        <v>6405.3112499999988</v>
      </c>
      <c r="U19" s="63">
        <f>T19*1.35</f>
        <v>8647.1701874999999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2:40" ht="15" thickTop="1" x14ac:dyDescent="0.35">
      <c r="P20" s="14" t="s">
        <v>55</v>
      </c>
      <c r="Q20" s="6">
        <f>SUM(Q4:Q18)</f>
        <v>32</v>
      </c>
    </row>
    <row r="21" spans="2:40" x14ac:dyDescent="0.35">
      <c r="P21" s="14"/>
      <c r="Q21" s="6"/>
    </row>
    <row r="22" spans="2:40" x14ac:dyDescent="0.35">
      <c r="C22" s="5" t="s">
        <v>60</v>
      </c>
      <c r="D22" s="5"/>
      <c r="E22" s="5"/>
    </row>
    <row r="23" spans="2:40" ht="52" x14ac:dyDescent="0.35">
      <c r="B23" s="10" t="s">
        <v>44</v>
      </c>
      <c r="C23" s="22" t="s">
        <v>0</v>
      </c>
      <c r="D23" s="22" t="s">
        <v>37</v>
      </c>
      <c r="E23" s="22" t="s">
        <v>2</v>
      </c>
      <c r="F23" s="22" t="s">
        <v>1</v>
      </c>
      <c r="G23" s="22" t="s">
        <v>38</v>
      </c>
      <c r="H23" s="22" t="s">
        <v>4</v>
      </c>
      <c r="I23" s="22" t="s">
        <v>5</v>
      </c>
      <c r="J23" s="22" t="s">
        <v>6</v>
      </c>
      <c r="K23" s="22" t="s">
        <v>8</v>
      </c>
      <c r="L23" s="22" t="s">
        <v>11</v>
      </c>
      <c r="M23" s="22" t="s">
        <v>10</v>
      </c>
      <c r="N23" s="21" t="s">
        <v>9</v>
      </c>
      <c r="O23" s="23" t="s">
        <v>39</v>
      </c>
      <c r="P23" s="22" t="s">
        <v>7</v>
      </c>
      <c r="Q23" s="22" t="s">
        <v>40</v>
      </c>
      <c r="R23" s="22" t="s">
        <v>3</v>
      </c>
      <c r="S23" s="21" t="s">
        <v>41</v>
      </c>
      <c r="T23" s="21" t="s">
        <v>42</v>
      </c>
      <c r="U23" s="21" t="s">
        <v>43</v>
      </c>
    </row>
    <row r="24" spans="2:40" ht="38" x14ac:dyDescent="0.35">
      <c r="B24" s="13" t="s">
        <v>103</v>
      </c>
      <c r="C24" s="15">
        <v>1</v>
      </c>
      <c r="D24" s="26" t="s">
        <v>99</v>
      </c>
      <c r="E24" s="15" t="s">
        <v>107</v>
      </c>
      <c r="F24" s="11" t="s">
        <v>105</v>
      </c>
      <c r="G24" s="11" t="s">
        <v>62</v>
      </c>
      <c r="H24" s="2" t="s">
        <v>14</v>
      </c>
      <c r="I24" s="7" t="s">
        <v>106</v>
      </c>
      <c r="J24" s="15" t="s">
        <v>64</v>
      </c>
      <c r="K24" s="15" t="s">
        <v>96</v>
      </c>
      <c r="L24" s="15" t="s">
        <v>108</v>
      </c>
      <c r="M24" s="2" t="s">
        <v>19</v>
      </c>
      <c r="N24" s="2" t="s">
        <v>15</v>
      </c>
      <c r="O24" s="2" t="s">
        <v>16</v>
      </c>
      <c r="P24" s="2" t="s">
        <v>16</v>
      </c>
      <c r="Q24" s="15">
        <v>1</v>
      </c>
      <c r="R24" s="2" t="s">
        <v>12</v>
      </c>
      <c r="S24" s="30">
        <v>43891</v>
      </c>
      <c r="T24" s="24">
        <v>5632.6373999999996</v>
      </c>
      <c r="U24" s="24">
        <v>7631.2116061321622</v>
      </c>
    </row>
    <row r="25" spans="2:40" s="40" customFormat="1" ht="25.5" thickBot="1" x14ac:dyDescent="0.4">
      <c r="B25" s="56" t="s">
        <v>143</v>
      </c>
      <c r="C25" s="57">
        <v>2</v>
      </c>
      <c r="D25" s="65" t="s">
        <v>141</v>
      </c>
      <c r="E25" s="58" t="s">
        <v>107</v>
      </c>
      <c r="F25" s="64" t="s">
        <v>142</v>
      </c>
      <c r="G25" s="64" t="s">
        <v>62</v>
      </c>
      <c r="H25" s="58" t="s">
        <v>14</v>
      </c>
      <c r="I25" s="68" t="s">
        <v>106</v>
      </c>
      <c r="J25" s="58" t="s">
        <v>64</v>
      </c>
      <c r="K25" s="58" t="s">
        <v>96</v>
      </c>
      <c r="L25" s="58" t="s">
        <v>108</v>
      </c>
      <c r="M25" s="58" t="s">
        <v>19</v>
      </c>
      <c r="N25" s="58" t="s">
        <v>15</v>
      </c>
      <c r="O25" s="58" t="s">
        <v>16</v>
      </c>
      <c r="P25" s="58" t="s">
        <v>16</v>
      </c>
      <c r="Q25" s="58"/>
      <c r="R25" s="58" t="s">
        <v>12</v>
      </c>
      <c r="S25" s="69"/>
      <c r="T25" s="63">
        <v>5311.5074999999997</v>
      </c>
      <c r="U25" s="63">
        <f>T25*1.35</f>
        <v>7170.5351250000003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ht="38.5" thickTop="1" x14ac:dyDescent="0.35">
      <c r="B26" s="13" t="s">
        <v>103</v>
      </c>
      <c r="C26" s="20">
        <v>3</v>
      </c>
      <c r="D26" s="51" t="s">
        <v>100</v>
      </c>
      <c r="E26" s="50" t="s">
        <v>97</v>
      </c>
      <c r="F26" s="52" t="s">
        <v>105</v>
      </c>
      <c r="G26" s="52" t="s">
        <v>62</v>
      </c>
      <c r="H26" s="50" t="s">
        <v>14</v>
      </c>
      <c r="I26" s="66" t="s">
        <v>106</v>
      </c>
      <c r="J26" s="20" t="s">
        <v>64</v>
      </c>
      <c r="K26" s="20" t="s">
        <v>96</v>
      </c>
      <c r="L26" s="50" t="s">
        <v>87</v>
      </c>
      <c r="M26" s="50" t="s">
        <v>19</v>
      </c>
      <c r="N26" s="50" t="s">
        <v>15</v>
      </c>
      <c r="O26" s="50" t="s">
        <v>16</v>
      </c>
      <c r="P26" s="50" t="s">
        <v>16</v>
      </c>
      <c r="Q26" s="20">
        <v>1</v>
      </c>
      <c r="R26" s="50" t="s">
        <v>12</v>
      </c>
      <c r="S26" s="67">
        <v>43891</v>
      </c>
      <c r="T26" s="55">
        <v>6294.6467999999986</v>
      </c>
      <c r="U26" s="55">
        <v>8528.1153934500835</v>
      </c>
    </row>
    <row r="27" spans="2:40" ht="25" x14ac:dyDescent="0.35">
      <c r="B27" s="13" t="s">
        <v>103</v>
      </c>
      <c r="C27" s="15">
        <v>4</v>
      </c>
      <c r="D27" s="26" t="s">
        <v>93</v>
      </c>
      <c r="E27" s="2" t="s">
        <v>97</v>
      </c>
      <c r="F27" s="11" t="s">
        <v>46</v>
      </c>
      <c r="G27" s="11" t="s">
        <v>62</v>
      </c>
      <c r="H27" s="2" t="s">
        <v>14</v>
      </c>
      <c r="I27" s="2" t="s">
        <v>49</v>
      </c>
      <c r="J27" s="15" t="s">
        <v>64</v>
      </c>
      <c r="K27" s="15" t="s">
        <v>65</v>
      </c>
      <c r="L27" s="2" t="s">
        <v>87</v>
      </c>
      <c r="M27" s="2" t="s">
        <v>19</v>
      </c>
      <c r="N27" s="2" t="s">
        <v>15</v>
      </c>
      <c r="O27" s="2" t="s">
        <v>16</v>
      </c>
      <c r="P27" s="2" t="s">
        <v>16</v>
      </c>
      <c r="Q27" s="15">
        <v>1</v>
      </c>
      <c r="R27" s="2" t="s">
        <v>12</v>
      </c>
      <c r="S27" s="30">
        <v>43891</v>
      </c>
      <c r="T27" s="24">
        <v>5312.97</v>
      </c>
      <c r="U27" s="24">
        <v>7198.1197168899953</v>
      </c>
    </row>
    <row r="28" spans="2:40" ht="25" x14ac:dyDescent="0.35">
      <c r="B28" s="10" t="s">
        <v>95</v>
      </c>
      <c r="C28" s="15">
        <v>5</v>
      </c>
      <c r="D28" s="2" t="s">
        <v>93</v>
      </c>
      <c r="E28" s="2" t="s">
        <v>97</v>
      </c>
      <c r="F28" s="11" t="s">
        <v>46</v>
      </c>
      <c r="G28" s="11" t="s">
        <v>62</v>
      </c>
      <c r="H28" s="2" t="s">
        <v>14</v>
      </c>
      <c r="I28" s="2" t="s">
        <v>49</v>
      </c>
      <c r="J28" s="2" t="s">
        <v>98</v>
      </c>
      <c r="K28" s="2" t="s">
        <v>96</v>
      </c>
      <c r="L28" s="2" t="s">
        <v>87</v>
      </c>
      <c r="M28" s="2" t="s">
        <v>19</v>
      </c>
      <c r="N28" s="2" t="s">
        <v>15</v>
      </c>
      <c r="O28" s="2" t="s">
        <v>16</v>
      </c>
      <c r="P28" s="2" t="s">
        <v>16</v>
      </c>
      <c r="Q28" s="1">
        <v>2</v>
      </c>
      <c r="R28" s="2" t="s">
        <v>12</v>
      </c>
      <c r="S28" s="12">
        <v>43952</v>
      </c>
      <c r="T28" s="24">
        <v>5138.68</v>
      </c>
      <c r="U28" s="24">
        <v>7061.7496109884978</v>
      </c>
    </row>
    <row r="29" spans="2:40" s="40" customFormat="1" ht="24" customHeight="1" thickBot="1" x14ac:dyDescent="0.4">
      <c r="B29" s="56" t="s">
        <v>143</v>
      </c>
      <c r="C29" s="57">
        <v>6</v>
      </c>
      <c r="D29" s="65" t="s">
        <v>141</v>
      </c>
      <c r="E29" s="58" t="s">
        <v>97</v>
      </c>
      <c r="F29" s="64" t="s">
        <v>46</v>
      </c>
      <c r="G29" s="64" t="s">
        <v>62</v>
      </c>
      <c r="H29" s="58" t="s">
        <v>14</v>
      </c>
      <c r="I29" s="68" t="s">
        <v>106</v>
      </c>
      <c r="J29" s="58" t="s">
        <v>98</v>
      </c>
      <c r="K29" s="58" t="s">
        <v>96</v>
      </c>
      <c r="L29" s="58" t="s">
        <v>87</v>
      </c>
      <c r="M29" s="58" t="s">
        <v>19</v>
      </c>
      <c r="N29" s="58" t="s">
        <v>15</v>
      </c>
      <c r="O29" s="58" t="s">
        <v>16</v>
      </c>
      <c r="P29" s="58" t="s">
        <v>16</v>
      </c>
      <c r="Q29" s="61"/>
      <c r="R29" s="58" t="s">
        <v>12</v>
      </c>
      <c r="S29" s="62"/>
      <c r="T29" s="63">
        <v>5877.0562499999996</v>
      </c>
      <c r="U29" s="63">
        <f>T29*1.35</f>
        <v>7934.0259374999996</v>
      </c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pans="2:40" ht="25.5" thickTop="1" x14ac:dyDescent="0.35">
      <c r="B30" s="13" t="s">
        <v>103</v>
      </c>
      <c r="C30" s="20">
        <v>7</v>
      </c>
      <c r="D30" s="51" t="s">
        <v>61</v>
      </c>
      <c r="E30" s="50" t="s">
        <v>63</v>
      </c>
      <c r="F30" s="52" t="s">
        <v>46</v>
      </c>
      <c r="G30" s="52" t="s">
        <v>62</v>
      </c>
      <c r="H30" s="50" t="s">
        <v>14</v>
      </c>
      <c r="I30" s="50" t="s">
        <v>49</v>
      </c>
      <c r="J30" s="50" t="s">
        <v>64</v>
      </c>
      <c r="K30" s="50" t="s">
        <v>96</v>
      </c>
      <c r="L30" s="50" t="s">
        <v>89</v>
      </c>
      <c r="M30" s="50" t="s">
        <v>19</v>
      </c>
      <c r="N30" s="50" t="s">
        <v>15</v>
      </c>
      <c r="O30" s="50" t="s">
        <v>16</v>
      </c>
      <c r="P30" s="50" t="s">
        <v>16</v>
      </c>
      <c r="Q30" s="53">
        <v>2</v>
      </c>
      <c r="R30" s="50" t="s">
        <v>12</v>
      </c>
      <c r="S30" s="54">
        <v>43891</v>
      </c>
      <c r="T30" s="55">
        <v>7900.9866000000002</v>
      </c>
      <c r="U30" s="55">
        <v>10704.417195719841</v>
      </c>
    </row>
    <row r="31" spans="2:40" ht="25" x14ac:dyDescent="0.35">
      <c r="B31" s="10" t="s">
        <v>85</v>
      </c>
      <c r="C31" s="15">
        <v>8</v>
      </c>
      <c r="D31" s="2" t="s">
        <v>61</v>
      </c>
      <c r="E31" s="2" t="s">
        <v>63</v>
      </c>
      <c r="F31" s="11" t="s">
        <v>46</v>
      </c>
      <c r="G31" s="11" t="s">
        <v>62</v>
      </c>
      <c r="H31" s="2" t="s">
        <v>14</v>
      </c>
      <c r="I31" s="2" t="s">
        <v>49</v>
      </c>
      <c r="J31" s="2" t="s">
        <v>64</v>
      </c>
      <c r="K31" s="2" t="s">
        <v>65</v>
      </c>
      <c r="L31" s="2" t="s">
        <v>89</v>
      </c>
      <c r="M31" s="2" t="s">
        <v>19</v>
      </c>
      <c r="N31" s="2" t="s">
        <v>15</v>
      </c>
      <c r="O31" s="2" t="s">
        <v>16</v>
      </c>
      <c r="P31" s="2" t="s">
        <v>16</v>
      </c>
      <c r="Q31" s="1">
        <v>2</v>
      </c>
      <c r="R31" s="2" t="s">
        <v>12</v>
      </c>
      <c r="S31" s="12">
        <v>44105</v>
      </c>
      <c r="T31" s="24">
        <v>7797.0262499999999</v>
      </c>
      <c r="U31" s="24">
        <v>10452.60139312275</v>
      </c>
    </row>
    <row r="32" spans="2:40" ht="25" x14ac:dyDescent="0.35">
      <c r="B32" s="10" t="s">
        <v>44</v>
      </c>
      <c r="C32" s="15">
        <v>9</v>
      </c>
      <c r="D32" s="2" t="s">
        <v>61</v>
      </c>
      <c r="E32" s="2" t="s">
        <v>63</v>
      </c>
      <c r="F32" s="11" t="s">
        <v>46</v>
      </c>
      <c r="G32" s="11" t="s">
        <v>62</v>
      </c>
      <c r="H32" s="2" t="s">
        <v>14</v>
      </c>
      <c r="I32" s="2" t="s">
        <v>49</v>
      </c>
      <c r="J32" s="2" t="s">
        <v>64</v>
      </c>
      <c r="K32" s="2" t="s">
        <v>65</v>
      </c>
      <c r="L32" s="2" t="s">
        <v>89</v>
      </c>
      <c r="M32" s="2" t="s">
        <v>19</v>
      </c>
      <c r="N32" s="2" t="s">
        <v>15</v>
      </c>
      <c r="O32" s="2" t="s">
        <v>16</v>
      </c>
      <c r="P32" s="2" t="s">
        <v>16</v>
      </c>
      <c r="Q32" s="1">
        <v>1</v>
      </c>
      <c r="R32" s="2" t="s">
        <v>12</v>
      </c>
      <c r="S32" s="12">
        <v>44197</v>
      </c>
      <c r="T32" s="24">
        <v>6913.3632749999988</v>
      </c>
      <c r="U32" s="24">
        <v>9338.8004590334822</v>
      </c>
    </row>
    <row r="33" spans="2:40" s="40" customFormat="1" ht="25.5" thickBot="1" x14ac:dyDescent="0.4">
      <c r="B33" s="56" t="s">
        <v>143</v>
      </c>
      <c r="C33" s="15">
        <v>10</v>
      </c>
      <c r="D33" s="71" t="s">
        <v>141</v>
      </c>
      <c r="E33" s="45" t="s">
        <v>63</v>
      </c>
      <c r="F33" s="73" t="s">
        <v>46</v>
      </c>
      <c r="G33" s="73" t="s">
        <v>62</v>
      </c>
      <c r="H33" s="58" t="s">
        <v>14</v>
      </c>
      <c r="I33" s="68" t="s">
        <v>106</v>
      </c>
      <c r="J33" s="58" t="s">
        <v>64</v>
      </c>
      <c r="K33" s="58" t="s">
        <v>65</v>
      </c>
      <c r="L33" s="58" t="s">
        <v>89</v>
      </c>
      <c r="M33" s="58" t="s">
        <v>19</v>
      </c>
      <c r="N33" s="58" t="s">
        <v>15</v>
      </c>
      <c r="O33" s="58" t="s">
        <v>16</v>
      </c>
      <c r="P33" s="58" t="s">
        <v>16</v>
      </c>
      <c r="Q33" s="61"/>
      <c r="R33" s="58" t="s">
        <v>12</v>
      </c>
      <c r="S33" s="62"/>
      <c r="T33" s="63">
        <v>8512.6274999999987</v>
      </c>
      <c r="U33" s="63">
        <f>T33*1.35</f>
        <v>11492.047124999999</v>
      </c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2:40" ht="25.5" thickTop="1" x14ac:dyDescent="0.35">
      <c r="B34" s="13" t="s">
        <v>103</v>
      </c>
      <c r="C34" s="70">
        <v>11</v>
      </c>
      <c r="D34" s="72" t="s">
        <v>90</v>
      </c>
      <c r="E34" s="70" t="s">
        <v>18</v>
      </c>
      <c r="F34" s="59" t="s">
        <v>46</v>
      </c>
      <c r="G34" s="59" t="s">
        <v>62</v>
      </c>
      <c r="H34" s="50" t="s">
        <v>14</v>
      </c>
      <c r="I34" s="50" t="s">
        <v>49</v>
      </c>
      <c r="J34" s="50" t="s">
        <v>91</v>
      </c>
      <c r="K34" s="50" t="s">
        <v>96</v>
      </c>
      <c r="L34" s="50" t="s">
        <v>88</v>
      </c>
      <c r="M34" s="50" t="s">
        <v>19</v>
      </c>
      <c r="N34" s="50" t="s">
        <v>15</v>
      </c>
      <c r="O34" s="50" t="s">
        <v>16</v>
      </c>
      <c r="P34" s="50" t="s">
        <v>16</v>
      </c>
      <c r="Q34" s="53">
        <v>1</v>
      </c>
      <c r="R34" s="50" t="s">
        <v>12</v>
      </c>
      <c r="S34" s="54">
        <v>43891</v>
      </c>
      <c r="T34" s="55">
        <v>8639.9117999999999</v>
      </c>
      <c r="U34" s="55">
        <v>11705.5280718262</v>
      </c>
    </row>
    <row r="35" spans="2:40" ht="25" x14ac:dyDescent="0.35">
      <c r="B35" s="10" t="s">
        <v>85</v>
      </c>
      <c r="C35" s="15">
        <v>12</v>
      </c>
      <c r="D35" s="2" t="s">
        <v>90</v>
      </c>
      <c r="E35" s="2" t="s">
        <v>18</v>
      </c>
      <c r="F35" s="11" t="s">
        <v>46</v>
      </c>
      <c r="G35" s="11" t="s">
        <v>62</v>
      </c>
      <c r="H35" s="2" t="s">
        <v>14</v>
      </c>
      <c r="I35" s="2" t="s">
        <v>49</v>
      </c>
      <c r="J35" s="2" t="s">
        <v>91</v>
      </c>
      <c r="K35" s="2" t="s">
        <v>65</v>
      </c>
      <c r="L35" s="2" t="s">
        <v>88</v>
      </c>
      <c r="M35" s="2" t="s">
        <v>19</v>
      </c>
      <c r="N35" s="2" t="s">
        <v>15</v>
      </c>
      <c r="O35" s="2" t="s">
        <v>16</v>
      </c>
      <c r="P35" s="2" t="s">
        <v>16</v>
      </c>
      <c r="Q35" s="1">
        <v>2</v>
      </c>
      <c r="R35" s="2" t="s">
        <v>12</v>
      </c>
      <c r="S35" s="12">
        <v>44105</v>
      </c>
      <c r="T35" s="24">
        <v>8526.2287499999984</v>
      </c>
      <c r="U35" s="24">
        <v>11430.161660714333</v>
      </c>
    </row>
    <row r="36" spans="2:40" s="40" customFormat="1" ht="25.5" thickBot="1" x14ac:dyDescent="0.4">
      <c r="B36" s="56" t="s">
        <v>145</v>
      </c>
      <c r="C36" s="57">
        <v>13</v>
      </c>
      <c r="D36" s="58" t="s">
        <v>144</v>
      </c>
      <c r="E36" s="58" t="s">
        <v>18</v>
      </c>
      <c r="F36" s="64" t="s">
        <v>46</v>
      </c>
      <c r="G36" s="64" t="s">
        <v>62</v>
      </c>
      <c r="H36" s="58" t="s">
        <v>14</v>
      </c>
      <c r="I36" s="68" t="s">
        <v>133</v>
      </c>
      <c r="J36" s="58" t="s">
        <v>91</v>
      </c>
      <c r="K36" s="58" t="s">
        <v>65</v>
      </c>
      <c r="L36" s="58" t="s">
        <v>88</v>
      </c>
      <c r="M36" s="58" t="s">
        <v>19</v>
      </c>
      <c r="N36" s="58" t="s">
        <v>15</v>
      </c>
      <c r="O36" s="58" t="s">
        <v>16</v>
      </c>
      <c r="P36" s="58" t="s">
        <v>16</v>
      </c>
      <c r="Q36" s="61"/>
      <c r="R36" s="58" t="s">
        <v>12</v>
      </c>
      <c r="S36" s="62"/>
      <c r="T36" s="63">
        <v>9242.7075000000004</v>
      </c>
      <c r="U36" s="63">
        <f>T36*1.35</f>
        <v>12477.655125000001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ht="15" thickTop="1" x14ac:dyDescent="0.35">
      <c r="C37" s="14"/>
      <c r="D37" s="14"/>
      <c r="E37" s="14"/>
      <c r="F37" s="33"/>
      <c r="G37" s="33"/>
      <c r="H37" s="14"/>
      <c r="I37" s="14"/>
      <c r="J37" s="14"/>
      <c r="K37" s="14"/>
      <c r="L37" s="14"/>
      <c r="M37" s="14"/>
      <c r="N37" s="14"/>
      <c r="O37" s="14"/>
      <c r="P37" s="14"/>
      <c r="Q37" s="34"/>
      <c r="R37" s="14"/>
      <c r="S37" s="31"/>
      <c r="T37" s="35"/>
      <c r="U37" s="35"/>
    </row>
    <row r="38" spans="2:40" x14ac:dyDescent="0.35">
      <c r="C38" s="14"/>
      <c r="D38" s="14"/>
      <c r="E38" s="14"/>
      <c r="F38" s="33"/>
      <c r="G38" s="33"/>
      <c r="H38" s="14"/>
      <c r="I38" s="14"/>
      <c r="J38" s="14"/>
      <c r="K38" s="14"/>
      <c r="L38" s="14"/>
      <c r="M38" s="14"/>
      <c r="N38" s="14"/>
      <c r="O38" s="14"/>
      <c r="P38" s="14" t="s">
        <v>55</v>
      </c>
      <c r="Q38" s="34">
        <f>SUM(Q24:Q35)</f>
        <v>13</v>
      </c>
      <c r="R38" s="14"/>
      <c r="S38" s="31"/>
      <c r="T38" s="35"/>
      <c r="U38" s="35"/>
    </row>
    <row r="39" spans="2:40" x14ac:dyDescent="0.35">
      <c r="P39" s="14"/>
      <c r="Q39" s="6"/>
    </row>
    <row r="40" spans="2:40" x14ac:dyDescent="0.35">
      <c r="C40" s="5" t="s">
        <v>66</v>
      </c>
      <c r="D40" s="5"/>
    </row>
    <row r="41" spans="2:40" ht="52" x14ac:dyDescent="0.35">
      <c r="C41" s="27" t="s">
        <v>0</v>
      </c>
      <c r="D41" s="37" t="s">
        <v>67</v>
      </c>
      <c r="E41" s="37" t="s">
        <v>2</v>
      </c>
      <c r="F41" s="27" t="s">
        <v>1</v>
      </c>
      <c r="G41" s="27" t="s">
        <v>38</v>
      </c>
      <c r="H41" s="27" t="s">
        <v>4</v>
      </c>
      <c r="I41" s="27" t="s">
        <v>5</v>
      </c>
      <c r="J41" s="27" t="s">
        <v>6</v>
      </c>
      <c r="K41" s="27" t="s">
        <v>8</v>
      </c>
      <c r="L41" s="27" t="s">
        <v>11</v>
      </c>
      <c r="M41" s="27" t="s">
        <v>10</v>
      </c>
      <c r="N41" s="28" t="s">
        <v>9</v>
      </c>
      <c r="O41" s="37" t="s">
        <v>39</v>
      </c>
      <c r="P41" s="27" t="s">
        <v>7</v>
      </c>
      <c r="Q41" s="27" t="s">
        <v>40</v>
      </c>
      <c r="R41" s="27" t="s">
        <v>3</v>
      </c>
      <c r="S41" s="28" t="s">
        <v>41</v>
      </c>
      <c r="T41" s="28" t="s">
        <v>42</v>
      </c>
      <c r="U41" s="28" t="s">
        <v>43</v>
      </c>
    </row>
    <row r="42" spans="2:40" ht="29" x14ac:dyDescent="0.35">
      <c r="B42" s="10" t="s">
        <v>132</v>
      </c>
      <c r="C42" s="2">
        <v>1</v>
      </c>
      <c r="D42" s="38" t="s">
        <v>109</v>
      </c>
      <c r="E42" s="17" t="s">
        <v>115</v>
      </c>
      <c r="F42" s="17" t="s">
        <v>114</v>
      </c>
      <c r="G42" s="2" t="s">
        <v>15</v>
      </c>
      <c r="H42" s="2" t="s">
        <v>14</v>
      </c>
      <c r="I42" s="15" t="s">
        <v>116</v>
      </c>
      <c r="J42" s="2" t="s">
        <v>15</v>
      </c>
      <c r="K42" s="15" t="s">
        <v>124</v>
      </c>
      <c r="L42" s="15" t="s">
        <v>117</v>
      </c>
      <c r="M42" s="8" t="s">
        <v>13</v>
      </c>
      <c r="N42" s="2" t="s">
        <v>19</v>
      </c>
      <c r="O42" s="18" t="s">
        <v>74</v>
      </c>
      <c r="P42" s="18" t="s">
        <v>24</v>
      </c>
      <c r="Q42" s="15">
        <v>1</v>
      </c>
      <c r="R42" s="2" t="s">
        <v>12</v>
      </c>
      <c r="S42" s="30">
        <v>44075</v>
      </c>
      <c r="T42" s="2">
        <v>2218.9899999999998</v>
      </c>
      <c r="U42" s="2">
        <v>3109.721769782655</v>
      </c>
    </row>
    <row r="43" spans="2:40" ht="29" x14ac:dyDescent="0.35">
      <c r="B43" s="10" t="s">
        <v>120</v>
      </c>
      <c r="C43" s="2">
        <v>2</v>
      </c>
      <c r="D43" s="18" t="s">
        <v>109</v>
      </c>
      <c r="E43" s="17" t="s">
        <v>115</v>
      </c>
      <c r="F43" s="17" t="s">
        <v>114</v>
      </c>
      <c r="G43" s="2" t="s">
        <v>15</v>
      </c>
      <c r="H43" s="2" t="s">
        <v>14</v>
      </c>
      <c r="I43" s="15" t="s">
        <v>116</v>
      </c>
      <c r="J43" s="2" t="s">
        <v>15</v>
      </c>
      <c r="K43" s="15" t="s">
        <v>102</v>
      </c>
      <c r="L43" s="15" t="s">
        <v>117</v>
      </c>
      <c r="M43" s="8" t="s">
        <v>13</v>
      </c>
      <c r="N43" s="2" t="s">
        <v>19</v>
      </c>
      <c r="O43" s="18" t="s">
        <v>74</v>
      </c>
      <c r="P43" s="18" t="s">
        <v>24</v>
      </c>
      <c r="Q43" s="15">
        <v>1</v>
      </c>
      <c r="R43" s="2" t="s">
        <v>12</v>
      </c>
      <c r="S43" s="30">
        <v>43891</v>
      </c>
      <c r="T43" s="24">
        <v>2818.9920000000002</v>
      </c>
      <c r="U43" s="24">
        <v>4396.4774737485886</v>
      </c>
    </row>
    <row r="44" spans="2:40" s="40" customFormat="1" ht="25" x14ac:dyDescent="0.35">
      <c r="B44" s="44" t="s">
        <v>145</v>
      </c>
      <c r="C44" s="2">
        <v>3</v>
      </c>
      <c r="D44" s="47" t="s">
        <v>147</v>
      </c>
      <c r="E44" s="48" t="s">
        <v>115</v>
      </c>
      <c r="F44" s="48" t="s">
        <v>118</v>
      </c>
      <c r="G44" s="41" t="s">
        <v>15</v>
      </c>
      <c r="H44" s="41" t="s">
        <v>14</v>
      </c>
      <c r="I44" s="45" t="s">
        <v>146</v>
      </c>
      <c r="J44" s="41" t="s">
        <v>15</v>
      </c>
      <c r="K44" s="45" t="s">
        <v>102</v>
      </c>
      <c r="L44" s="45" t="s">
        <v>117</v>
      </c>
      <c r="M44" s="45" t="s">
        <v>19</v>
      </c>
      <c r="N44" s="41" t="s">
        <v>19</v>
      </c>
      <c r="O44" s="47" t="s">
        <v>74</v>
      </c>
      <c r="P44" s="47" t="s">
        <v>24</v>
      </c>
      <c r="Q44" s="45"/>
      <c r="R44" s="41" t="s">
        <v>12</v>
      </c>
      <c r="S44" s="46"/>
      <c r="T44" s="43">
        <v>2704.5360000000001</v>
      </c>
      <c r="U44" s="43">
        <f>T44*1.35</f>
        <v>3651.1236000000004</v>
      </c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2:40" s="40" customFormat="1" ht="38" thickBot="1" x14ac:dyDescent="0.4">
      <c r="B45" s="56" t="s">
        <v>145</v>
      </c>
      <c r="C45" s="57">
        <v>4</v>
      </c>
      <c r="D45" s="75" t="s">
        <v>147</v>
      </c>
      <c r="E45" s="76" t="s">
        <v>115</v>
      </c>
      <c r="F45" s="76" t="s">
        <v>118</v>
      </c>
      <c r="G45" s="58" t="s">
        <v>15</v>
      </c>
      <c r="H45" s="58" t="s">
        <v>14</v>
      </c>
      <c r="I45" s="58" t="s">
        <v>146</v>
      </c>
      <c r="J45" s="58" t="s">
        <v>15</v>
      </c>
      <c r="K45" s="78" t="s">
        <v>78</v>
      </c>
      <c r="L45" s="58" t="s">
        <v>117</v>
      </c>
      <c r="M45" s="58" t="s">
        <v>19</v>
      </c>
      <c r="N45" s="58" t="s">
        <v>19</v>
      </c>
      <c r="O45" s="75" t="s">
        <v>74</v>
      </c>
      <c r="P45" s="75" t="s">
        <v>80</v>
      </c>
      <c r="Q45" s="58"/>
      <c r="R45" s="58" t="s">
        <v>12</v>
      </c>
      <c r="S45" s="69"/>
      <c r="T45" s="63">
        <v>2875.08</v>
      </c>
      <c r="U45" s="63">
        <f>T45*1.35</f>
        <v>3881.3580000000002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2:40" ht="29.5" thickTop="1" x14ac:dyDescent="0.35">
      <c r="B46" s="13" t="s">
        <v>132</v>
      </c>
      <c r="C46" s="50">
        <v>5</v>
      </c>
      <c r="D46" s="38" t="s">
        <v>126</v>
      </c>
      <c r="E46" s="74" t="s">
        <v>25</v>
      </c>
      <c r="F46" s="74" t="s">
        <v>118</v>
      </c>
      <c r="G46" s="50" t="s">
        <v>15</v>
      </c>
      <c r="H46" s="50" t="s">
        <v>14</v>
      </c>
      <c r="I46" s="20" t="s">
        <v>119</v>
      </c>
      <c r="J46" s="50" t="s">
        <v>15</v>
      </c>
      <c r="K46" s="20" t="s">
        <v>125</v>
      </c>
      <c r="L46" s="77" t="s">
        <v>22</v>
      </c>
      <c r="M46" s="20" t="s">
        <v>17</v>
      </c>
      <c r="N46" s="50" t="s">
        <v>19</v>
      </c>
      <c r="O46" s="77" t="s">
        <v>79</v>
      </c>
      <c r="P46" s="77" t="s">
        <v>80</v>
      </c>
      <c r="Q46" s="20">
        <v>1</v>
      </c>
      <c r="R46" s="50" t="s">
        <v>12</v>
      </c>
      <c r="S46" s="67">
        <v>44075</v>
      </c>
      <c r="T46" s="55">
        <v>1992.04</v>
      </c>
      <c r="U46" s="55">
        <v>2791.6710549744894</v>
      </c>
    </row>
    <row r="47" spans="2:40" ht="25" x14ac:dyDescent="0.35">
      <c r="B47" s="10" t="s">
        <v>120</v>
      </c>
      <c r="C47" s="2">
        <v>6</v>
      </c>
      <c r="D47" s="26" t="s">
        <v>110</v>
      </c>
      <c r="E47" s="17" t="s">
        <v>25</v>
      </c>
      <c r="F47" s="17" t="s">
        <v>118</v>
      </c>
      <c r="G47" s="2" t="s">
        <v>15</v>
      </c>
      <c r="H47" s="2" t="s">
        <v>14</v>
      </c>
      <c r="I47" s="15" t="s">
        <v>119</v>
      </c>
      <c r="J47" s="2" t="s">
        <v>15</v>
      </c>
      <c r="K47" s="15" t="s">
        <v>102</v>
      </c>
      <c r="L47" s="18" t="s">
        <v>22</v>
      </c>
      <c r="M47" s="15" t="s">
        <v>17</v>
      </c>
      <c r="N47" s="2" t="s">
        <v>17</v>
      </c>
      <c r="O47" s="18" t="s">
        <v>79</v>
      </c>
      <c r="P47" s="18" t="s">
        <v>24</v>
      </c>
      <c r="Q47" s="8">
        <v>1</v>
      </c>
      <c r="R47" s="2" t="s">
        <v>12</v>
      </c>
      <c r="S47" s="29">
        <v>43891</v>
      </c>
      <c r="T47" s="24">
        <v>2102.16</v>
      </c>
      <c r="U47" s="24">
        <v>3278.511995144127</v>
      </c>
    </row>
    <row r="48" spans="2:40" ht="37.5" x14ac:dyDescent="0.35">
      <c r="B48" s="10" t="s">
        <v>58</v>
      </c>
      <c r="C48" s="2">
        <v>7</v>
      </c>
      <c r="D48" s="17" t="s">
        <v>73</v>
      </c>
      <c r="E48" s="17" t="s">
        <v>25</v>
      </c>
      <c r="F48" s="17" t="s">
        <v>114</v>
      </c>
      <c r="G48" s="2" t="s">
        <v>15</v>
      </c>
      <c r="H48" s="2" t="s">
        <v>14</v>
      </c>
      <c r="I48" s="18" t="s">
        <v>71</v>
      </c>
      <c r="J48" s="2" t="s">
        <v>15</v>
      </c>
      <c r="K48" s="18" t="s">
        <v>59</v>
      </c>
      <c r="L48" s="18" t="s">
        <v>22</v>
      </c>
      <c r="M48" s="9" t="s">
        <v>13</v>
      </c>
      <c r="N48" s="18" t="s">
        <v>19</v>
      </c>
      <c r="O48" s="18" t="s">
        <v>74</v>
      </c>
      <c r="P48" s="18" t="s">
        <v>24</v>
      </c>
      <c r="Q48" s="19">
        <v>2</v>
      </c>
      <c r="R48" s="2" t="s">
        <v>12</v>
      </c>
      <c r="S48" s="12">
        <v>44256</v>
      </c>
      <c r="T48" s="24">
        <v>2891.9519999999998</v>
      </c>
      <c r="U48" s="24">
        <v>3881.53088835874</v>
      </c>
      <c r="V48" t="s">
        <v>123</v>
      </c>
    </row>
    <row r="49" spans="2:40" ht="37.5" x14ac:dyDescent="0.35">
      <c r="B49" s="10" t="s">
        <v>58</v>
      </c>
      <c r="C49" s="2">
        <v>8</v>
      </c>
      <c r="D49" s="18" t="s">
        <v>77</v>
      </c>
      <c r="E49" s="18" t="s">
        <v>25</v>
      </c>
      <c r="F49" s="18" t="s">
        <v>76</v>
      </c>
      <c r="G49" s="2" t="s">
        <v>15</v>
      </c>
      <c r="H49" s="2" t="s">
        <v>14</v>
      </c>
      <c r="I49" s="2" t="s">
        <v>32</v>
      </c>
      <c r="J49" s="2" t="s">
        <v>15</v>
      </c>
      <c r="K49" s="18" t="s">
        <v>78</v>
      </c>
      <c r="L49" s="18" t="s">
        <v>22</v>
      </c>
      <c r="M49" s="18" t="s">
        <v>17</v>
      </c>
      <c r="N49" s="18" t="s">
        <v>17</v>
      </c>
      <c r="O49" s="18" t="s">
        <v>79</v>
      </c>
      <c r="P49" s="18" t="s">
        <v>80</v>
      </c>
      <c r="Q49" s="19">
        <v>1</v>
      </c>
      <c r="R49" s="2" t="s">
        <v>12</v>
      </c>
      <c r="S49" s="12">
        <v>44256</v>
      </c>
      <c r="T49" s="24">
        <v>2269.056</v>
      </c>
      <c r="U49" s="24">
        <v>3045.4900189960722</v>
      </c>
      <c r="V49" t="s">
        <v>123</v>
      </c>
    </row>
    <row r="50" spans="2:40" ht="37.5" x14ac:dyDescent="0.35">
      <c r="B50" s="10" t="s">
        <v>58</v>
      </c>
      <c r="C50" s="2">
        <v>9</v>
      </c>
      <c r="D50" s="18" t="s">
        <v>81</v>
      </c>
      <c r="E50" s="18" t="s">
        <v>25</v>
      </c>
      <c r="F50" s="18" t="s">
        <v>76</v>
      </c>
      <c r="G50" s="2" t="s">
        <v>15</v>
      </c>
      <c r="H50" s="2" t="s">
        <v>14</v>
      </c>
      <c r="I50" s="2" t="s">
        <v>32</v>
      </c>
      <c r="J50" s="2" t="s">
        <v>15</v>
      </c>
      <c r="K50" s="18" t="s">
        <v>78</v>
      </c>
      <c r="L50" s="18" t="s">
        <v>22</v>
      </c>
      <c r="M50" s="18" t="s">
        <v>17</v>
      </c>
      <c r="N50" s="18" t="s">
        <v>19</v>
      </c>
      <c r="O50" s="18" t="s">
        <v>74</v>
      </c>
      <c r="P50" s="18" t="s">
        <v>80</v>
      </c>
      <c r="Q50" s="19">
        <v>1</v>
      </c>
      <c r="R50" s="2" t="s">
        <v>12</v>
      </c>
      <c r="S50" s="12">
        <v>44256</v>
      </c>
      <c r="T50" s="24">
        <v>2642.52</v>
      </c>
      <c r="U50" s="24">
        <v>3546.7473191483591</v>
      </c>
      <c r="V50" t="s">
        <v>123</v>
      </c>
    </row>
    <row r="51" spans="2:40" s="40" customFormat="1" ht="25" x14ac:dyDescent="0.35">
      <c r="B51" s="44" t="s">
        <v>145</v>
      </c>
      <c r="C51" s="2">
        <v>10</v>
      </c>
      <c r="D51" s="47" t="s">
        <v>147</v>
      </c>
      <c r="E51" s="47" t="s">
        <v>25</v>
      </c>
      <c r="F51" s="47" t="s">
        <v>76</v>
      </c>
      <c r="G51" s="41" t="s">
        <v>15</v>
      </c>
      <c r="H51" s="41" t="s">
        <v>14</v>
      </c>
      <c r="I51" s="45" t="s">
        <v>146</v>
      </c>
      <c r="J51" s="41" t="s">
        <v>15</v>
      </c>
      <c r="K51" s="15" t="s">
        <v>102</v>
      </c>
      <c r="L51" s="47" t="s">
        <v>22</v>
      </c>
      <c r="M51" s="47" t="s">
        <v>19</v>
      </c>
      <c r="N51" s="47" t="s">
        <v>19</v>
      </c>
      <c r="O51" s="47" t="s">
        <v>74</v>
      </c>
      <c r="P51" s="47" t="s">
        <v>24</v>
      </c>
      <c r="Q51" s="49"/>
      <c r="R51" s="41" t="s">
        <v>12</v>
      </c>
      <c r="S51" s="42"/>
      <c r="T51" s="43">
        <v>2778.864</v>
      </c>
      <c r="U51" s="43">
        <f>T51*1.35</f>
        <v>3751.4664000000002</v>
      </c>
      <c r="V51" t="s">
        <v>123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</row>
    <row r="52" spans="2:40" s="40" customFormat="1" ht="38" thickBot="1" x14ac:dyDescent="0.4">
      <c r="B52" s="56" t="s">
        <v>145</v>
      </c>
      <c r="C52" s="57">
        <v>11</v>
      </c>
      <c r="D52" s="75" t="s">
        <v>147</v>
      </c>
      <c r="E52" s="75" t="s">
        <v>25</v>
      </c>
      <c r="F52" s="75" t="s">
        <v>76</v>
      </c>
      <c r="G52" s="58" t="s">
        <v>15</v>
      </c>
      <c r="H52" s="58" t="s">
        <v>14</v>
      </c>
      <c r="I52" s="58" t="s">
        <v>146</v>
      </c>
      <c r="J52" s="58" t="s">
        <v>15</v>
      </c>
      <c r="K52" s="78" t="s">
        <v>78</v>
      </c>
      <c r="L52" s="75" t="s">
        <v>22</v>
      </c>
      <c r="M52" s="75" t="s">
        <v>19</v>
      </c>
      <c r="N52" s="75" t="s">
        <v>19</v>
      </c>
      <c r="O52" s="75" t="s">
        <v>74</v>
      </c>
      <c r="P52" s="78" t="s">
        <v>80</v>
      </c>
      <c r="Q52" s="79"/>
      <c r="R52" s="58" t="s">
        <v>12</v>
      </c>
      <c r="S52" s="62"/>
      <c r="T52" s="63">
        <v>2949.4079999999999</v>
      </c>
      <c r="U52" s="63">
        <f>T52*1.35</f>
        <v>3981.7008000000001</v>
      </c>
      <c r="V52" t="s">
        <v>123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pans="2:40" ht="25.5" thickTop="1" x14ac:dyDescent="0.35">
      <c r="B53" s="13" t="s">
        <v>132</v>
      </c>
      <c r="C53" s="50">
        <v>12</v>
      </c>
      <c r="D53" s="77" t="s">
        <v>127</v>
      </c>
      <c r="E53" s="50" t="s">
        <v>26</v>
      </c>
      <c r="F53" s="77" t="s">
        <v>20</v>
      </c>
      <c r="G53" s="50" t="s">
        <v>15</v>
      </c>
      <c r="H53" s="50" t="s">
        <v>14</v>
      </c>
      <c r="I53" s="50" t="s">
        <v>32</v>
      </c>
      <c r="J53" s="50" t="s">
        <v>15</v>
      </c>
      <c r="K53" s="50" t="s">
        <v>124</v>
      </c>
      <c r="L53" s="50" t="s">
        <v>27</v>
      </c>
      <c r="M53" s="50" t="s">
        <v>17</v>
      </c>
      <c r="N53" s="77" t="s">
        <v>17</v>
      </c>
      <c r="O53" s="77" t="s">
        <v>79</v>
      </c>
      <c r="P53" s="77" t="s">
        <v>24</v>
      </c>
      <c r="Q53" s="50">
        <v>4</v>
      </c>
      <c r="R53" s="50" t="s">
        <v>12</v>
      </c>
      <c r="S53" s="54">
        <v>44075</v>
      </c>
      <c r="T53" s="55">
        <v>2219.81</v>
      </c>
      <c r="U53" s="55">
        <v>3110.8709285671575</v>
      </c>
    </row>
    <row r="54" spans="2:40" ht="25" x14ac:dyDescent="0.35">
      <c r="B54" s="10" t="s">
        <v>132</v>
      </c>
      <c r="C54" s="2">
        <v>13</v>
      </c>
      <c r="D54" s="18" t="s">
        <v>75</v>
      </c>
      <c r="E54" s="36" t="s">
        <v>26</v>
      </c>
      <c r="F54" s="18" t="s">
        <v>20</v>
      </c>
      <c r="G54" s="2" t="s">
        <v>15</v>
      </c>
      <c r="H54" s="2" t="s">
        <v>14</v>
      </c>
      <c r="I54" s="36" t="s">
        <v>32</v>
      </c>
      <c r="J54" s="2" t="s">
        <v>15</v>
      </c>
      <c r="K54" s="36" t="s">
        <v>124</v>
      </c>
      <c r="L54" s="2" t="s">
        <v>27</v>
      </c>
      <c r="M54" s="2" t="s">
        <v>17</v>
      </c>
      <c r="N54" s="18" t="s">
        <v>19</v>
      </c>
      <c r="O54" s="36" t="s">
        <v>74</v>
      </c>
      <c r="P54" s="18" t="s">
        <v>24</v>
      </c>
      <c r="Q54" s="2">
        <v>2</v>
      </c>
      <c r="R54" s="2" t="s">
        <v>12</v>
      </c>
      <c r="S54" s="12">
        <v>44075</v>
      </c>
      <c r="T54" s="24">
        <v>2652.44</v>
      </c>
      <c r="U54" s="24">
        <v>3717.1643004440343</v>
      </c>
    </row>
    <row r="55" spans="2:40" ht="25" x14ac:dyDescent="0.35">
      <c r="B55" s="10" t="s">
        <v>132</v>
      </c>
      <c r="C55" s="2">
        <v>14</v>
      </c>
      <c r="D55" s="18" t="s">
        <v>128</v>
      </c>
      <c r="E55" s="2" t="s">
        <v>26</v>
      </c>
      <c r="F55" s="18" t="s">
        <v>20</v>
      </c>
      <c r="G55" s="2" t="s">
        <v>15</v>
      </c>
      <c r="H55" s="2" t="s">
        <v>14</v>
      </c>
      <c r="I55" s="2" t="s">
        <v>32</v>
      </c>
      <c r="J55" s="2" t="s">
        <v>15</v>
      </c>
      <c r="K55" s="2" t="s">
        <v>124</v>
      </c>
      <c r="L55" s="2" t="s">
        <v>27</v>
      </c>
      <c r="M55" s="2" t="s">
        <v>17</v>
      </c>
      <c r="N55" s="18" t="s">
        <v>19</v>
      </c>
      <c r="O55" s="18" t="s">
        <v>79</v>
      </c>
      <c r="P55" s="18" t="s">
        <v>24</v>
      </c>
      <c r="Q55" s="2">
        <v>2</v>
      </c>
      <c r="R55" s="2" t="s">
        <v>12</v>
      </c>
      <c r="S55" s="12">
        <v>44075</v>
      </c>
      <c r="T55" s="24">
        <v>2323.7800000000002</v>
      </c>
      <c r="U55" s="24">
        <v>3256.5758539630829</v>
      </c>
    </row>
    <row r="56" spans="2:40" ht="25" x14ac:dyDescent="0.35">
      <c r="B56" s="10" t="s">
        <v>132</v>
      </c>
      <c r="C56" s="2">
        <v>15</v>
      </c>
      <c r="D56" s="18" t="s">
        <v>83</v>
      </c>
      <c r="E56" s="2" t="s">
        <v>26</v>
      </c>
      <c r="F56" s="18" t="s">
        <v>20</v>
      </c>
      <c r="G56" s="2" t="s">
        <v>15</v>
      </c>
      <c r="H56" s="2" t="s">
        <v>14</v>
      </c>
      <c r="I56" s="2" t="s">
        <v>32</v>
      </c>
      <c r="J56" s="2" t="s">
        <v>15</v>
      </c>
      <c r="K56" s="2" t="s">
        <v>125</v>
      </c>
      <c r="L56" s="2" t="s">
        <v>27</v>
      </c>
      <c r="M56" s="2" t="s">
        <v>17</v>
      </c>
      <c r="N56" s="18" t="s">
        <v>17</v>
      </c>
      <c r="O56" s="18" t="s">
        <v>79</v>
      </c>
      <c r="P56" s="18" t="s">
        <v>21</v>
      </c>
      <c r="Q56" s="2">
        <v>1</v>
      </c>
      <c r="R56" s="2" t="s">
        <v>12</v>
      </c>
      <c r="S56" s="12">
        <v>44075</v>
      </c>
      <c r="T56" s="24">
        <v>2465.5300000000002</v>
      </c>
      <c r="U56" s="24">
        <v>3455.2261682352023</v>
      </c>
    </row>
    <row r="57" spans="2:40" ht="26" x14ac:dyDescent="0.35">
      <c r="B57" s="10" t="s">
        <v>120</v>
      </c>
      <c r="C57" s="2">
        <v>16</v>
      </c>
      <c r="D57" s="26" t="s">
        <v>70</v>
      </c>
      <c r="E57" s="2" t="s">
        <v>26</v>
      </c>
      <c r="F57" s="2" t="s">
        <v>121</v>
      </c>
      <c r="G57" s="2" t="s">
        <v>15</v>
      </c>
      <c r="H57" s="2" t="s">
        <v>14</v>
      </c>
      <c r="I57" s="2" t="s">
        <v>122</v>
      </c>
      <c r="J57" s="2" t="s">
        <v>15</v>
      </c>
      <c r="K57" s="18" t="s">
        <v>102</v>
      </c>
      <c r="L57" s="2" t="s">
        <v>27</v>
      </c>
      <c r="M57" s="7" t="s">
        <v>13</v>
      </c>
      <c r="N57" s="18" t="s">
        <v>19</v>
      </c>
      <c r="O57" s="2" t="s">
        <v>74</v>
      </c>
      <c r="P57" s="18" t="s">
        <v>24</v>
      </c>
      <c r="Q57" s="19">
        <v>1</v>
      </c>
      <c r="R57" s="2" t="s">
        <v>12</v>
      </c>
      <c r="S57" s="12">
        <v>43891</v>
      </c>
      <c r="T57" s="24">
        <v>3416.3519999999999</v>
      </c>
      <c r="U57" s="24">
        <v>5328.1153725856393</v>
      </c>
    </row>
    <row r="58" spans="2:40" ht="25" x14ac:dyDescent="0.35">
      <c r="B58" s="10" t="s">
        <v>120</v>
      </c>
      <c r="C58" s="2">
        <v>17</v>
      </c>
      <c r="D58" s="26" t="s">
        <v>111</v>
      </c>
      <c r="E58" s="2" t="s">
        <v>26</v>
      </c>
      <c r="F58" s="2" t="s">
        <v>118</v>
      </c>
      <c r="G58" s="2" t="s">
        <v>15</v>
      </c>
      <c r="H58" s="2" t="s">
        <v>14</v>
      </c>
      <c r="I58" s="2" t="s">
        <v>32</v>
      </c>
      <c r="J58" s="2" t="s">
        <v>15</v>
      </c>
      <c r="K58" s="18" t="s">
        <v>51</v>
      </c>
      <c r="L58" s="2" t="s">
        <v>27</v>
      </c>
      <c r="M58" s="18" t="s">
        <v>17</v>
      </c>
      <c r="N58" s="18" t="s">
        <v>17</v>
      </c>
      <c r="O58" s="18" t="s">
        <v>79</v>
      </c>
      <c r="P58" s="18" t="s">
        <v>24</v>
      </c>
      <c r="Q58" s="19">
        <v>3</v>
      </c>
      <c r="R58" s="2" t="s">
        <v>12</v>
      </c>
      <c r="S58" s="12">
        <v>43891</v>
      </c>
      <c r="T58" s="24">
        <v>2176.0320000000002</v>
      </c>
      <c r="U58" s="24">
        <v>3393.7221780537475</v>
      </c>
    </row>
    <row r="59" spans="2:40" ht="37.5" x14ac:dyDescent="0.35">
      <c r="B59" s="10" t="s">
        <v>56</v>
      </c>
      <c r="C59" s="2">
        <v>18</v>
      </c>
      <c r="D59" s="2" t="s">
        <v>70</v>
      </c>
      <c r="E59" s="2" t="s">
        <v>26</v>
      </c>
      <c r="F59" s="2" t="s">
        <v>121</v>
      </c>
      <c r="G59" s="2" t="s">
        <v>15</v>
      </c>
      <c r="H59" s="2" t="s">
        <v>14</v>
      </c>
      <c r="I59" s="2" t="s">
        <v>71</v>
      </c>
      <c r="J59" s="2" t="s">
        <v>15</v>
      </c>
      <c r="K59" s="2" t="s">
        <v>57</v>
      </c>
      <c r="L59" s="2" t="s">
        <v>27</v>
      </c>
      <c r="M59" s="7" t="s">
        <v>13</v>
      </c>
      <c r="N59" s="2" t="s">
        <v>19</v>
      </c>
      <c r="O59" s="2" t="s">
        <v>74</v>
      </c>
      <c r="P59" s="2" t="s">
        <v>72</v>
      </c>
      <c r="Q59" s="1">
        <v>1</v>
      </c>
      <c r="R59" s="2" t="s">
        <v>12</v>
      </c>
      <c r="S59" s="12">
        <v>44197</v>
      </c>
      <c r="T59" s="24">
        <v>3202.83</v>
      </c>
      <c r="U59" s="24">
        <v>4432.6218438392634</v>
      </c>
    </row>
    <row r="60" spans="2:40" ht="37.5" x14ac:dyDescent="0.35">
      <c r="B60" s="10" t="s">
        <v>58</v>
      </c>
      <c r="C60" s="2">
        <v>19</v>
      </c>
      <c r="D60" s="18" t="s">
        <v>75</v>
      </c>
      <c r="E60" s="18" t="s">
        <v>26</v>
      </c>
      <c r="F60" s="18" t="s">
        <v>76</v>
      </c>
      <c r="G60" s="2" t="s">
        <v>15</v>
      </c>
      <c r="H60" s="2" t="s">
        <v>14</v>
      </c>
      <c r="I60" s="2" t="s">
        <v>32</v>
      </c>
      <c r="J60" s="2" t="s">
        <v>15</v>
      </c>
      <c r="K60" s="18" t="s">
        <v>59</v>
      </c>
      <c r="L60" s="18" t="s">
        <v>27</v>
      </c>
      <c r="M60" s="18" t="s">
        <v>17</v>
      </c>
      <c r="N60" s="18" t="s">
        <v>19</v>
      </c>
      <c r="O60" s="18" t="s">
        <v>74</v>
      </c>
      <c r="P60" s="18" t="s">
        <v>24</v>
      </c>
      <c r="Q60" s="19">
        <v>2</v>
      </c>
      <c r="R60" s="2" t="s">
        <v>12</v>
      </c>
      <c r="S60" s="12">
        <v>44256</v>
      </c>
      <c r="T60" s="32">
        <v>2902.44</v>
      </c>
      <c r="U60" s="24">
        <v>3895.6077111957402</v>
      </c>
      <c r="V60" t="s">
        <v>123</v>
      </c>
    </row>
    <row r="61" spans="2:40" ht="37.5" x14ac:dyDescent="0.35">
      <c r="B61" s="10" t="s">
        <v>58</v>
      </c>
      <c r="C61" s="2">
        <v>20</v>
      </c>
      <c r="D61" s="18" t="s">
        <v>82</v>
      </c>
      <c r="E61" s="18" t="s">
        <v>26</v>
      </c>
      <c r="F61" s="18" t="s">
        <v>76</v>
      </c>
      <c r="G61" s="2" t="s">
        <v>15</v>
      </c>
      <c r="H61" s="2" t="s">
        <v>14</v>
      </c>
      <c r="I61" s="2" t="s">
        <v>32</v>
      </c>
      <c r="J61" s="2" t="s">
        <v>15</v>
      </c>
      <c r="K61" s="18" t="s">
        <v>78</v>
      </c>
      <c r="L61" s="18" t="s">
        <v>27</v>
      </c>
      <c r="M61" s="18" t="s">
        <v>17</v>
      </c>
      <c r="N61" s="18" t="s">
        <v>19</v>
      </c>
      <c r="O61" s="18" t="s">
        <v>74</v>
      </c>
      <c r="P61" s="18" t="s">
        <v>80</v>
      </c>
      <c r="Q61" s="19">
        <v>1</v>
      </c>
      <c r="R61" s="2" t="s">
        <v>12</v>
      </c>
      <c r="S61" s="12">
        <v>44256</v>
      </c>
      <c r="T61" s="24">
        <v>3088.0319999999997</v>
      </c>
      <c r="U61" s="24">
        <v>4144.706271833079</v>
      </c>
      <c r="V61" t="s">
        <v>123</v>
      </c>
    </row>
    <row r="62" spans="2:40" ht="37.5" x14ac:dyDescent="0.35">
      <c r="B62" s="10" t="s">
        <v>58</v>
      </c>
      <c r="C62" s="2">
        <v>21</v>
      </c>
      <c r="D62" s="18" t="s">
        <v>83</v>
      </c>
      <c r="E62" s="18" t="s">
        <v>26</v>
      </c>
      <c r="F62" s="18" t="s">
        <v>76</v>
      </c>
      <c r="G62" s="2" t="s">
        <v>15</v>
      </c>
      <c r="H62" s="2" t="s">
        <v>14</v>
      </c>
      <c r="I62" s="2" t="s">
        <v>32</v>
      </c>
      <c r="J62" s="2" t="s">
        <v>15</v>
      </c>
      <c r="K62" s="18" t="s">
        <v>78</v>
      </c>
      <c r="L62" s="18" t="s">
        <v>27</v>
      </c>
      <c r="M62" s="18" t="s">
        <v>17</v>
      </c>
      <c r="N62" s="18" t="s">
        <v>17</v>
      </c>
      <c r="O62" s="18" t="s">
        <v>79</v>
      </c>
      <c r="P62" s="18" t="s">
        <v>80</v>
      </c>
      <c r="Q62" s="19">
        <v>1</v>
      </c>
      <c r="R62" s="2" t="s">
        <v>12</v>
      </c>
      <c r="S62" s="12">
        <v>44256</v>
      </c>
      <c r="T62" s="24">
        <v>2405.4</v>
      </c>
      <c r="U62" s="24">
        <v>3228.4887158770698</v>
      </c>
      <c r="V62" t="s">
        <v>123</v>
      </c>
    </row>
    <row r="63" spans="2:40" s="40" customFormat="1" ht="37.5" x14ac:dyDescent="0.35">
      <c r="B63" s="44" t="s">
        <v>145</v>
      </c>
      <c r="C63" s="2">
        <v>22</v>
      </c>
      <c r="D63" s="47" t="s">
        <v>147</v>
      </c>
      <c r="E63" s="47" t="s">
        <v>26</v>
      </c>
      <c r="F63" s="47" t="s">
        <v>76</v>
      </c>
      <c r="G63" s="41" t="s">
        <v>15</v>
      </c>
      <c r="H63" s="41" t="s">
        <v>14</v>
      </c>
      <c r="I63" s="45" t="s">
        <v>146</v>
      </c>
      <c r="J63" s="41" t="s">
        <v>15</v>
      </c>
      <c r="K63" s="18" t="s">
        <v>59</v>
      </c>
      <c r="L63" s="47" t="s">
        <v>27</v>
      </c>
      <c r="M63" s="47" t="s">
        <v>19</v>
      </c>
      <c r="N63" s="47" t="s">
        <v>19</v>
      </c>
      <c r="O63" s="18" t="s">
        <v>74</v>
      </c>
      <c r="P63" s="18" t="s">
        <v>24</v>
      </c>
      <c r="Q63" s="49"/>
      <c r="R63" s="41" t="s">
        <v>12</v>
      </c>
      <c r="S63" s="42"/>
      <c r="T63" s="43">
        <v>3298.7039999999997</v>
      </c>
      <c r="U63" s="43">
        <f>T63*1.35</f>
        <v>4453.2503999999999</v>
      </c>
      <c r="V63" t="s">
        <v>123</v>
      </c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</row>
    <row r="64" spans="2:40" s="40" customFormat="1" ht="38" thickBot="1" x14ac:dyDescent="0.4">
      <c r="B64" s="56" t="s">
        <v>145</v>
      </c>
      <c r="C64" s="57">
        <v>23</v>
      </c>
      <c r="D64" s="75" t="s">
        <v>147</v>
      </c>
      <c r="E64" s="75" t="s">
        <v>26</v>
      </c>
      <c r="F64" s="75" t="s">
        <v>76</v>
      </c>
      <c r="G64" s="58" t="s">
        <v>15</v>
      </c>
      <c r="H64" s="58" t="s">
        <v>14</v>
      </c>
      <c r="I64" s="58" t="s">
        <v>146</v>
      </c>
      <c r="J64" s="58" t="s">
        <v>15</v>
      </c>
      <c r="K64" s="75" t="s">
        <v>78</v>
      </c>
      <c r="L64" s="75" t="s">
        <v>27</v>
      </c>
      <c r="M64" s="75" t="s">
        <v>19</v>
      </c>
      <c r="N64" s="75" t="s">
        <v>19</v>
      </c>
      <c r="O64" s="78" t="s">
        <v>74</v>
      </c>
      <c r="P64" s="75" t="s">
        <v>80</v>
      </c>
      <c r="Q64" s="79"/>
      <c r="R64" s="58" t="s">
        <v>12</v>
      </c>
      <c r="S64" s="62"/>
      <c r="T64" s="63">
        <v>3488.4</v>
      </c>
      <c r="U64" s="63">
        <f>T64*1.35</f>
        <v>4709.34</v>
      </c>
      <c r="V64" t="s">
        <v>123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</row>
    <row r="65" spans="2:40" ht="25.5" thickTop="1" x14ac:dyDescent="0.35">
      <c r="B65" s="13" t="s">
        <v>120</v>
      </c>
      <c r="C65" s="50">
        <v>24</v>
      </c>
      <c r="D65" s="51" t="s">
        <v>112</v>
      </c>
      <c r="E65" s="50" t="s">
        <v>33</v>
      </c>
      <c r="F65" s="50" t="s">
        <v>118</v>
      </c>
      <c r="G65" s="50" t="s">
        <v>15</v>
      </c>
      <c r="H65" s="50" t="s">
        <v>14</v>
      </c>
      <c r="I65" s="50" t="s">
        <v>32</v>
      </c>
      <c r="J65" s="50" t="s">
        <v>15</v>
      </c>
      <c r="K65" s="77" t="s">
        <v>51</v>
      </c>
      <c r="L65" s="50" t="s">
        <v>31</v>
      </c>
      <c r="M65" s="50" t="s">
        <v>17</v>
      </c>
      <c r="N65" s="77" t="s">
        <v>17</v>
      </c>
      <c r="O65" s="77" t="s">
        <v>79</v>
      </c>
      <c r="P65" s="77" t="s">
        <v>24</v>
      </c>
      <c r="Q65" s="80">
        <v>2</v>
      </c>
      <c r="R65" s="50" t="s">
        <v>12</v>
      </c>
      <c r="S65" s="54">
        <v>43891</v>
      </c>
      <c r="T65" s="55">
        <v>2407.2239999999997</v>
      </c>
      <c r="U65" s="55">
        <v>3754.2873801227429</v>
      </c>
    </row>
    <row r="66" spans="2:40" ht="25" x14ac:dyDescent="0.35">
      <c r="B66" s="10" t="s">
        <v>120</v>
      </c>
      <c r="C66" s="2">
        <v>25</v>
      </c>
      <c r="D66" s="26" t="s">
        <v>113</v>
      </c>
      <c r="E66" s="2" t="s">
        <v>33</v>
      </c>
      <c r="F66" s="2" t="s">
        <v>118</v>
      </c>
      <c r="G66" s="2" t="s">
        <v>15</v>
      </c>
      <c r="H66" s="2" t="s">
        <v>14</v>
      </c>
      <c r="I66" s="2" t="s">
        <v>32</v>
      </c>
      <c r="J66" s="2" t="s">
        <v>15</v>
      </c>
      <c r="K66" s="18" t="s">
        <v>102</v>
      </c>
      <c r="L66" s="2" t="s">
        <v>31</v>
      </c>
      <c r="M66" s="2" t="s">
        <v>17</v>
      </c>
      <c r="N66" s="18" t="s">
        <v>19</v>
      </c>
      <c r="O66" s="18" t="s">
        <v>79</v>
      </c>
      <c r="P66" s="18" t="s">
        <v>24</v>
      </c>
      <c r="Q66" s="19">
        <v>1</v>
      </c>
      <c r="R66" s="2" t="s">
        <v>12</v>
      </c>
      <c r="S66" s="12">
        <v>43891</v>
      </c>
      <c r="T66" s="24">
        <v>2879.64</v>
      </c>
      <c r="U66" s="24">
        <v>4491.0636115694497</v>
      </c>
    </row>
    <row r="67" spans="2:40" ht="25" x14ac:dyDescent="0.35">
      <c r="B67" s="10" t="s">
        <v>56</v>
      </c>
      <c r="C67" s="2">
        <v>26</v>
      </c>
      <c r="D67" s="2" t="s">
        <v>68</v>
      </c>
      <c r="E67" s="2" t="s">
        <v>33</v>
      </c>
      <c r="F67" s="2" t="s">
        <v>118</v>
      </c>
      <c r="G67" s="2" t="s">
        <v>15</v>
      </c>
      <c r="H67" s="2" t="s">
        <v>14</v>
      </c>
      <c r="I67" s="2" t="s">
        <v>32</v>
      </c>
      <c r="J67" s="2" t="s">
        <v>15</v>
      </c>
      <c r="K67" s="2" t="s">
        <v>69</v>
      </c>
      <c r="L67" s="2" t="s">
        <v>31</v>
      </c>
      <c r="M67" s="2" t="s">
        <v>17</v>
      </c>
      <c r="N67" s="2" t="s">
        <v>19</v>
      </c>
      <c r="O67" s="18" t="s">
        <v>79</v>
      </c>
      <c r="P67" s="2" t="s">
        <v>21</v>
      </c>
      <c r="Q67" s="1">
        <v>2</v>
      </c>
      <c r="R67" s="2" t="s">
        <v>12</v>
      </c>
      <c r="S67" s="12">
        <v>44197</v>
      </c>
      <c r="T67" s="24">
        <v>3220.7849999999994</v>
      </c>
      <c r="U67" s="24">
        <v>4457.4710319654296</v>
      </c>
    </row>
    <row r="68" spans="2:40" ht="29" x14ac:dyDescent="0.35">
      <c r="B68" s="10" t="s">
        <v>132</v>
      </c>
      <c r="C68" s="2">
        <v>27</v>
      </c>
      <c r="D68" s="39" t="s">
        <v>129</v>
      </c>
      <c r="E68" s="2" t="s">
        <v>33</v>
      </c>
      <c r="F68" s="2" t="s">
        <v>118</v>
      </c>
      <c r="G68" s="2" t="s">
        <v>15</v>
      </c>
      <c r="H68" s="2" t="s">
        <v>14</v>
      </c>
      <c r="I68" s="2" t="s">
        <v>32</v>
      </c>
      <c r="J68" s="2" t="s">
        <v>15</v>
      </c>
      <c r="K68" s="18" t="s">
        <v>124</v>
      </c>
      <c r="L68" s="18" t="s">
        <v>34</v>
      </c>
      <c r="M68" s="2" t="s">
        <v>17</v>
      </c>
      <c r="N68" s="2" t="s">
        <v>17</v>
      </c>
      <c r="O68" s="18" t="s">
        <v>79</v>
      </c>
      <c r="P68" s="2" t="s">
        <v>24</v>
      </c>
      <c r="Q68" s="19">
        <v>4</v>
      </c>
      <c r="R68" s="2" t="s">
        <v>12</v>
      </c>
      <c r="S68" s="12">
        <v>44075</v>
      </c>
      <c r="T68" s="24">
        <v>2455.56</v>
      </c>
      <c r="U68" s="24">
        <v>3441.254079111442</v>
      </c>
    </row>
    <row r="69" spans="2:40" ht="25" x14ac:dyDescent="0.35">
      <c r="B69" s="10" t="s">
        <v>132</v>
      </c>
      <c r="C69" s="2">
        <v>28</v>
      </c>
      <c r="D69" s="39" t="s">
        <v>130</v>
      </c>
      <c r="E69" s="2" t="s">
        <v>33</v>
      </c>
      <c r="F69" s="2" t="s">
        <v>118</v>
      </c>
      <c r="G69" s="2" t="s">
        <v>15</v>
      </c>
      <c r="H69" s="2" t="s">
        <v>14</v>
      </c>
      <c r="I69" s="2" t="s">
        <v>32</v>
      </c>
      <c r="J69" s="2" t="s">
        <v>15</v>
      </c>
      <c r="K69" s="18" t="s">
        <v>124</v>
      </c>
      <c r="L69" s="18" t="s">
        <v>34</v>
      </c>
      <c r="M69" s="2" t="s">
        <v>17</v>
      </c>
      <c r="N69" s="2" t="s">
        <v>19</v>
      </c>
      <c r="O69" s="2" t="s">
        <v>74</v>
      </c>
      <c r="P69" s="2" t="s">
        <v>24</v>
      </c>
      <c r="Q69" s="19">
        <v>2</v>
      </c>
      <c r="R69" s="2" t="s">
        <v>12</v>
      </c>
      <c r="S69" s="12">
        <v>44075</v>
      </c>
      <c r="T69" s="24">
        <v>2844.68</v>
      </c>
      <c r="U69" s="24">
        <v>3986.5719647521278</v>
      </c>
    </row>
    <row r="70" spans="2:40" ht="29" x14ac:dyDescent="0.35">
      <c r="B70" s="10" t="s">
        <v>132</v>
      </c>
      <c r="C70" s="2">
        <v>29</v>
      </c>
      <c r="D70" s="39" t="s">
        <v>131</v>
      </c>
      <c r="E70" s="2" t="s">
        <v>33</v>
      </c>
      <c r="F70" s="2" t="s">
        <v>118</v>
      </c>
      <c r="G70" s="2" t="s">
        <v>15</v>
      </c>
      <c r="H70" s="2" t="s">
        <v>14</v>
      </c>
      <c r="I70" s="2" t="s">
        <v>32</v>
      </c>
      <c r="J70" s="2" t="s">
        <v>15</v>
      </c>
      <c r="K70" s="18" t="s">
        <v>125</v>
      </c>
      <c r="L70" s="18" t="s">
        <v>34</v>
      </c>
      <c r="M70" s="2" t="s">
        <v>17</v>
      </c>
      <c r="N70" s="2" t="s">
        <v>19</v>
      </c>
      <c r="O70" s="18" t="s">
        <v>79</v>
      </c>
      <c r="P70" s="2" t="s">
        <v>21</v>
      </c>
      <c r="Q70" s="19">
        <v>2</v>
      </c>
      <c r="R70" s="2" t="s">
        <v>12</v>
      </c>
      <c r="S70" s="12">
        <v>44075</v>
      </c>
      <c r="T70" s="24">
        <v>2991.93</v>
      </c>
      <c r="U70" s="24">
        <v>4192.9300513593207</v>
      </c>
    </row>
    <row r="71" spans="2:40" s="40" customFormat="1" ht="37.5" x14ac:dyDescent="0.35">
      <c r="B71" s="44" t="s">
        <v>145</v>
      </c>
      <c r="C71" s="2">
        <v>30</v>
      </c>
      <c r="D71" s="47" t="s">
        <v>147</v>
      </c>
      <c r="E71" s="41" t="s">
        <v>33</v>
      </c>
      <c r="F71" s="41" t="s">
        <v>118</v>
      </c>
      <c r="G71" s="41" t="s">
        <v>15</v>
      </c>
      <c r="H71" s="41" t="s">
        <v>14</v>
      </c>
      <c r="I71" s="45" t="s">
        <v>146</v>
      </c>
      <c r="J71" s="41" t="s">
        <v>15</v>
      </c>
      <c r="K71" s="18" t="s">
        <v>59</v>
      </c>
      <c r="L71" s="47" t="s">
        <v>34</v>
      </c>
      <c r="M71" s="41" t="s">
        <v>19</v>
      </c>
      <c r="N71" s="41" t="s">
        <v>19</v>
      </c>
      <c r="O71" s="18" t="s">
        <v>74</v>
      </c>
      <c r="P71" s="41" t="s">
        <v>24</v>
      </c>
      <c r="Q71" s="49"/>
      <c r="R71" s="41" t="s">
        <v>12</v>
      </c>
      <c r="S71" s="42"/>
      <c r="T71" s="43">
        <v>3597.384</v>
      </c>
      <c r="U71" s="43">
        <f>T71*1.35</f>
        <v>4856.4684000000007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</row>
    <row r="72" spans="2:40" s="40" customFormat="1" ht="38" thickBot="1" x14ac:dyDescent="0.4">
      <c r="B72" s="56" t="s">
        <v>145</v>
      </c>
      <c r="C72" s="57">
        <v>31</v>
      </c>
      <c r="D72" s="81" t="s">
        <v>147</v>
      </c>
      <c r="E72" s="58" t="s">
        <v>33</v>
      </c>
      <c r="F72" s="58" t="s">
        <v>118</v>
      </c>
      <c r="G72" s="58" t="s">
        <v>15</v>
      </c>
      <c r="H72" s="58" t="s">
        <v>14</v>
      </c>
      <c r="I72" s="58" t="s">
        <v>146</v>
      </c>
      <c r="J72" s="58" t="s">
        <v>15</v>
      </c>
      <c r="K72" s="75" t="s">
        <v>78</v>
      </c>
      <c r="L72" s="75" t="s">
        <v>34</v>
      </c>
      <c r="M72" s="58" t="s">
        <v>19</v>
      </c>
      <c r="N72" s="58" t="s">
        <v>19</v>
      </c>
      <c r="O72" s="78" t="s">
        <v>74</v>
      </c>
      <c r="P72" s="58" t="s">
        <v>21</v>
      </c>
      <c r="Q72" s="79"/>
      <c r="R72" s="58" t="s">
        <v>12</v>
      </c>
      <c r="S72" s="62"/>
      <c r="T72" s="63">
        <v>3988.6320000000001</v>
      </c>
      <c r="U72" s="63">
        <f>T72*1.35</f>
        <v>5384.6532000000007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</row>
    <row r="73" spans="2:40" ht="15" customHeight="1" thickTop="1" x14ac:dyDescent="0.35"/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UNIMAC </vt:lpstr>
      <vt:lpstr>PRIMUS</vt:lpstr>
      <vt:lpstr>Hoja2</vt:lpstr>
      <vt:lpstr>GMP</vt:lpstr>
      <vt:lpstr>SAILSTAR</vt:lpstr>
      <vt:lpstr>ADC</vt:lpstr>
      <vt:lpstr>SIDI</vt:lpstr>
      <vt:lpstr>BIMAP</vt:lpstr>
      <vt:lpstr>MILNOR</vt:lpstr>
      <vt:lpstr>Hoja1</vt:lpstr>
      <vt:lpstr>PRIMUS 10-02-2021</vt:lpstr>
      <vt:lpstr>SOFTWASH</vt:lpstr>
      <vt:lpstr>PRIMUS 09-02-2021</vt:lpstr>
      <vt:lpstr>PRIMUS!Área_de_impresión</vt:lpstr>
      <vt:lpstr>'PRIMUS 10-02-2021'!Área_de_impresión</vt:lpstr>
      <vt:lpstr>'UNIMAC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comercioexterior1</dc:creator>
  <cp:lastModifiedBy>compass leader</cp:lastModifiedBy>
  <cp:lastPrinted>2025-10-20T15:56:10Z</cp:lastPrinted>
  <dcterms:created xsi:type="dcterms:W3CDTF">2019-10-31T15:10:27Z</dcterms:created>
  <dcterms:modified xsi:type="dcterms:W3CDTF">2025-11-27T22:42:32Z</dcterms:modified>
</cp:coreProperties>
</file>