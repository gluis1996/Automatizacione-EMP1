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874c11f203d11/Documentos/CODIGOS Y COSTOS/"/>
    </mc:Choice>
  </mc:AlternateContent>
  <xr:revisionPtr revIDLastSave="1" documentId="13_ncr:1_{6C9ACE31-8A7A-4197-A8A8-93DA0E45307F}" xr6:coauthVersionLast="47" xr6:coauthVersionMax="47" xr10:uidLastSave="{BFDC093F-C211-4CF8-94A7-A75A5F960822}"/>
  <bookViews>
    <workbookView xWindow="-110" yWindow="-110" windowWidth="19420" windowHeight="11500" xr2:uid="{8125D573-68C3-443C-A835-F902765930B5}"/>
  </bookViews>
  <sheets>
    <sheet name="RESUMEN GENERAL LG" sheetId="1" r:id="rId1"/>
    <sheet name="RESUMEN LG " sheetId="2" r:id="rId2"/>
  </sheets>
  <definedNames>
    <definedName name="_xlnm._FilterDatabase" localSheetId="0" hidden="1">'RESUMEN GENERAL LG'!$B$2:$I$237</definedName>
    <definedName name="_xlnm.Print_Area" localSheetId="0">'RESUMEN GENERAL LG'!$A$1:$L$237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36" i="1" l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1" i="1"/>
  <c r="K70" i="1"/>
  <c r="K69" i="1"/>
  <c r="K68" i="1"/>
  <c r="K67" i="1"/>
  <c r="K66" i="1"/>
  <c r="K65" i="1"/>
  <c r="K64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F126" i="1"/>
  <c r="F101" i="1"/>
  <c r="F237" i="1"/>
  <c r="F72" i="1" l="1"/>
  <c r="C7" i="2"/>
  <c r="G1" i="2"/>
  <c r="F22" i="1" l="1"/>
  <c r="C8" i="2" s="1"/>
  <c r="C15" i="2"/>
  <c r="C18" i="2"/>
  <c r="C11" i="2"/>
  <c r="F207" i="1"/>
  <c r="C17" i="2" s="1"/>
  <c r="F164" i="1"/>
  <c r="C16" i="2" s="1"/>
  <c r="C10" i="2"/>
  <c r="F62" i="1"/>
  <c r="C9" i="2" s="1"/>
  <c r="D12" i="2"/>
  <c r="D19" i="2"/>
  <c r="C12" i="2" l="1"/>
  <c r="C19" i="2" l="1"/>
</calcChain>
</file>

<file path=xl/sharedStrings.xml><?xml version="1.0" encoding="utf-8"?>
<sst xmlns="http://schemas.openxmlformats.org/spreadsheetml/2006/main" count="1595" uniqueCount="514">
  <si>
    <t>CODIGO</t>
  </si>
  <si>
    <t xml:space="preserve">DESCRIPCION </t>
  </si>
  <si>
    <t>SERIE</t>
  </si>
  <si>
    <t>STOCK</t>
  </si>
  <si>
    <t>MODELO</t>
  </si>
  <si>
    <t>MARCA</t>
  </si>
  <si>
    <t xml:space="preserve">SISTEMA </t>
  </si>
  <si>
    <t xml:space="preserve">UBICACIÓN </t>
  </si>
  <si>
    <t>LG</t>
  </si>
  <si>
    <t>PLANTA</t>
  </si>
  <si>
    <t>I22441</t>
  </si>
  <si>
    <t>303KWMK87579</t>
  </si>
  <si>
    <t>CDG27MSCPS</t>
  </si>
  <si>
    <t>I22443</t>
  </si>
  <si>
    <t>303KWS887574</t>
  </si>
  <si>
    <t>I22118</t>
  </si>
  <si>
    <t>207KWMK04275</t>
  </si>
  <si>
    <t>CDG27MUCPS</t>
  </si>
  <si>
    <t>I22450</t>
  </si>
  <si>
    <t>303KWDJ87698</t>
  </si>
  <si>
    <t>I22452</t>
  </si>
  <si>
    <t>303KWFN87683</t>
  </si>
  <si>
    <t>I22456</t>
  </si>
  <si>
    <t>303KWLR87696</t>
  </si>
  <si>
    <t>I22462</t>
  </si>
  <si>
    <t>303KWSB87694</t>
  </si>
  <si>
    <t>I22467</t>
  </si>
  <si>
    <t>303KWXD87682</t>
  </si>
  <si>
    <t>I22470</t>
  </si>
  <si>
    <t>303KWHX87689</t>
  </si>
  <si>
    <t>I22531</t>
  </si>
  <si>
    <t>304KWGG0V223</t>
  </si>
  <si>
    <t>I22532</t>
  </si>
  <si>
    <t>304KWHX0V217</t>
  </si>
  <si>
    <t>I22533</t>
  </si>
  <si>
    <t>304KWLR0V200</t>
  </si>
  <si>
    <t>I22534</t>
  </si>
  <si>
    <t>304KWLR0V224</t>
  </si>
  <si>
    <t>I22535</t>
  </si>
  <si>
    <t>304KWMK0V203</t>
  </si>
  <si>
    <t>I22536</t>
  </si>
  <si>
    <t>304KWSB0V222</t>
  </si>
  <si>
    <t>I22537</t>
  </si>
  <si>
    <t>304KWYP0V218</t>
  </si>
  <si>
    <t>I22538</t>
  </si>
  <si>
    <t>304KWCF0V219</t>
  </si>
  <si>
    <t>I22539</t>
  </si>
  <si>
    <t>304KWDJ0V202</t>
  </si>
  <si>
    <t>I22540</t>
  </si>
  <si>
    <t>304KWEL0V204</t>
  </si>
  <si>
    <t>I22541</t>
  </si>
  <si>
    <t>304KWFN0V211</t>
  </si>
  <si>
    <t>I22543</t>
  </si>
  <si>
    <t>304KWKS0V205</t>
  </si>
  <si>
    <t>I22544</t>
  </si>
  <si>
    <t>304KWNM0V207</t>
  </si>
  <si>
    <t>I22545</t>
  </si>
  <si>
    <t>304KWPV0V216</t>
  </si>
  <si>
    <t>I22546</t>
  </si>
  <si>
    <t>304KWQW0V220</t>
  </si>
  <si>
    <t>I22547</t>
  </si>
  <si>
    <t>304KWTA0V201</t>
  </si>
  <si>
    <t>I22548</t>
  </si>
  <si>
    <t>304KWTA0V225</t>
  </si>
  <si>
    <t>I22549</t>
  </si>
  <si>
    <t>304KWUC0V206</t>
  </si>
  <si>
    <t>I22550</t>
  </si>
  <si>
    <t>304KWVQ0V215</t>
  </si>
  <si>
    <t>I22551</t>
  </si>
  <si>
    <t>304KWXD0V210</t>
  </si>
  <si>
    <t>I22552</t>
  </si>
  <si>
    <t>304KWGG0V199</t>
  </si>
  <si>
    <t>I22554</t>
  </si>
  <si>
    <t>304KWAT0V208</t>
  </si>
  <si>
    <t>I22555</t>
  </si>
  <si>
    <t>304KWDJ0V226</t>
  </si>
  <si>
    <t>I22558</t>
  </si>
  <si>
    <t>304KWJU0V212</t>
  </si>
  <si>
    <t>I22455</t>
  </si>
  <si>
    <t>303KVKS87677</t>
  </si>
  <si>
    <t>I22615</t>
  </si>
  <si>
    <t>304KWBY0V21</t>
  </si>
  <si>
    <t>I22616</t>
  </si>
  <si>
    <t>304KWEL0V228</t>
  </si>
  <si>
    <t>I22617</t>
  </si>
  <si>
    <t>304KWMK0V227</t>
  </si>
  <si>
    <t>I22618</t>
  </si>
  <si>
    <t>304KWRE0V214</t>
  </si>
  <si>
    <t>I22619</t>
  </si>
  <si>
    <t>304KWWZ0V209</t>
  </si>
  <si>
    <t>I22620</t>
  </si>
  <si>
    <t>304KWZH0V221</t>
  </si>
  <si>
    <t>I22624</t>
  </si>
  <si>
    <t>302KWGG7Z471</t>
  </si>
  <si>
    <t>I22793</t>
  </si>
  <si>
    <t>405KWREM5278</t>
  </si>
  <si>
    <t>I22800</t>
  </si>
  <si>
    <t>405KWATPG288</t>
  </si>
  <si>
    <t>I22801</t>
  </si>
  <si>
    <t>405KWBYPG293</t>
  </si>
  <si>
    <t>I22806</t>
  </si>
  <si>
    <t>405KWREPG294</t>
  </si>
  <si>
    <t>I22808</t>
  </si>
  <si>
    <t>405KWWZPG289</t>
  </si>
  <si>
    <t>I22842</t>
  </si>
  <si>
    <t>408KWJU30060</t>
  </si>
  <si>
    <t>I22843</t>
  </si>
  <si>
    <t>408KWWZ30057</t>
  </si>
  <si>
    <t>I22844</t>
  </si>
  <si>
    <t>408KWXD30058</t>
  </si>
  <si>
    <t>SECADORA TITAN LIGHT APILABLE 15 KG</t>
  </si>
  <si>
    <t>I22845</t>
  </si>
  <si>
    <t>I22853</t>
  </si>
  <si>
    <t>I22855</t>
  </si>
  <si>
    <t>I22856</t>
  </si>
  <si>
    <t>I22857</t>
  </si>
  <si>
    <t>I22858</t>
  </si>
  <si>
    <t>I22859</t>
  </si>
  <si>
    <t>I22820</t>
  </si>
  <si>
    <t>405KWATM5344</t>
  </si>
  <si>
    <t>I22821</t>
  </si>
  <si>
    <t>405KWBYM5349</t>
  </si>
  <si>
    <t>I22822</t>
  </si>
  <si>
    <t>405KWCFM5331</t>
  </si>
  <si>
    <t>I22823</t>
  </si>
  <si>
    <t>405KWDJM5338</t>
  </si>
  <si>
    <t>I22824</t>
  </si>
  <si>
    <t>405KWELM5340</t>
  </si>
  <si>
    <t>I22825</t>
  </si>
  <si>
    <t>405KWFNM5347</t>
  </si>
  <si>
    <t>I22827</t>
  </si>
  <si>
    <t>405KWJUM5348</t>
  </si>
  <si>
    <t>I22828</t>
  </si>
  <si>
    <t>405KWKSM5341</t>
  </si>
  <si>
    <t>I22829</t>
  </si>
  <si>
    <t>405KWLRM5336</t>
  </si>
  <si>
    <t>I22830</t>
  </si>
  <si>
    <t>405KWMKM5339</t>
  </si>
  <si>
    <t>I22831</t>
  </si>
  <si>
    <t>405KWNMM5342</t>
  </si>
  <si>
    <t>I22832</t>
  </si>
  <si>
    <t>405KWQWM5332</t>
  </si>
  <si>
    <t>I22834</t>
  </si>
  <si>
    <t>405KWTAM5337</t>
  </si>
  <si>
    <t>I22835</t>
  </si>
  <si>
    <t>405KWUCM5342</t>
  </si>
  <si>
    <t>I22836</t>
  </si>
  <si>
    <t>405KWWZM5345</t>
  </si>
  <si>
    <t>I22837</t>
  </si>
  <si>
    <t>405KWXDM5346</t>
  </si>
  <si>
    <t>I22838</t>
  </si>
  <si>
    <t>405KWYPM5330</t>
  </si>
  <si>
    <t>I22839</t>
  </si>
  <si>
    <t>405KWZHM5333</t>
  </si>
  <si>
    <t>I22875</t>
  </si>
  <si>
    <t>408KWAT32600</t>
  </si>
  <si>
    <t>I22876</t>
  </si>
  <si>
    <t>408KWCF32635</t>
  </si>
  <si>
    <t>I22877</t>
  </si>
  <si>
    <t>408KWDJ32618</t>
  </si>
  <si>
    <t>I22878</t>
  </si>
  <si>
    <t>408KWFN32603</t>
  </si>
  <si>
    <t>I22880</t>
  </si>
  <si>
    <t>408KWQW32636</t>
  </si>
  <si>
    <t>I22881</t>
  </si>
  <si>
    <t>408KWSB32638</t>
  </si>
  <si>
    <t>I22883</t>
  </si>
  <si>
    <t>408KWYP32634</t>
  </si>
  <si>
    <t>I22884</t>
  </si>
  <si>
    <t>408KWZH32637</t>
  </si>
  <si>
    <t xml:space="preserve">LAVADORA TITAN MAX 17 KG </t>
  </si>
  <si>
    <t>CWT29MSORS</t>
  </si>
  <si>
    <t>I22903</t>
  </si>
  <si>
    <t>501KWPV47536</t>
  </si>
  <si>
    <t>I22904</t>
  </si>
  <si>
    <t>501KWHX47537</t>
  </si>
  <si>
    <t>I22905</t>
  </si>
  <si>
    <t>501KWYP47538</t>
  </si>
  <si>
    <t>I22907</t>
  </si>
  <si>
    <t>501KWQW47540</t>
  </si>
  <si>
    <t>I22909</t>
  </si>
  <si>
    <t>501KWSB47542</t>
  </si>
  <si>
    <t>I22910</t>
  </si>
  <si>
    <t>501KWNM47551</t>
  </si>
  <si>
    <t>I22911</t>
  </si>
  <si>
    <t>501KWAT47552</t>
  </si>
  <si>
    <t>I22912</t>
  </si>
  <si>
    <t>501KWWZ47553</t>
  </si>
  <si>
    <t>I22913</t>
  </si>
  <si>
    <t>501KWXD47554</t>
  </si>
  <si>
    <t>I22914</t>
  </si>
  <si>
    <t>501KWFN47555</t>
  </si>
  <si>
    <t>I22915</t>
  </si>
  <si>
    <t>501KWJU47556</t>
  </si>
  <si>
    <t>I22916</t>
  </si>
  <si>
    <t>501KWBY47557</t>
  </si>
  <si>
    <t>I22918</t>
  </si>
  <si>
    <t>501KWVQ47559</t>
  </si>
  <si>
    <t>I22919</t>
  </si>
  <si>
    <t>501KWPV47560</t>
  </si>
  <si>
    <t>I22922</t>
  </si>
  <si>
    <t>501KWCF47563</t>
  </si>
  <si>
    <t>I22924</t>
  </si>
  <si>
    <t>501KWZH47565</t>
  </si>
  <si>
    <t>I22925</t>
  </si>
  <si>
    <t>501KWSB47566</t>
  </si>
  <si>
    <t>I22926</t>
  </si>
  <si>
    <t>501KWGG47567</t>
  </si>
  <si>
    <t>I22927</t>
  </si>
  <si>
    <t>501KWLR47568</t>
  </si>
  <si>
    <t>I22928</t>
  </si>
  <si>
    <t>501KWTA47569</t>
  </si>
  <si>
    <t>I22930</t>
  </si>
  <si>
    <t>501KWMK47571</t>
  </si>
  <si>
    <t>I22931</t>
  </si>
  <si>
    <t>501KWEL47572</t>
  </si>
  <si>
    <t>I22932</t>
  </si>
  <si>
    <t>501KWKS47573</t>
  </si>
  <si>
    <t>I22934</t>
  </si>
  <si>
    <t>501KWNM47575</t>
  </si>
  <si>
    <t>I22937</t>
  </si>
  <si>
    <t>501KWFN47579</t>
  </si>
  <si>
    <t>I22939</t>
  </si>
  <si>
    <t>501KWBY47581</t>
  </si>
  <si>
    <t>I22940</t>
  </si>
  <si>
    <t>501KWRE47582</t>
  </si>
  <si>
    <t>I22941</t>
  </si>
  <si>
    <t>501KWPV47584</t>
  </si>
  <si>
    <t>I22943</t>
  </si>
  <si>
    <t>501KWHX47585</t>
  </si>
  <si>
    <t>I22946</t>
  </si>
  <si>
    <t>501KWQW47588</t>
  </si>
  <si>
    <t>I22947</t>
  </si>
  <si>
    <t>501KWZH47589</t>
  </si>
  <si>
    <t>I22948</t>
  </si>
  <si>
    <t>501KWBY47653</t>
  </si>
  <si>
    <t>I22950</t>
  </si>
  <si>
    <t>501KWVQ47655</t>
  </si>
  <si>
    <t>I22953</t>
  </si>
  <si>
    <t>501KWYP47658</t>
  </si>
  <si>
    <t>I22958</t>
  </si>
  <si>
    <t>501KWRE47534</t>
  </si>
  <si>
    <t>I22959</t>
  </si>
  <si>
    <t>501KWGG47543</t>
  </si>
  <si>
    <t>I22960</t>
  </si>
  <si>
    <t>501KWLR47544</t>
  </si>
  <si>
    <t>I22961</t>
  </si>
  <si>
    <t>501KWTA47545</t>
  </si>
  <si>
    <t>I22966</t>
  </si>
  <si>
    <t>501KWWZ47577</t>
  </si>
  <si>
    <t>I22969</t>
  </si>
  <si>
    <t>501KWLR47664</t>
  </si>
  <si>
    <t>I22970</t>
  </si>
  <si>
    <t>501KWTA47665</t>
  </si>
  <si>
    <t>I22972</t>
  </si>
  <si>
    <t>501KWPV6J136</t>
  </si>
  <si>
    <t>CDT29MUCPS</t>
  </si>
  <si>
    <t>I22973</t>
  </si>
  <si>
    <t>501KWZH6J141</t>
  </si>
  <si>
    <t>I22974</t>
  </si>
  <si>
    <t>501KWSB6J142</t>
  </si>
  <si>
    <t>I22975</t>
  </si>
  <si>
    <t>501KWLR6J144</t>
  </si>
  <si>
    <t>I22976</t>
  </si>
  <si>
    <t>501KWTA6J145</t>
  </si>
  <si>
    <t>I22977</t>
  </si>
  <si>
    <t>501KWEL6J412</t>
  </si>
  <si>
    <t>I22978</t>
  </si>
  <si>
    <t>501KWKS6J413</t>
  </si>
  <si>
    <t>I22979</t>
  </si>
  <si>
    <t>501KWUC6J414</t>
  </si>
  <si>
    <t>I22980</t>
  </si>
  <si>
    <t>501KWNM6J415</t>
  </si>
  <si>
    <t>I22981</t>
  </si>
  <si>
    <t>501KWAT6J416</t>
  </si>
  <si>
    <t>I22982</t>
  </si>
  <si>
    <t>501KWYP7X378</t>
  </si>
  <si>
    <t>CWG27MDCRS</t>
  </si>
  <si>
    <t>I22983</t>
  </si>
  <si>
    <t>501KWCF7X379</t>
  </si>
  <si>
    <t>I22984</t>
  </si>
  <si>
    <t>501KWQW7X380</t>
  </si>
  <si>
    <t>I22985</t>
  </si>
  <si>
    <t>501KWZH7X381</t>
  </si>
  <si>
    <t>I22986</t>
  </si>
  <si>
    <t>501KWSB7X382</t>
  </si>
  <si>
    <t>I22987</t>
  </si>
  <si>
    <t>501KWGG7X383</t>
  </si>
  <si>
    <t>I22988</t>
  </si>
  <si>
    <t>501KWLR7X384</t>
  </si>
  <si>
    <t>I22989</t>
  </si>
  <si>
    <t>501KWTA7X385</t>
  </si>
  <si>
    <t>I22990</t>
  </si>
  <si>
    <t>501KWDJ7X386</t>
  </si>
  <si>
    <t>I22991</t>
  </si>
  <si>
    <t>501KWMK7X387</t>
  </si>
  <si>
    <t>I22992</t>
  </si>
  <si>
    <t>501KWLR2B920</t>
  </si>
  <si>
    <t>I22993</t>
  </si>
  <si>
    <t>501KWTA2B921</t>
  </si>
  <si>
    <t>I22994</t>
  </si>
  <si>
    <t>501KWDJ2B922</t>
  </si>
  <si>
    <t>I22995</t>
  </si>
  <si>
    <t>501KWMK2B923</t>
  </si>
  <si>
    <t>I22996</t>
  </si>
  <si>
    <t>501KWEL2B924</t>
  </si>
  <si>
    <t>I22997</t>
  </si>
  <si>
    <t>501KWKS2B925</t>
  </si>
  <si>
    <t>I22998</t>
  </si>
  <si>
    <t>501KWUC2B926</t>
  </si>
  <si>
    <t>I22999</t>
  </si>
  <si>
    <t>501KWNM2B927</t>
  </si>
  <si>
    <t>I23000</t>
  </si>
  <si>
    <t>501KWAT2B928</t>
  </si>
  <si>
    <t>I23001</t>
  </si>
  <si>
    <t>501KWWZ2B929</t>
  </si>
  <si>
    <t>I23002</t>
  </si>
  <si>
    <t>501KWXD2B930</t>
  </si>
  <si>
    <t>I23003</t>
  </si>
  <si>
    <t>501KWFN2B931</t>
  </si>
  <si>
    <t>I23004</t>
  </si>
  <si>
    <t>501KWJU2B932</t>
  </si>
  <si>
    <t>I23005</t>
  </si>
  <si>
    <t>501KWBY2B933</t>
  </si>
  <si>
    <t>I23006</t>
  </si>
  <si>
    <t>501KWRE2B934</t>
  </si>
  <si>
    <t xml:space="preserve">EXHIBICION </t>
  </si>
  <si>
    <t>408KWAT2Z952</t>
  </si>
  <si>
    <t>408KWJU2Z956</t>
  </si>
  <si>
    <t>408KWMK2Z947</t>
  </si>
  <si>
    <t>408KWRE2Z958</t>
  </si>
  <si>
    <t>408KWTA2Z945</t>
  </si>
  <si>
    <t>408KWUC2Z950</t>
  </si>
  <si>
    <t>408KWYP2Z962</t>
  </si>
  <si>
    <t xml:space="preserve">PLANTA </t>
  </si>
  <si>
    <t>GIANT C MAX - APILABLE</t>
  </si>
  <si>
    <t>CAPACIDAD</t>
  </si>
  <si>
    <t>10.2 KG</t>
  </si>
  <si>
    <t>15 KG</t>
  </si>
  <si>
    <t xml:space="preserve">10.2 KG </t>
  </si>
  <si>
    <t xml:space="preserve">GIANT C MAX </t>
  </si>
  <si>
    <t>SECADORA C GAS LG C/SIS OPL,MOD:GIANT-C MAX,CAP:10.2KG 220/60/1PH</t>
  </si>
  <si>
    <t>SECADORA C GAS LG C/SIS OPL,MOD:GIANT-C MAX APIL,CAP:10.2KG 220/60/1PH</t>
  </si>
  <si>
    <t xml:space="preserve">GIANT C MAX - APILABLE </t>
  </si>
  <si>
    <t xml:space="preserve">INGRESO </t>
  </si>
  <si>
    <t>CDT29MSCPS</t>
  </si>
  <si>
    <t xml:space="preserve">SECADORA C. GAS LG C/S OPL, MOD. TITAN LIGTH CAP.15KG,220V/60HZ/1PH </t>
  </si>
  <si>
    <t>TITAN LIGHT - OPL</t>
  </si>
  <si>
    <t xml:space="preserve">GIANT C MAX - OPL </t>
  </si>
  <si>
    <t>13 KG</t>
  </si>
  <si>
    <t>CWG27MSCRS</t>
  </si>
  <si>
    <t>LAVADORA C FLOT. LG C/SIS OPL,MOD.GIANT-C MAX CAP:13KG,220/60/1PH</t>
  </si>
  <si>
    <t>SECADORA C. GAS LG C/S OPL, MOD. TITAN LIGTH CAP. 15KG, 220V/60HZ/1PH</t>
  </si>
  <si>
    <t xml:space="preserve">TITAN LIGHT - OPL </t>
  </si>
  <si>
    <t xml:space="preserve">TITAN LIGHT - APILABLE </t>
  </si>
  <si>
    <t>SECADORA C GAS LG C/S OPL,MOD.TITAN LIGHT APIL CAP15 KG,220/60/1PH</t>
  </si>
  <si>
    <t>17 KG</t>
  </si>
  <si>
    <t>LAVADORA C FLOT. LG C/SIS OPL,MOD.GIANT-C MAX APIL CAP:13KG,220/60/1PH</t>
  </si>
  <si>
    <t>TITAN MAX - FLOT</t>
  </si>
  <si>
    <t>LAVADORA C FLOT. LG ,MOD.TITAN MAX  CAP:17KG,220/60/1PH</t>
  </si>
  <si>
    <t xml:space="preserve">TITAN LIGHT APILABLE </t>
  </si>
  <si>
    <t xml:space="preserve">GIANT C MAX APILABLE </t>
  </si>
  <si>
    <t>CWT29MDCRS</t>
  </si>
  <si>
    <t>ITEM</t>
  </si>
  <si>
    <t>POR INGRESAR</t>
  </si>
  <si>
    <t xml:space="preserve">SECADORAS  </t>
  </si>
  <si>
    <t>TITAN C</t>
  </si>
  <si>
    <t>GIANT C MAX  APILABLE</t>
  </si>
  <si>
    <t xml:space="preserve">AÑO </t>
  </si>
  <si>
    <t xml:space="preserve">TITAN LIGHT </t>
  </si>
  <si>
    <t>GIANT C MAX</t>
  </si>
  <si>
    <t xml:space="preserve">TITAN MAX </t>
  </si>
  <si>
    <t xml:space="preserve">LAVADORAS </t>
  </si>
  <si>
    <t>SECAD0RA GIANT C MAX 10.2 KG</t>
  </si>
  <si>
    <t>SECAD0RA GIANT C MAX APILABLE 10.2 KG</t>
  </si>
  <si>
    <t xml:space="preserve">SECADORA TITAN LIGHT 15 KG </t>
  </si>
  <si>
    <t xml:space="preserve">LAVADORA GIANT C MAX 13 KG </t>
  </si>
  <si>
    <t xml:space="preserve">LAVADORA GIANT C MAX APILABLE 13 KG </t>
  </si>
  <si>
    <t>I23007</t>
  </si>
  <si>
    <t>507KWAT37592</t>
  </si>
  <si>
    <t>I23008</t>
  </si>
  <si>
    <t>507KWBY37573</t>
  </si>
  <si>
    <t>I23009</t>
  </si>
  <si>
    <t>507KWDJ37586</t>
  </si>
  <si>
    <t>I23010</t>
  </si>
  <si>
    <t>507KWEL37588</t>
  </si>
  <si>
    <t>I23011</t>
  </si>
  <si>
    <t>507KWFN37571</t>
  </si>
  <si>
    <t>I23012</t>
  </si>
  <si>
    <t>507KWFN37595</t>
  </si>
  <si>
    <t>I23013</t>
  </si>
  <si>
    <t>507KWGG37583</t>
  </si>
  <si>
    <t>I23014</t>
  </si>
  <si>
    <t>507KWHX37577</t>
  </si>
  <si>
    <t>I23015</t>
  </si>
  <si>
    <t>507KWJU37572</t>
  </si>
  <si>
    <t>I23016</t>
  </si>
  <si>
    <t>507KWJU37596</t>
  </si>
  <si>
    <t>I23017</t>
  </si>
  <si>
    <t>507KWKS37589</t>
  </si>
  <si>
    <t>I23018</t>
  </si>
  <si>
    <t>507KWLR37584</t>
  </si>
  <si>
    <t>I23019</t>
  </si>
  <si>
    <t>507KWMK37587</t>
  </si>
  <si>
    <t>I23020</t>
  </si>
  <si>
    <t>507KWNM37591</t>
  </si>
  <si>
    <t>I23021</t>
  </si>
  <si>
    <t>507KWPV37576</t>
  </si>
  <si>
    <t>I23022</t>
  </si>
  <si>
    <t>507KWXD37594</t>
  </si>
  <si>
    <t>I23023</t>
  </si>
  <si>
    <t>507KWRE37574</t>
  </si>
  <si>
    <t>I23024</t>
  </si>
  <si>
    <t>507KWUC37590</t>
  </si>
  <si>
    <t>I23025</t>
  </si>
  <si>
    <t>507KWVQ37575</t>
  </si>
  <si>
    <t>I23026</t>
  </si>
  <si>
    <t>507KWWZ37569</t>
  </si>
  <si>
    <t>I23027</t>
  </si>
  <si>
    <t>507KWWZ37593</t>
  </si>
  <si>
    <t>I23028</t>
  </si>
  <si>
    <t>507KWXD37570</t>
  </si>
  <si>
    <t>LAVADORA C FLOT. LG ,MOD.TITAN MAX APIL. CAP:17KG,220/60/1PH</t>
  </si>
  <si>
    <t xml:space="preserve">TITAN MAX APILABLE </t>
  </si>
  <si>
    <t xml:space="preserve">LAVADORA TITAN MAX APILABLE 17 KG </t>
  </si>
  <si>
    <t xml:space="preserve">EFAMEINSA </t>
  </si>
  <si>
    <t xml:space="preserve">COSTO ACTUAL </t>
  </si>
  <si>
    <t>I25098</t>
  </si>
  <si>
    <t>507KWCF37579</t>
  </si>
  <si>
    <t>I25099</t>
  </si>
  <si>
    <t>507KWQW37580</t>
  </si>
  <si>
    <t>I25100</t>
  </si>
  <si>
    <t>507KWSB37582</t>
  </si>
  <si>
    <t>I25101</t>
  </si>
  <si>
    <t>507KWTA37585</t>
  </si>
  <si>
    <t>I25102</t>
  </si>
  <si>
    <t>507KWYP37578</t>
  </si>
  <si>
    <t>I25103</t>
  </si>
  <si>
    <t>507KWZH37581</t>
  </si>
  <si>
    <t xml:space="preserve">OPEN </t>
  </si>
  <si>
    <t>I25060</t>
  </si>
  <si>
    <t>GIANT-C MAX</t>
  </si>
  <si>
    <t>LAVADORA C FLOT. LG C/SIS OPL,MOD.GIANT-C MAX CAP:13KG,220/60/1PH,COD:CWG27MSCRS</t>
  </si>
  <si>
    <t>507KWAT2A080</t>
  </si>
  <si>
    <t xml:space="preserve">13 KG </t>
  </si>
  <si>
    <t>I25061</t>
  </si>
  <si>
    <t>507KWBY2A085</t>
  </si>
  <si>
    <t>I25063</t>
  </si>
  <si>
    <t>507KWCF2A091</t>
  </si>
  <si>
    <t>I25064</t>
  </si>
  <si>
    <t>507KWDJ2A074</t>
  </si>
  <si>
    <t>I25065</t>
  </si>
  <si>
    <t>507KWEL2A076</t>
  </si>
  <si>
    <t>I25066</t>
  </si>
  <si>
    <t>507KWFN2A083</t>
  </si>
  <si>
    <t>I25068</t>
  </si>
  <si>
    <t>507KWHX2A065</t>
  </si>
  <si>
    <t>I25069</t>
  </si>
  <si>
    <t>507KWHX2A089</t>
  </si>
  <si>
    <t>I25070</t>
  </si>
  <si>
    <t>507KWJU2A084</t>
  </si>
  <si>
    <t>I25071</t>
  </si>
  <si>
    <t>507KWKS2A077</t>
  </si>
  <si>
    <t>I25072</t>
  </si>
  <si>
    <t>507KWLR2A072</t>
  </si>
  <si>
    <t>I25074</t>
  </si>
  <si>
    <t>507KWNM2A079</t>
  </si>
  <si>
    <t>I25076</t>
  </si>
  <si>
    <t>507KWQW2A068</t>
  </si>
  <si>
    <t>I25077</t>
  </si>
  <si>
    <t>507KWQW2A092</t>
  </si>
  <si>
    <t>I25078</t>
  </si>
  <si>
    <t>507KWRE2A086</t>
  </si>
  <si>
    <t>I25079</t>
  </si>
  <si>
    <t>507KWSB2A070</t>
  </si>
  <si>
    <t>I25080</t>
  </si>
  <si>
    <t>507KWTA2A073</t>
  </si>
  <si>
    <t>I25081</t>
  </si>
  <si>
    <t>507KWUC2A078</t>
  </si>
  <si>
    <t>I25082</t>
  </si>
  <si>
    <t>507KWVQ2A087</t>
  </si>
  <si>
    <t>I25084</t>
  </si>
  <si>
    <t>507KWXD2A082</t>
  </si>
  <si>
    <t>I25085</t>
  </si>
  <si>
    <t>507KWYP2A066</t>
  </si>
  <si>
    <t>I25086</t>
  </si>
  <si>
    <t>507KWYP2A090</t>
  </si>
  <si>
    <t xml:space="preserve">OPEN INVESTMENTS </t>
  </si>
  <si>
    <t>I25088</t>
  </si>
  <si>
    <t>TITAN LIGHT</t>
  </si>
  <si>
    <t>SECADORA C GAS LG C/S OPL,MOD.TITAN LIGHT APIL CAP15 KG,220/60/1PH,COD:CDT29MUCPS</t>
  </si>
  <si>
    <t>507KWAT22712</t>
  </si>
  <si>
    <t>I25089</t>
  </si>
  <si>
    <t>507KWBY22717</t>
  </si>
  <si>
    <t>I25090</t>
  </si>
  <si>
    <t>507KWEL22708</t>
  </si>
  <si>
    <t>I25091</t>
  </si>
  <si>
    <t>507KWFN22715</t>
  </si>
  <si>
    <t>I25092</t>
  </si>
  <si>
    <t>507KWJU22716</t>
  </si>
  <si>
    <t>I25093</t>
  </si>
  <si>
    <t>507KWKS22709</t>
  </si>
  <si>
    <t>I25094</t>
  </si>
  <si>
    <t>507KWNM22711</t>
  </si>
  <si>
    <t>I25095</t>
  </si>
  <si>
    <t>507KWUC22710</t>
  </si>
  <si>
    <t>I25096</t>
  </si>
  <si>
    <t>507KWWZ22713</t>
  </si>
  <si>
    <t>I25097</t>
  </si>
  <si>
    <t>507KWXD22714</t>
  </si>
  <si>
    <t xml:space="preserve">STOCK DE EQUIPOS LG - CONSOLIDADO </t>
  </si>
  <si>
    <t xml:space="preserve">STOCK EQUIPOS LG - CONSOLIDADO </t>
  </si>
  <si>
    <t>VARLOR OFERTA</t>
  </si>
  <si>
    <t>COSTO 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</si>
</sst>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2"/>
      <color theme="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" fontId="0" fillId="0" borderId="2" xfId="0" applyNumberForma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7" fontId="8" fillId="0" borderId="2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7" fontId="10" fillId="4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8" fillId="4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" fontId="7" fillId="4" borderId="2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7" fontId="7" fillId="0" borderId="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7" fontId="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 applyProtection="1">
      <alignment horizontal="center"/>
      <protection locked="0"/>
    </xf>
    <xf numFmtId="1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 applyProtection="1">
      <alignment horizontal="center"/>
      <protection locked="0"/>
    </xf>
    <xf numFmtId="14" fontId="3" fillId="9" borderId="2" xfId="0" applyNumberFormat="1" applyFont="1" applyFill="1" applyBorder="1" applyAlignment="1">
      <alignment horizontal="center" vertical="center"/>
    </xf>
    <xf numFmtId="14" fontId="5" fillId="9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7" fontId="20" fillId="4" borderId="2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4" borderId="1" xfId="0" applyFont="1" applyFill="1" applyBorder="1" applyProtection="1">
      <protection locked="0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7" fontId="3" fillId="4" borderId="2" xfId="0" applyNumberFormat="1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4" fontId="2" fillId="10" borderId="0" xfId="0" applyNumberFormat="1" applyFont="1" applyFill="1" applyBorder="1" applyAlignment="1">
      <alignment horizontal="center" vertical="center" wrapText="1"/>
    </xf>
    <xf numFmtId="164" fontId="15" fillId="0" borderId="14" xfId="0" applyNumberFormat="1" applyFont="1" applyBorder="1" applyAlignment="1">
      <alignment horizontal="center" vertical="center" wrapText="1"/>
    </xf>
    <xf numFmtId="164" fontId="15" fillId="0" borderId="15" xfId="0" applyNumberFormat="1" applyFont="1" applyBorder="1" applyAlignment="1">
      <alignment horizontal="center" vertical="center" wrapText="1"/>
    </xf>
    <xf numFmtId="164" fontId="15" fillId="0" borderId="16" xfId="0" applyNumberFormat="1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CBC0-4995-4319-B847-2E83EA58CCA0}">
  <sheetPr>
    <pageSetUpPr fitToPage="1"/>
  </sheetPr>
  <dimension ref="A1:M237"/>
  <sheetViews>
    <sheetView tabSelected="1" view="pageBreakPreview" zoomScale="76" zoomScaleNormal="55" zoomScaleSheetLayoutView="84" workbookViewId="0">
      <selection activeCell="E46" sqref="E46"/>
    </sheetView>
  </sheetViews>
  <sheetFormatPr baseColWidth="10" defaultColWidth="11.453125" defaultRowHeight="14.5" x14ac:dyDescent="0.35"/>
  <cols>
    <col min="1" max="1" width="9.36328125" style="69" bestFit="1" customWidth="1"/>
    <col min="2" max="2" width="25.1796875" style="69" bestFit="1" customWidth="1"/>
    <col min="3" max="3" width="79.36328125" style="74" customWidth="1"/>
    <col min="4" max="4" width="16.453125" style="69" bestFit="1" customWidth="1"/>
    <col min="5" max="5" width="8.81640625" style="69" customWidth="1"/>
    <col min="6" max="6" width="8.36328125" style="69" bestFit="1" customWidth="1"/>
    <col min="7" max="7" width="17.36328125" style="69" bestFit="1" customWidth="1"/>
    <col min="8" max="8" width="14.1796875" style="69" customWidth="1"/>
    <col min="9" max="9" width="14.6328125" style="70" bestFit="1" customWidth="1"/>
    <col min="10" max="13" width="14.6328125" style="70" customWidth="1"/>
    <col min="14" max="16384" width="11.453125" style="69"/>
  </cols>
  <sheetData>
    <row r="1" spans="1:13" ht="24" thickBot="1" x14ac:dyDescent="0.4">
      <c r="C1" s="104" t="s">
        <v>511</v>
      </c>
      <c r="D1" s="105"/>
      <c r="E1" s="105"/>
      <c r="F1" s="106"/>
      <c r="I1" s="23">
        <v>45944</v>
      </c>
    </row>
    <row r="2" spans="1:13" ht="23" x14ac:dyDescent="0.35">
      <c r="A2" s="24" t="s">
        <v>0</v>
      </c>
      <c r="B2" s="24" t="s">
        <v>4</v>
      </c>
      <c r="C2" s="72" t="s">
        <v>1</v>
      </c>
      <c r="D2" s="25" t="s">
        <v>2</v>
      </c>
      <c r="E2" s="25" t="s">
        <v>336</v>
      </c>
      <c r="F2" s="25" t="s">
        <v>3</v>
      </c>
      <c r="G2" s="25" t="s">
        <v>6</v>
      </c>
      <c r="H2" s="24" t="s">
        <v>7</v>
      </c>
      <c r="I2" s="25" t="s">
        <v>344</v>
      </c>
      <c r="J2" s="26" t="s">
        <v>426</v>
      </c>
      <c r="K2" s="100" t="s">
        <v>513</v>
      </c>
      <c r="L2" s="70" t="s">
        <v>512</v>
      </c>
      <c r="M2" s="85"/>
    </row>
    <row r="3" spans="1:13" x14ac:dyDescent="0.35">
      <c r="A3" s="30"/>
      <c r="B3" s="30"/>
      <c r="C3" s="73"/>
      <c r="D3" s="30"/>
      <c r="E3" s="30"/>
      <c r="F3" s="71">
        <v>1</v>
      </c>
      <c r="G3" s="30"/>
      <c r="H3" s="30"/>
      <c r="I3" s="35"/>
      <c r="J3" s="36"/>
      <c r="K3" s="36"/>
      <c r="L3" s="36"/>
      <c r="M3" s="36"/>
    </row>
    <row r="4" spans="1:13" ht="15.5" x14ac:dyDescent="0.35">
      <c r="A4" s="107" t="s">
        <v>373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75"/>
    </row>
    <row r="5" spans="1:13" x14ac:dyDescent="0.35">
      <c r="A5" s="32" t="s">
        <v>10</v>
      </c>
      <c r="B5" s="37" t="s">
        <v>348</v>
      </c>
      <c r="C5" s="15" t="s">
        <v>341</v>
      </c>
      <c r="D5" s="32" t="s">
        <v>11</v>
      </c>
      <c r="E5" s="32" t="s">
        <v>339</v>
      </c>
      <c r="F5" s="33">
        <v>1</v>
      </c>
      <c r="G5" s="31" t="s">
        <v>12</v>
      </c>
      <c r="H5" s="27" t="s">
        <v>9</v>
      </c>
      <c r="I5" s="28">
        <v>45047</v>
      </c>
      <c r="J5" s="99">
        <v>1180.452</v>
      </c>
      <c r="K5" s="99">
        <f>+(L5-J5)/2+J5</f>
        <v>1635.2260000000001</v>
      </c>
      <c r="L5" s="29">
        <v>2090</v>
      </c>
      <c r="M5" s="86"/>
    </row>
    <row r="6" spans="1:13" x14ac:dyDescent="0.35">
      <c r="A6" s="32" t="s">
        <v>13</v>
      </c>
      <c r="B6" s="37" t="s">
        <v>348</v>
      </c>
      <c r="C6" s="15" t="s">
        <v>341</v>
      </c>
      <c r="D6" s="32" t="s">
        <v>14</v>
      </c>
      <c r="E6" s="32" t="s">
        <v>339</v>
      </c>
      <c r="F6" s="33">
        <v>1</v>
      </c>
      <c r="G6" s="31" t="s">
        <v>12</v>
      </c>
      <c r="H6" s="27" t="s">
        <v>9</v>
      </c>
      <c r="I6" s="28">
        <v>45047</v>
      </c>
      <c r="J6" s="99">
        <v>1180.452</v>
      </c>
      <c r="K6" s="99">
        <f t="shared" ref="K6:K21" si="0">+(L6-J6)/2+J6</f>
        <v>1635.2260000000001</v>
      </c>
      <c r="L6" s="29">
        <v>2090</v>
      </c>
      <c r="M6" s="86"/>
    </row>
    <row r="7" spans="1:13" x14ac:dyDescent="0.35">
      <c r="A7" s="38" t="s">
        <v>296</v>
      </c>
      <c r="B7" s="37" t="s">
        <v>348</v>
      </c>
      <c r="C7" s="21" t="s">
        <v>341</v>
      </c>
      <c r="D7" s="37" t="s">
        <v>297</v>
      </c>
      <c r="E7" s="39" t="s">
        <v>339</v>
      </c>
      <c r="F7" s="37">
        <v>1</v>
      </c>
      <c r="G7" s="37" t="s">
        <v>12</v>
      </c>
      <c r="H7" s="39" t="s">
        <v>9</v>
      </c>
      <c r="I7" s="40">
        <v>45748</v>
      </c>
      <c r="J7" s="99">
        <v>1180.452</v>
      </c>
      <c r="K7" s="99">
        <f t="shared" si="0"/>
        <v>1635.2260000000001</v>
      </c>
      <c r="L7" s="29">
        <v>2090</v>
      </c>
      <c r="M7" s="76"/>
    </row>
    <row r="8" spans="1:13" x14ac:dyDescent="0.35">
      <c r="A8" s="38" t="s">
        <v>298</v>
      </c>
      <c r="B8" s="37" t="s">
        <v>348</v>
      </c>
      <c r="C8" s="21" t="s">
        <v>341</v>
      </c>
      <c r="D8" s="37" t="s">
        <v>299</v>
      </c>
      <c r="E8" s="39" t="s">
        <v>339</v>
      </c>
      <c r="F8" s="37">
        <v>1</v>
      </c>
      <c r="G8" s="37" t="s">
        <v>12</v>
      </c>
      <c r="H8" s="39" t="s">
        <v>9</v>
      </c>
      <c r="I8" s="40">
        <v>45748</v>
      </c>
      <c r="J8" s="99">
        <v>1180.452</v>
      </c>
      <c r="K8" s="99">
        <f t="shared" si="0"/>
        <v>1635.2260000000001</v>
      </c>
      <c r="L8" s="29">
        <v>2090</v>
      </c>
      <c r="M8" s="76"/>
    </row>
    <row r="9" spans="1:13" x14ac:dyDescent="0.35">
      <c r="A9" s="43" t="s">
        <v>300</v>
      </c>
      <c r="B9" s="31" t="s">
        <v>348</v>
      </c>
      <c r="C9" s="16" t="s">
        <v>341</v>
      </c>
      <c r="D9" s="31" t="s">
        <v>301</v>
      </c>
      <c r="E9" s="32" t="s">
        <v>339</v>
      </c>
      <c r="F9" s="33">
        <v>1</v>
      </c>
      <c r="G9" s="31" t="s">
        <v>12</v>
      </c>
      <c r="H9" s="32" t="s">
        <v>9</v>
      </c>
      <c r="I9" s="28">
        <v>45748</v>
      </c>
      <c r="J9" s="99">
        <v>1180.452</v>
      </c>
      <c r="K9" s="99">
        <f t="shared" si="0"/>
        <v>1635.2260000000001</v>
      </c>
      <c r="L9" s="29">
        <v>2090</v>
      </c>
      <c r="M9" s="76"/>
    </row>
    <row r="10" spans="1:13" x14ac:dyDescent="0.35">
      <c r="A10" s="43" t="s">
        <v>302</v>
      </c>
      <c r="B10" s="31" t="s">
        <v>348</v>
      </c>
      <c r="C10" s="16" t="s">
        <v>341</v>
      </c>
      <c r="D10" s="31" t="s">
        <v>303</v>
      </c>
      <c r="E10" s="32" t="s">
        <v>339</v>
      </c>
      <c r="F10" s="33">
        <v>1</v>
      </c>
      <c r="G10" s="31" t="s">
        <v>12</v>
      </c>
      <c r="H10" s="32" t="s">
        <v>9</v>
      </c>
      <c r="I10" s="28">
        <v>45748</v>
      </c>
      <c r="J10" s="99">
        <v>1180.452</v>
      </c>
      <c r="K10" s="99">
        <f t="shared" si="0"/>
        <v>1635.2260000000001</v>
      </c>
      <c r="L10" s="29">
        <v>2090</v>
      </c>
      <c r="M10" s="76"/>
    </row>
    <row r="11" spans="1:13" x14ac:dyDescent="0.35">
      <c r="A11" s="43" t="s">
        <v>304</v>
      </c>
      <c r="B11" s="31" t="s">
        <v>348</v>
      </c>
      <c r="C11" s="16" t="s">
        <v>341</v>
      </c>
      <c r="D11" s="31" t="s">
        <v>305</v>
      </c>
      <c r="E11" s="32" t="s">
        <v>339</v>
      </c>
      <c r="F11" s="33">
        <v>1</v>
      </c>
      <c r="G11" s="31" t="s">
        <v>12</v>
      </c>
      <c r="H11" s="32" t="s">
        <v>9</v>
      </c>
      <c r="I11" s="28">
        <v>45748</v>
      </c>
      <c r="J11" s="99">
        <v>1180.452</v>
      </c>
      <c r="K11" s="99">
        <f t="shared" si="0"/>
        <v>1635.2260000000001</v>
      </c>
      <c r="L11" s="29">
        <v>2090</v>
      </c>
      <c r="M11" s="76"/>
    </row>
    <row r="12" spans="1:13" x14ac:dyDescent="0.35">
      <c r="A12" s="43" t="s">
        <v>306</v>
      </c>
      <c r="B12" s="31" t="s">
        <v>348</v>
      </c>
      <c r="C12" s="16" t="s">
        <v>341</v>
      </c>
      <c r="D12" s="31" t="s">
        <v>307</v>
      </c>
      <c r="E12" s="32" t="s">
        <v>339</v>
      </c>
      <c r="F12" s="33">
        <v>1</v>
      </c>
      <c r="G12" s="31" t="s">
        <v>12</v>
      </c>
      <c r="H12" s="32" t="s">
        <v>9</v>
      </c>
      <c r="I12" s="28">
        <v>45748</v>
      </c>
      <c r="J12" s="99">
        <v>1180.452</v>
      </c>
      <c r="K12" s="99">
        <f t="shared" si="0"/>
        <v>1635.2260000000001</v>
      </c>
      <c r="L12" s="29">
        <v>2090</v>
      </c>
      <c r="M12" s="76"/>
    </row>
    <row r="13" spans="1:13" x14ac:dyDescent="0.35">
      <c r="A13" s="43" t="s">
        <v>308</v>
      </c>
      <c r="B13" s="31" t="s">
        <v>348</v>
      </c>
      <c r="C13" s="16" t="s">
        <v>341</v>
      </c>
      <c r="D13" s="31" t="s">
        <v>309</v>
      </c>
      <c r="E13" s="32" t="s">
        <v>339</v>
      </c>
      <c r="F13" s="33">
        <v>1</v>
      </c>
      <c r="G13" s="31" t="s">
        <v>12</v>
      </c>
      <c r="H13" s="32" t="s">
        <v>9</v>
      </c>
      <c r="I13" s="28">
        <v>45748</v>
      </c>
      <c r="J13" s="99">
        <v>1180.452</v>
      </c>
      <c r="K13" s="99">
        <f t="shared" si="0"/>
        <v>1635.2260000000001</v>
      </c>
      <c r="L13" s="29">
        <v>2090</v>
      </c>
      <c r="M13" s="76"/>
    </row>
    <row r="14" spans="1:13" x14ac:dyDescent="0.35">
      <c r="A14" s="43" t="s">
        <v>310</v>
      </c>
      <c r="B14" s="31" t="s">
        <v>348</v>
      </c>
      <c r="C14" s="16" t="s">
        <v>341</v>
      </c>
      <c r="D14" s="31" t="s">
        <v>311</v>
      </c>
      <c r="E14" s="32" t="s">
        <v>339</v>
      </c>
      <c r="F14" s="33">
        <v>1</v>
      </c>
      <c r="G14" s="31" t="s">
        <v>12</v>
      </c>
      <c r="H14" s="32" t="s">
        <v>9</v>
      </c>
      <c r="I14" s="28">
        <v>45748</v>
      </c>
      <c r="J14" s="99">
        <v>1180.452</v>
      </c>
      <c r="K14" s="99">
        <f t="shared" si="0"/>
        <v>1635.2260000000001</v>
      </c>
      <c r="L14" s="29">
        <v>2090</v>
      </c>
      <c r="M14" s="76"/>
    </row>
    <row r="15" spans="1:13" x14ac:dyDescent="0.35">
      <c r="A15" s="43" t="s">
        <v>312</v>
      </c>
      <c r="B15" s="31" t="s">
        <v>348</v>
      </c>
      <c r="C15" s="16" t="s">
        <v>341</v>
      </c>
      <c r="D15" s="31" t="s">
        <v>313</v>
      </c>
      <c r="E15" s="32" t="s">
        <v>339</v>
      </c>
      <c r="F15" s="33">
        <v>1</v>
      </c>
      <c r="G15" s="31" t="s">
        <v>12</v>
      </c>
      <c r="H15" s="32" t="s">
        <v>9</v>
      </c>
      <c r="I15" s="28">
        <v>45748</v>
      </c>
      <c r="J15" s="99">
        <v>1180.452</v>
      </c>
      <c r="K15" s="99">
        <f t="shared" si="0"/>
        <v>1635.2260000000001</v>
      </c>
      <c r="L15" s="29">
        <v>2090</v>
      </c>
      <c r="M15" s="76"/>
    </row>
    <row r="16" spans="1:13" x14ac:dyDescent="0.35">
      <c r="A16" s="43" t="s">
        <v>314</v>
      </c>
      <c r="B16" s="31" t="s">
        <v>348</v>
      </c>
      <c r="C16" s="16" t="s">
        <v>341</v>
      </c>
      <c r="D16" s="31" t="s">
        <v>315</v>
      </c>
      <c r="E16" s="32" t="s">
        <v>339</v>
      </c>
      <c r="F16" s="33">
        <v>1</v>
      </c>
      <c r="G16" s="31" t="s">
        <v>12</v>
      </c>
      <c r="H16" s="32" t="s">
        <v>9</v>
      </c>
      <c r="I16" s="28">
        <v>45748</v>
      </c>
      <c r="J16" s="99">
        <v>1180.452</v>
      </c>
      <c r="K16" s="99">
        <f t="shared" si="0"/>
        <v>1635.2260000000001</v>
      </c>
      <c r="L16" s="29">
        <v>2090</v>
      </c>
      <c r="M16" s="76"/>
    </row>
    <row r="17" spans="1:13" x14ac:dyDescent="0.35">
      <c r="A17" s="43" t="s">
        <v>316</v>
      </c>
      <c r="B17" s="31" t="s">
        <v>348</v>
      </c>
      <c r="C17" s="16" t="s">
        <v>341</v>
      </c>
      <c r="D17" s="31" t="s">
        <v>317</v>
      </c>
      <c r="E17" s="32" t="s">
        <v>339</v>
      </c>
      <c r="F17" s="33">
        <v>1</v>
      </c>
      <c r="G17" s="31" t="s">
        <v>12</v>
      </c>
      <c r="H17" s="32" t="s">
        <v>9</v>
      </c>
      <c r="I17" s="28">
        <v>45748</v>
      </c>
      <c r="J17" s="99">
        <v>1180.452</v>
      </c>
      <c r="K17" s="99">
        <f t="shared" si="0"/>
        <v>1635.2260000000001</v>
      </c>
      <c r="L17" s="29">
        <v>2090</v>
      </c>
      <c r="M17" s="76"/>
    </row>
    <row r="18" spans="1:13" x14ac:dyDescent="0.35">
      <c r="A18" s="43" t="s">
        <v>318</v>
      </c>
      <c r="B18" s="31" t="s">
        <v>348</v>
      </c>
      <c r="C18" s="16" t="s">
        <v>341</v>
      </c>
      <c r="D18" s="31" t="s">
        <v>319</v>
      </c>
      <c r="E18" s="32" t="s">
        <v>339</v>
      </c>
      <c r="F18" s="33">
        <v>1</v>
      </c>
      <c r="G18" s="31" t="s">
        <v>12</v>
      </c>
      <c r="H18" s="32" t="s">
        <v>9</v>
      </c>
      <c r="I18" s="28">
        <v>45748</v>
      </c>
      <c r="J18" s="99">
        <v>1180.452</v>
      </c>
      <c r="K18" s="99">
        <f t="shared" si="0"/>
        <v>1635.2260000000001</v>
      </c>
      <c r="L18" s="29">
        <v>2090</v>
      </c>
      <c r="M18" s="76"/>
    </row>
    <row r="19" spans="1:13" x14ac:dyDescent="0.35">
      <c r="A19" s="43" t="s">
        <v>320</v>
      </c>
      <c r="B19" s="31" t="s">
        <v>348</v>
      </c>
      <c r="C19" s="16" t="s">
        <v>341</v>
      </c>
      <c r="D19" s="31" t="s">
        <v>321</v>
      </c>
      <c r="E19" s="32" t="s">
        <v>339</v>
      </c>
      <c r="F19" s="33">
        <v>1</v>
      </c>
      <c r="G19" s="31" t="s">
        <v>12</v>
      </c>
      <c r="H19" s="32" t="s">
        <v>9</v>
      </c>
      <c r="I19" s="28">
        <v>45748</v>
      </c>
      <c r="J19" s="99">
        <v>1180.452</v>
      </c>
      <c r="K19" s="99">
        <f t="shared" si="0"/>
        <v>1635.2260000000001</v>
      </c>
      <c r="L19" s="29">
        <v>2090</v>
      </c>
      <c r="M19" s="76"/>
    </row>
    <row r="20" spans="1:13" x14ac:dyDescent="0.35">
      <c r="A20" s="43" t="s">
        <v>322</v>
      </c>
      <c r="B20" s="31" t="s">
        <v>348</v>
      </c>
      <c r="C20" s="16" t="s">
        <v>341</v>
      </c>
      <c r="D20" s="31" t="s">
        <v>323</v>
      </c>
      <c r="E20" s="32" t="s">
        <v>339</v>
      </c>
      <c r="F20" s="33">
        <v>1</v>
      </c>
      <c r="G20" s="31" t="s">
        <v>12</v>
      </c>
      <c r="H20" s="32" t="s">
        <v>9</v>
      </c>
      <c r="I20" s="28">
        <v>45748</v>
      </c>
      <c r="J20" s="99">
        <v>1180.452</v>
      </c>
      <c r="K20" s="99">
        <f t="shared" si="0"/>
        <v>1635.2260000000001</v>
      </c>
      <c r="L20" s="29">
        <v>2090</v>
      </c>
      <c r="M20" s="76"/>
    </row>
    <row r="21" spans="1:13" x14ac:dyDescent="0.35">
      <c r="A21" s="43" t="s">
        <v>324</v>
      </c>
      <c r="B21" s="31" t="s">
        <v>348</v>
      </c>
      <c r="C21" s="16" t="s">
        <v>341</v>
      </c>
      <c r="D21" s="31" t="s">
        <v>325</v>
      </c>
      <c r="E21" s="32" t="s">
        <v>339</v>
      </c>
      <c r="F21" s="33">
        <v>1</v>
      </c>
      <c r="G21" s="31" t="s">
        <v>12</v>
      </c>
      <c r="H21" s="32" t="s">
        <v>9</v>
      </c>
      <c r="I21" s="28">
        <v>45748</v>
      </c>
      <c r="J21" s="99">
        <v>1180.452</v>
      </c>
      <c r="K21" s="99">
        <f t="shared" si="0"/>
        <v>1635.2260000000001</v>
      </c>
      <c r="L21" s="29">
        <v>2090</v>
      </c>
      <c r="M21" s="76"/>
    </row>
    <row r="22" spans="1:13" x14ac:dyDescent="0.35">
      <c r="A22" s="44"/>
      <c r="B22" s="45"/>
      <c r="C22" s="17"/>
      <c r="D22" s="45"/>
      <c r="E22" s="45"/>
      <c r="F22" s="46">
        <f>SUM(F5:F21)</f>
        <v>17</v>
      </c>
      <c r="G22" s="45"/>
      <c r="H22" s="47"/>
      <c r="I22" s="48"/>
      <c r="J22" s="49"/>
      <c r="K22" s="49"/>
      <c r="L22" s="49"/>
      <c r="M22" s="49"/>
    </row>
    <row r="23" spans="1:13" ht="15" customHeight="1" x14ac:dyDescent="0.35">
      <c r="A23" s="107" t="s">
        <v>374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75"/>
    </row>
    <row r="24" spans="1:13" x14ac:dyDescent="0.35">
      <c r="A24" s="32" t="s">
        <v>15</v>
      </c>
      <c r="B24" s="32" t="s">
        <v>335</v>
      </c>
      <c r="C24" s="15" t="s">
        <v>342</v>
      </c>
      <c r="D24" s="32" t="s">
        <v>16</v>
      </c>
      <c r="E24" s="32" t="s">
        <v>339</v>
      </c>
      <c r="F24" s="31">
        <v>1</v>
      </c>
      <c r="G24" s="31" t="s">
        <v>17</v>
      </c>
      <c r="H24" s="27" t="s">
        <v>9</v>
      </c>
      <c r="I24" s="28">
        <v>45047</v>
      </c>
      <c r="J24" s="99">
        <v>1180.452</v>
      </c>
      <c r="K24" s="99">
        <f t="shared" ref="K24:K61" si="1">+(L24-J24)/2+J24</f>
        <v>1635.2260000000001</v>
      </c>
      <c r="L24" s="29">
        <v>2090</v>
      </c>
      <c r="M24" s="86"/>
    </row>
    <row r="25" spans="1:13" x14ac:dyDescent="0.35">
      <c r="A25" s="32" t="s">
        <v>18</v>
      </c>
      <c r="B25" s="32" t="s">
        <v>335</v>
      </c>
      <c r="C25" s="15" t="s">
        <v>342</v>
      </c>
      <c r="D25" s="32" t="s">
        <v>19</v>
      </c>
      <c r="E25" s="32" t="s">
        <v>339</v>
      </c>
      <c r="F25" s="31">
        <v>1</v>
      </c>
      <c r="G25" s="31" t="s">
        <v>17</v>
      </c>
      <c r="H25" s="50" t="s">
        <v>326</v>
      </c>
      <c r="I25" s="28">
        <v>45047</v>
      </c>
      <c r="J25" s="99">
        <v>1180.452</v>
      </c>
      <c r="K25" s="99">
        <f t="shared" si="1"/>
        <v>1635.2260000000001</v>
      </c>
      <c r="L25" s="29">
        <v>2090</v>
      </c>
      <c r="M25" s="86"/>
    </row>
    <row r="26" spans="1:13" x14ac:dyDescent="0.35">
      <c r="A26" s="32" t="s">
        <v>20</v>
      </c>
      <c r="B26" s="32" t="s">
        <v>335</v>
      </c>
      <c r="C26" s="15" t="s">
        <v>342</v>
      </c>
      <c r="D26" s="32" t="s">
        <v>21</v>
      </c>
      <c r="E26" s="32" t="s">
        <v>339</v>
      </c>
      <c r="F26" s="31">
        <v>1</v>
      </c>
      <c r="G26" s="31" t="s">
        <v>17</v>
      </c>
      <c r="H26" s="27" t="s">
        <v>9</v>
      </c>
      <c r="I26" s="28">
        <v>45047</v>
      </c>
      <c r="J26" s="99">
        <v>1180.452</v>
      </c>
      <c r="K26" s="99">
        <f t="shared" si="1"/>
        <v>1635.2260000000001</v>
      </c>
      <c r="L26" s="29">
        <v>2090</v>
      </c>
      <c r="M26" s="86"/>
    </row>
    <row r="27" spans="1:13" x14ac:dyDescent="0.35">
      <c r="A27" s="32" t="s">
        <v>22</v>
      </c>
      <c r="B27" s="32" t="s">
        <v>335</v>
      </c>
      <c r="C27" s="15" t="s">
        <v>342</v>
      </c>
      <c r="D27" s="32" t="s">
        <v>23</v>
      </c>
      <c r="E27" s="32" t="s">
        <v>339</v>
      </c>
      <c r="F27" s="31">
        <v>1</v>
      </c>
      <c r="G27" s="31" t="s">
        <v>17</v>
      </c>
      <c r="H27" s="50" t="s">
        <v>326</v>
      </c>
      <c r="I27" s="51">
        <v>45047</v>
      </c>
      <c r="J27" s="99">
        <v>1180.452</v>
      </c>
      <c r="K27" s="99">
        <f t="shared" si="1"/>
        <v>1635.2260000000001</v>
      </c>
      <c r="L27" s="29">
        <v>2090</v>
      </c>
      <c r="M27" s="86"/>
    </row>
    <row r="28" spans="1:13" x14ac:dyDescent="0.35">
      <c r="A28" s="32" t="s">
        <v>24</v>
      </c>
      <c r="B28" s="32" t="s">
        <v>335</v>
      </c>
      <c r="C28" s="15" t="s">
        <v>342</v>
      </c>
      <c r="D28" s="32" t="s">
        <v>25</v>
      </c>
      <c r="E28" s="32" t="s">
        <v>339</v>
      </c>
      <c r="F28" s="31">
        <v>1</v>
      </c>
      <c r="G28" s="31" t="s">
        <v>17</v>
      </c>
      <c r="H28" s="27" t="s">
        <v>9</v>
      </c>
      <c r="I28" s="51">
        <v>45047</v>
      </c>
      <c r="J28" s="99">
        <v>1180.452</v>
      </c>
      <c r="K28" s="99">
        <f t="shared" si="1"/>
        <v>1635.2260000000001</v>
      </c>
      <c r="L28" s="29">
        <v>2090</v>
      </c>
      <c r="M28" s="86"/>
    </row>
    <row r="29" spans="1:13" x14ac:dyDescent="0.35">
      <c r="A29" s="32" t="s">
        <v>26</v>
      </c>
      <c r="B29" s="32" t="s">
        <v>335</v>
      </c>
      <c r="C29" s="15" t="s">
        <v>342</v>
      </c>
      <c r="D29" s="32" t="s">
        <v>27</v>
      </c>
      <c r="E29" s="32" t="s">
        <v>339</v>
      </c>
      <c r="F29" s="31">
        <v>1</v>
      </c>
      <c r="G29" s="31" t="s">
        <v>17</v>
      </c>
      <c r="H29" s="27" t="s">
        <v>9</v>
      </c>
      <c r="I29" s="51">
        <v>45047</v>
      </c>
      <c r="J29" s="99">
        <v>1180.452</v>
      </c>
      <c r="K29" s="99">
        <f t="shared" si="1"/>
        <v>1635.2260000000001</v>
      </c>
      <c r="L29" s="29">
        <v>2090</v>
      </c>
      <c r="M29" s="86"/>
    </row>
    <row r="30" spans="1:13" x14ac:dyDescent="0.35">
      <c r="A30" s="32" t="s">
        <v>28</v>
      </c>
      <c r="B30" s="32" t="s">
        <v>335</v>
      </c>
      <c r="C30" s="15" t="s">
        <v>342</v>
      </c>
      <c r="D30" s="32" t="s">
        <v>29</v>
      </c>
      <c r="E30" s="32" t="s">
        <v>339</v>
      </c>
      <c r="F30" s="31">
        <v>1</v>
      </c>
      <c r="G30" s="31" t="s">
        <v>17</v>
      </c>
      <c r="H30" s="27" t="s">
        <v>9</v>
      </c>
      <c r="I30" s="51">
        <v>45047</v>
      </c>
      <c r="J30" s="99">
        <v>1180.452</v>
      </c>
      <c r="K30" s="99">
        <f t="shared" si="1"/>
        <v>1635.2260000000001</v>
      </c>
      <c r="L30" s="29">
        <v>2090</v>
      </c>
      <c r="M30" s="86"/>
    </row>
    <row r="31" spans="1:13" x14ac:dyDescent="0.35">
      <c r="A31" s="32" t="s">
        <v>30</v>
      </c>
      <c r="B31" s="32" t="s">
        <v>335</v>
      </c>
      <c r="C31" s="15" t="s">
        <v>342</v>
      </c>
      <c r="D31" s="32" t="s">
        <v>31</v>
      </c>
      <c r="E31" s="32" t="s">
        <v>339</v>
      </c>
      <c r="F31" s="31">
        <v>1</v>
      </c>
      <c r="G31" s="31" t="s">
        <v>17</v>
      </c>
      <c r="H31" s="27" t="s">
        <v>9</v>
      </c>
      <c r="I31" s="51">
        <v>45078</v>
      </c>
      <c r="J31" s="99">
        <v>1180.452</v>
      </c>
      <c r="K31" s="99">
        <f t="shared" si="1"/>
        <v>1635.2260000000001</v>
      </c>
      <c r="L31" s="29">
        <v>2090</v>
      </c>
      <c r="M31" s="86"/>
    </row>
    <row r="32" spans="1:13" x14ac:dyDescent="0.35">
      <c r="A32" s="32" t="s">
        <v>32</v>
      </c>
      <c r="B32" s="32" t="s">
        <v>335</v>
      </c>
      <c r="C32" s="15" t="s">
        <v>342</v>
      </c>
      <c r="D32" s="32" t="s">
        <v>33</v>
      </c>
      <c r="E32" s="32" t="s">
        <v>339</v>
      </c>
      <c r="F32" s="31">
        <v>1</v>
      </c>
      <c r="G32" s="31" t="s">
        <v>17</v>
      </c>
      <c r="H32" s="27" t="s">
        <v>9</v>
      </c>
      <c r="I32" s="51">
        <v>45078</v>
      </c>
      <c r="J32" s="99">
        <v>1180.452</v>
      </c>
      <c r="K32" s="99">
        <f t="shared" si="1"/>
        <v>1635.2260000000001</v>
      </c>
      <c r="L32" s="29">
        <v>2090</v>
      </c>
      <c r="M32" s="86"/>
    </row>
    <row r="33" spans="1:13" x14ac:dyDescent="0.35">
      <c r="A33" s="32" t="s">
        <v>34</v>
      </c>
      <c r="B33" s="32" t="s">
        <v>335</v>
      </c>
      <c r="C33" s="15" t="s">
        <v>342</v>
      </c>
      <c r="D33" s="32" t="s">
        <v>35</v>
      </c>
      <c r="E33" s="32" t="s">
        <v>339</v>
      </c>
      <c r="F33" s="31">
        <v>1</v>
      </c>
      <c r="G33" s="31" t="s">
        <v>17</v>
      </c>
      <c r="H33" s="27" t="s">
        <v>9</v>
      </c>
      <c r="I33" s="51">
        <v>45078</v>
      </c>
      <c r="J33" s="99">
        <v>1180.452</v>
      </c>
      <c r="K33" s="99">
        <f t="shared" si="1"/>
        <v>1635.2260000000001</v>
      </c>
      <c r="L33" s="29">
        <v>2090</v>
      </c>
      <c r="M33" s="86"/>
    </row>
    <row r="34" spans="1:13" x14ac:dyDescent="0.35">
      <c r="A34" s="32" t="s">
        <v>36</v>
      </c>
      <c r="B34" s="32" t="s">
        <v>335</v>
      </c>
      <c r="C34" s="15" t="s">
        <v>342</v>
      </c>
      <c r="D34" s="32" t="s">
        <v>37</v>
      </c>
      <c r="E34" s="32" t="s">
        <v>339</v>
      </c>
      <c r="F34" s="31">
        <v>1</v>
      </c>
      <c r="G34" s="31" t="s">
        <v>17</v>
      </c>
      <c r="H34" s="27" t="s">
        <v>9</v>
      </c>
      <c r="I34" s="51">
        <v>45078</v>
      </c>
      <c r="J34" s="99">
        <v>1180.452</v>
      </c>
      <c r="K34" s="99">
        <f t="shared" si="1"/>
        <v>1635.2260000000001</v>
      </c>
      <c r="L34" s="29">
        <v>2090</v>
      </c>
      <c r="M34" s="86"/>
    </row>
    <row r="35" spans="1:13" x14ac:dyDescent="0.35">
      <c r="A35" s="32" t="s">
        <v>38</v>
      </c>
      <c r="B35" s="32" t="s">
        <v>335</v>
      </c>
      <c r="C35" s="15" t="s">
        <v>342</v>
      </c>
      <c r="D35" s="32" t="s">
        <v>39</v>
      </c>
      <c r="E35" s="32" t="s">
        <v>339</v>
      </c>
      <c r="F35" s="31">
        <v>1</v>
      </c>
      <c r="G35" s="31" t="s">
        <v>17</v>
      </c>
      <c r="H35" s="27" t="s">
        <v>9</v>
      </c>
      <c r="I35" s="51">
        <v>45078</v>
      </c>
      <c r="J35" s="99">
        <v>1180.452</v>
      </c>
      <c r="K35" s="99">
        <f t="shared" si="1"/>
        <v>1635.2260000000001</v>
      </c>
      <c r="L35" s="29">
        <v>2090</v>
      </c>
      <c r="M35" s="86"/>
    </row>
    <row r="36" spans="1:13" x14ac:dyDescent="0.35">
      <c r="A36" s="32" t="s">
        <v>40</v>
      </c>
      <c r="B36" s="32" t="s">
        <v>335</v>
      </c>
      <c r="C36" s="15" t="s">
        <v>342</v>
      </c>
      <c r="D36" s="32" t="s">
        <v>41</v>
      </c>
      <c r="E36" s="32" t="s">
        <v>339</v>
      </c>
      <c r="F36" s="31">
        <v>1</v>
      </c>
      <c r="G36" s="31" t="s">
        <v>17</v>
      </c>
      <c r="H36" s="27" t="s">
        <v>9</v>
      </c>
      <c r="I36" s="51">
        <v>45078</v>
      </c>
      <c r="J36" s="99">
        <v>1180.452</v>
      </c>
      <c r="K36" s="99">
        <f t="shared" si="1"/>
        <v>1635.2260000000001</v>
      </c>
      <c r="L36" s="29">
        <v>2090</v>
      </c>
      <c r="M36" s="86"/>
    </row>
    <row r="37" spans="1:13" x14ac:dyDescent="0.35">
      <c r="A37" s="32" t="s">
        <v>42</v>
      </c>
      <c r="B37" s="32" t="s">
        <v>335</v>
      </c>
      <c r="C37" s="15" t="s">
        <v>342</v>
      </c>
      <c r="D37" s="32" t="s">
        <v>43</v>
      </c>
      <c r="E37" s="32" t="s">
        <v>339</v>
      </c>
      <c r="F37" s="31">
        <v>1</v>
      </c>
      <c r="G37" s="31" t="s">
        <v>17</v>
      </c>
      <c r="H37" s="27" t="s">
        <v>9</v>
      </c>
      <c r="I37" s="51">
        <v>45078</v>
      </c>
      <c r="J37" s="99">
        <v>1180.452</v>
      </c>
      <c r="K37" s="99">
        <f t="shared" si="1"/>
        <v>1635.2260000000001</v>
      </c>
      <c r="L37" s="29">
        <v>2090</v>
      </c>
      <c r="M37" s="86"/>
    </row>
    <row r="38" spans="1:13" x14ac:dyDescent="0.35">
      <c r="A38" s="32" t="s">
        <v>44</v>
      </c>
      <c r="B38" s="32" t="s">
        <v>335</v>
      </c>
      <c r="C38" s="15" t="s">
        <v>342</v>
      </c>
      <c r="D38" s="32" t="s">
        <v>45</v>
      </c>
      <c r="E38" s="32" t="s">
        <v>339</v>
      </c>
      <c r="F38" s="31">
        <v>1</v>
      </c>
      <c r="G38" s="31" t="s">
        <v>17</v>
      </c>
      <c r="H38" s="27" t="s">
        <v>9</v>
      </c>
      <c r="I38" s="51">
        <v>45078</v>
      </c>
      <c r="J38" s="99">
        <v>1180.452</v>
      </c>
      <c r="K38" s="99">
        <f t="shared" si="1"/>
        <v>1635.2260000000001</v>
      </c>
      <c r="L38" s="29">
        <v>2090</v>
      </c>
      <c r="M38" s="86"/>
    </row>
    <row r="39" spans="1:13" x14ac:dyDescent="0.35">
      <c r="A39" s="32" t="s">
        <v>46</v>
      </c>
      <c r="B39" s="32" t="s">
        <v>335</v>
      </c>
      <c r="C39" s="15" t="s">
        <v>342</v>
      </c>
      <c r="D39" s="32" t="s">
        <v>47</v>
      </c>
      <c r="E39" s="32" t="s">
        <v>339</v>
      </c>
      <c r="F39" s="31">
        <v>1</v>
      </c>
      <c r="G39" s="31" t="s">
        <v>17</v>
      </c>
      <c r="H39" s="27" t="s">
        <v>9</v>
      </c>
      <c r="I39" s="51">
        <v>45078</v>
      </c>
      <c r="J39" s="99">
        <v>1180.452</v>
      </c>
      <c r="K39" s="99">
        <f t="shared" si="1"/>
        <v>1635.2260000000001</v>
      </c>
      <c r="L39" s="29">
        <v>2090</v>
      </c>
      <c r="M39" s="86"/>
    </row>
    <row r="40" spans="1:13" x14ac:dyDescent="0.35">
      <c r="A40" s="32" t="s">
        <v>48</v>
      </c>
      <c r="B40" s="32" t="s">
        <v>335</v>
      </c>
      <c r="C40" s="15" t="s">
        <v>342</v>
      </c>
      <c r="D40" s="32" t="s">
        <v>49</v>
      </c>
      <c r="E40" s="32" t="s">
        <v>339</v>
      </c>
      <c r="F40" s="31">
        <v>1</v>
      </c>
      <c r="G40" s="31" t="s">
        <v>17</v>
      </c>
      <c r="H40" s="27" t="s">
        <v>9</v>
      </c>
      <c r="I40" s="51">
        <v>45078</v>
      </c>
      <c r="J40" s="99">
        <v>1180.452</v>
      </c>
      <c r="K40" s="99">
        <f t="shared" si="1"/>
        <v>1635.2260000000001</v>
      </c>
      <c r="L40" s="29">
        <v>2090</v>
      </c>
      <c r="M40" s="86"/>
    </row>
    <row r="41" spans="1:13" x14ac:dyDescent="0.35">
      <c r="A41" s="32" t="s">
        <v>50</v>
      </c>
      <c r="B41" s="32" t="s">
        <v>335</v>
      </c>
      <c r="C41" s="15" t="s">
        <v>342</v>
      </c>
      <c r="D41" s="32" t="s">
        <v>51</v>
      </c>
      <c r="E41" s="32" t="s">
        <v>339</v>
      </c>
      <c r="F41" s="31">
        <v>1</v>
      </c>
      <c r="G41" s="31" t="s">
        <v>17</v>
      </c>
      <c r="H41" s="27" t="s">
        <v>9</v>
      </c>
      <c r="I41" s="51">
        <v>45078</v>
      </c>
      <c r="J41" s="99">
        <v>1180.452</v>
      </c>
      <c r="K41" s="99">
        <f t="shared" si="1"/>
        <v>1635.2260000000001</v>
      </c>
      <c r="L41" s="29">
        <v>2090</v>
      </c>
      <c r="M41" s="86"/>
    </row>
    <row r="42" spans="1:13" x14ac:dyDescent="0.35">
      <c r="A42" s="32" t="s">
        <v>52</v>
      </c>
      <c r="B42" s="32" t="s">
        <v>335</v>
      </c>
      <c r="C42" s="15" t="s">
        <v>342</v>
      </c>
      <c r="D42" s="32" t="s">
        <v>53</v>
      </c>
      <c r="E42" s="32" t="s">
        <v>339</v>
      </c>
      <c r="F42" s="31">
        <v>1</v>
      </c>
      <c r="G42" s="31" t="s">
        <v>17</v>
      </c>
      <c r="H42" s="27" t="s">
        <v>9</v>
      </c>
      <c r="I42" s="51">
        <v>45078</v>
      </c>
      <c r="J42" s="99">
        <v>1180.452</v>
      </c>
      <c r="K42" s="99">
        <f t="shared" si="1"/>
        <v>1635.2260000000001</v>
      </c>
      <c r="L42" s="29">
        <v>2090</v>
      </c>
      <c r="M42" s="86"/>
    </row>
    <row r="43" spans="1:13" x14ac:dyDescent="0.35">
      <c r="A43" s="32" t="s">
        <v>54</v>
      </c>
      <c r="B43" s="32" t="s">
        <v>335</v>
      </c>
      <c r="C43" s="15" t="s">
        <v>342</v>
      </c>
      <c r="D43" s="32" t="s">
        <v>55</v>
      </c>
      <c r="E43" s="32" t="s">
        <v>339</v>
      </c>
      <c r="F43" s="31">
        <v>1</v>
      </c>
      <c r="G43" s="31" t="s">
        <v>17</v>
      </c>
      <c r="H43" s="27" t="s">
        <v>9</v>
      </c>
      <c r="I43" s="51">
        <v>45078</v>
      </c>
      <c r="J43" s="99">
        <v>1180.452</v>
      </c>
      <c r="K43" s="99">
        <f t="shared" si="1"/>
        <v>1635.2260000000001</v>
      </c>
      <c r="L43" s="29">
        <v>2090</v>
      </c>
      <c r="M43" s="86"/>
    </row>
    <row r="44" spans="1:13" x14ac:dyDescent="0.35">
      <c r="A44" s="32" t="s">
        <v>56</v>
      </c>
      <c r="B44" s="32" t="s">
        <v>335</v>
      </c>
      <c r="C44" s="15" t="s">
        <v>342</v>
      </c>
      <c r="D44" s="32" t="s">
        <v>57</v>
      </c>
      <c r="E44" s="32" t="s">
        <v>339</v>
      </c>
      <c r="F44" s="31">
        <v>1</v>
      </c>
      <c r="G44" s="31" t="s">
        <v>17</v>
      </c>
      <c r="H44" s="27" t="s">
        <v>9</v>
      </c>
      <c r="I44" s="51">
        <v>45078</v>
      </c>
      <c r="J44" s="99">
        <v>1180.452</v>
      </c>
      <c r="K44" s="99">
        <f t="shared" si="1"/>
        <v>1635.2260000000001</v>
      </c>
      <c r="L44" s="29">
        <v>2090</v>
      </c>
      <c r="M44" s="86"/>
    </row>
    <row r="45" spans="1:13" x14ac:dyDescent="0.35">
      <c r="A45" s="32" t="s">
        <v>58</v>
      </c>
      <c r="B45" s="32" t="s">
        <v>335</v>
      </c>
      <c r="C45" s="15" t="s">
        <v>342</v>
      </c>
      <c r="D45" s="32" t="s">
        <v>59</v>
      </c>
      <c r="E45" s="32" t="s">
        <v>339</v>
      </c>
      <c r="F45" s="31">
        <v>1</v>
      </c>
      <c r="G45" s="31" t="s">
        <v>17</v>
      </c>
      <c r="H45" s="27" t="s">
        <v>9</v>
      </c>
      <c r="I45" s="51">
        <v>45078</v>
      </c>
      <c r="J45" s="99">
        <v>1180.452</v>
      </c>
      <c r="K45" s="99">
        <f t="shared" si="1"/>
        <v>1635.2260000000001</v>
      </c>
      <c r="L45" s="29">
        <v>2090</v>
      </c>
      <c r="M45" s="86"/>
    </row>
    <row r="46" spans="1:13" x14ac:dyDescent="0.35">
      <c r="A46" s="32" t="s">
        <v>60</v>
      </c>
      <c r="B46" s="32" t="s">
        <v>335</v>
      </c>
      <c r="C46" s="15" t="s">
        <v>342</v>
      </c>
      <c r="D46" s="32" t="s">
        <v>61</v>
      </c>
      <c r="E46" s="32" t="s">
        <v>339</v>
      </c>
      <c r="F46" s="31">
        <v>1</v>
      </c>
      <c r="G46" s="31" t="s">
        <v>17</v>
      </c>
      <c r="H46" s="27" t="s">
        <v>9</v>
      </c>
      <c r="I46" s="51">
        <v>45078</v>
      </c>
      <c r="J46" s="99">
        <v>1180.452</v>
      </c>
      <c r="K46" s="99">
        <f t="shared" si="1"/>
        <v>1635.2260000000001</v>
      </c>
      <c r="L46" s="29">
        <v>2090</v>
      </c>
      <c r="M46" s="86"/>
    </row>
    <row r="47" spans="1:13" ht="25.5" customHeight="1" x14ac:dyDescent="0.35">
      <c r="A47" s="50" t="s">
        <v>62</v>
      </c>
      <c r="B47" s="50" t="s">
        <v>335</v>
      </c>
      <c r="C47" s="18" t="s">
        <v>342</v>
      </c>
      <c r="D47" s="50" t="s">
        <v>63</v>
      </c>
      <c r="E47" s="50" t="s">
        <v>339</v>
      </c>
      <c r="F47" s="52">
        <v>1</v>
      </c>
      <c r="G47" s="52" t="s">
        <v>17</v>
      </c>
      <c r="H47" s="27" t="s">
        <v>9</v>
      </c>
      <c r="I47" s="53">
        <v>45078</v>
      </c>
      <c r="J47" s="99">
        <v>1180.452</v>
      </c>
      <c r="K47" s="99">
        <f t="shared" si="1"/>
        <v>1635.2260000000001</v>
      </c>
      <c r="L47" s="29">
        <v>2090</v>
      </c>
      <c r="M47" s="86"/>
    </row>
    <row r="48" spans="1:13" x14ac:dyDescent="0.35">
      <c r="A48" s="32" t="s">
        <v>64</v>
      </c>
      <c r="B48" s="32" t="s">
        <v>335</v>
      </c>
      <c r="C48" s="15" t="s">
        <v>342</v>
      </c>
      <c r="D48" s="32" t="s">
        <v>65</v>
      </c>
      <c r="E48" s="32" t="s">
        <v>339</v>
      </c>
      <c r="F48" s="31">
        <v>1</v>
      </c>
      <c r="G48" s="31" t="s">
        <v>17</v>
      </c>
      <c r="H48" s="27" t="s">
        <v>9</v>
      </c>
      <c r="I48" s="51">
        <v>45078</v>
      </c>
      <c r="J48" s="99">
        <v>1180.452</v>
      </c>
      <c r="K48" s="99">
        <f t="shared" si="1"/>
        <v>1635.2260000000001</v>
      </c>
      <c r="L48" s="29">
        <v>2090</v>
      </c>
      <c r="M48" s="86"/>
    </row>
    <row r="49" spans="1:13" x14ac:dyDescent="0.35">
      <c r="A49" s="32" t="s">
        <v>66</v>
      </c>
      <c r="B49" s="32" t="s">
        <v>335</v>
      </c>
      <c r="C49" s="15" t="s">
        <v>342</v>
      </c>
      <c r="D49" s="32" t="s">
        <v>67</v>
      </c>
      <c r="E49" s="32" t="s">
        <v>339</v>
      </c>
      <c r="F49" s="31">
        <v>1</v>
      </c>
      <c r="G49" s="31" t="s">
        <v>17</v>
      </c>
      <c r="H49" s="27" t="s">
        <v>9</v>
      </c>
      <c r="I49" s="51">
        <v>45078</v>
      </c>
      <c r="J49" s="99">
        <v>1180.452</v>
      </c>
      <c r="K49" s="99">
        <f t="shared" si="1"/>
        <v>1635.2260000000001</v>
      </c>
      <c r="L49" s="29">
        <v>2090</v>
      </c>
      <c r="M49" s="86"/>
    </row>
    <row r="50" spans="1:13" x14ac:dyDescent="0.35">
      <c r="A50" s="32" t="s">
        <v>68</v>
      </c>
      <c r="B50" s="32" t="s">
        <v>335</v>
      </c>
      <c r="C50" s="15" t="s">
        <v>342</v>
      </c>
      <c r="D50" s="32" t="s">
        <v>69</v>
      </c>
      <c r="E50" s="32" t="s">
        <v>339</v>
      </c>
      <c r="F50" s="31">
        <v>1</v>
      </c>
      <c r="G50" s="31" t="s">
        <v>17</v>
      </c>
      <c r="H50" s="27" t="s">
        <v>9</v>
      </c>
      <c r="I50" s="51">
        <v>45078</v>
      </c>
      <c r="J50" s="99">
        <v>1180.452</v>
      </c>
      <c r="K50" s="99">
        <f t="shared" si="1"/>
        <v>1635.2260000000001</v>
      </c>
      <c r="L50" s="29">
        <v>2090</v>
      </c>
      <c r="M50" s="86"/>
    </row>
    <row r="51" spans="1:13" x14ac:dyDescent="0.35">
      <c r="A51" s="32" t="s">
        <v>70</v>
      </c>
      <c r="B51" s="32" t="s">
        <v>335</v>
      </c>
      <c r="C51" s="15" t="s">
        <v>342</v>
      </c>
      <c r="D51" s="32" t="s">
        <v>71</v>
      </c>
      <c r="E51" s="32" t="s">
        <v>339</v>
      </c>
      <c r="F51" s="31">
        <v>1</v>
      </c>
      <c r="G51" s="31" t="s">
        <v>17</v>
      </c>
      <c r="H51" s="27" t="s">
        <v>9</v>
      </c>
      <c r="I51" s="51">
        <v>45078</v>
      </c>
      <c r="J51" s="99">
        <v>1180.452</v>
      </c>
      <c r="K51" s="99">
        <f t="shared" si="1"/>
        <v>1635.2260000000001</v>
      </c>
      <c r="L51" s="29">
        <v>2090</v>
      </c>
      <c r="M51" s="86"/>
    </row>
    <row r="52" spans="1:13" x14ac:dyDescent="0.35">
      <c r="A52" s="32" t="s">
        <v>72</v>
      </c>
      <c r="B52" s="32" t="s">
        <v>335</v>
      </c>
      <c r="C52" s="15" t="s">
        <v>342</v>
      </c>
      <c r="D52" s="32" t="s">
        <v>73</v>
      </c>
      <c r="E52" s="32" t="s">
        <v>339</v>
      </c>
      <c r="F52" s="31">
        <v>1</v>
      </c>
      <c r="G52" s="31" t="s">
        <v>17</v>
      </c>
      <c r="H52" s="27" t="s">
        <v>9</v>
      </c>
      <c r="I52" s="51">
        <v>45078</v>
      </c>
      <c r="J52" s="99">
        <v>1180.452</v>
      </c>
      <c r="K52" s="99">
        <f t="shared" si="1"/>
        <v>1635.2260000000001</v>
      </c>
      <c r="L52" s="29">
        <v>2090</v>
      </c>
      <c r="M52" s="86"/>
    </row>
    <row r="53" spans="1:13" x14ac:dyDescent="0.35">
      <c r="A53" s="32" t="s">
        <v>74</v>
      </c>
      <c r="B53" s="32" t="s">
        <v>335</v>
      </c>
      <c r="C53" s="15" t="s">
        <v>342</v>
      </c>
      <c r="D53" s="32" t="s">
        <v>75</v>
      </c>
      <c r="E53" s="32" t="s">
        <v>339</v>
      </c>
      <c r="F53" s="31">
        <v>1</v>
      </c>
      <c r="G53" s="31" t="s">
        <v>17</v>
      </c>
      <c r="H53" s="27" t="s">
        <v>9</v>
      </c>
      <c r="I53" s="51">
        <v>45078</v>
      </c>
      <c r="J53" s="99">
        <v>1180.452</v>
      </c>
      <c r="K53" s="99">
        <f t="shared" si="1"/>
        <v>1635.2260000000001</v>
      </c>
      <c r="L53" s="29">
        <v>2090</v>
      </c>
      <c r="M53" s="86"/>
    </row>
    <row r="54" spans="1:13" x14ac:dyDescent="0.35">
      <c r="A54" s="32" t="s">
        <v>76</v>
      </c>
      <c r="B54" s="32" t="s">
        <v>335</v>
      </c>
      <c r="C54" s="15" t="s">
        <v>342</v>
      </c>
      <c r="D54" s="32" t="s">
        <v>77</v>
      </c>
      <c r="E54" s="32" t="s">
        <v>339</v>
      </c>
      <c r="F54" s="31">
        <v>1</v>
      </c>
      <c r="G54" s="31" t="s">
        <v>17</v>
      </c>
      <c r="H54" s="27" t="s">
        <v>9</v>
      </c>
      <c r="I54" s="51">
        <v>45078</v>
      </c>
      <c r="J54" s="99">
        <v>1180.452</v>
      </c>
      <c r="K54" s="99">
        <f t="shared" si="1"/>
        <v>1635.2260000000001</v>
      </c>
      <c r="L54" s="29">
        <v>2090</v>
      </c>
      <c r="M54" s="86"/>
    </row>
    <row r="55" spans="1:13" x14ac:dyDescent="0.35">
      <c r="A55" s="32" t="s">
        <v>78</v>
      </c>
      <c r="B55" s="32" t="s">
        <v>335</v>
      </c>
      <c r="C55" s="15" t="s">
        <v>342</v>
      </c>
      <c r="D55" s="32" t="s">
        <v>79</v>
      </c>
      <c r="E55" s="32" t="s">
        <v>339</v>
      </c>
      <c r="F55" s="32">
        <v>1</v>
      </c>
      <c r="G55" s="31" t="s">
        <v>17</v>
      </c>
      <c r="H55" s="27" t="s">
        <v>9</v>
      </c>
      <c r="I55" s="51">
        <v>45078</v>
      </c>
      <c r="J55" s="99">
        <v>1180.452</v>
      </c>
      <c r="K55" s="99">
        <f t="shared" si="1"/>
        <v>1635.2260000000001</v>
      </c>
      <c r="L55" s="29">
        <v>2090</v>
      </c>
      <c r="M55" s="86"/>
    </row>
    <row r="56" spans="1:13" x14ac:dyDescent="0.35">
      <c r="A56" s="32" t="s">
        <v>80</v>
      </c>
      <c r="B56" s="32" t="s">
        <v>343</v>
      </c>
      <c r="C56" s="15" t="s">
        <v>342</v>
      </c>
      <c r="D56" s="32" t="s">
        <v>81</v>
      </c>
      <c r="E56" s="32" t="s">
        <v>339</v>
      </c>
      <c r="F56" s="32">
        <v>1</v>
      </c>
      <c r="G56" s="31" t="s">
        <v>17</v>
      </c>
      <c r="H56" s="27" t="s">
        <v>9</v>
      </c>
      <c r="I56" s="51">
        <v>45261</v>
      </c>
      <c r="J56" s="99">
        <v>1180.452</v>
      </c>
      <c r="K56" s="99">
        <f t="shared" si="1"/>
        <v>1635.2260000000001</v>
      </c>
      <c r="L56" s="29">
        <v>2090</v>
      </c>
      <c r="M56" s="86"/>
    </row>
    <row r="57" spans="1:13" x14ac:dyDescent="0.35">
      <c r="A57" s="32" t="s">
        <v>82</v>
      </c>
      <c r="B57" s="32" t="s">
        <v>343</v>
      </c>
      <c r="C57" s="15" t="s">
        <v>342</v>
      </c>
      <c r="D57" s="32" t="s">
        <v>83</v>
      </c>
      <c r="E57" s="32" t="s">
        <v>339</v>
      </c>
      <c r="F57" s="32">
        <v>1</v>
      </c>
      <c r="G57" s="31" t="s">
        <v>17</v>
      </c>
      <c r="H57" s="27" t="s">
        <v>9</v>
      </c>
      <c r="I57" s="51">
        <v>45261</v>
      </c>
      <c r="J57" s="99">
        <v>1180.452</v>
      </c>
      <c r="K57" s="99">
        <f t="shared" si="1"/>
        <v>1635.2260000000001</v>
      </c>
      <c r="L57" s="29">
        <v>2090</v>
      </c>
      <c r="M57" s="86"/>
    </row>
    <row r="58" spans="1:13" x14ac:dyDescent="0.35">
      <c r="A58" s="32" t="s">
        <v>84</v>
      </c>
      <c r="B58" s="32" t="s">
        <v>343</v>
      </c>
      <c r="C58" s="15" t="s">
        <v>342</v>
      </c>
      <c r="D58" s="32" t="s">
        <v>85</v>
      </c>
      <c r="E58" s="32" t="s">
        <v>339</v>
      </c>
      <c r="F58" s="32">
        <v>1</v>
      </c>
      <c r="G58" s="31" t="s">
        <v>17</v>
      </c>
      <c r="H58" s="27" t="s">
        <v>9</v>
      </c>
      <c r="I58" s="51">
        <v>45261</v>
      </c>
      <c r="J58" s="99">
        <v>1180.452</v>
      </c>
      <c r="K58" s="99">
        <f t="shared" si="1"/>
        <v>1635.2260000000001</v>
      </c>
      <c r="L58" s="29">
        <v>2090</v>
      </c>
      <c r="M58" s="86"/>
    </row>
    <row r="59" spans="1:13" x14ac:dyDescent="0.35">
      <c r="A59" s="32" t="s">
        <v>86</v>
      </c>
      <c r="B59" s="32" t="s">
        <v>343</v>
      </c>
      <c r="C59" s="15" t="s">
        <v>342</v>
      </c>
      <c r="D59" s="32" t="s">
        <v>87</v>
      </c>
      <c r="E59" s="32" t="s">
        <v>339</v>
      </c>
      <c r="F59" s="32">
        <v>1</v>
      </c>
      <c r="G59" s="31" t="s">
        <v>17</v>
      </c>
      <c r="H59" s="27" t="s">
        <v>9</v>
      </c>
      <c r="I59" s="28">
        <v>45261</v>
      </c>
      <c r="J59" s="99">
        <v>1180.452</v>
      </c>
      <c r="K59" s="99">
        <f t="shared" si="1"/>
        <v>1635.2260000000001</v>
      </c>
      <c r="L59" s="29">
        <v>2090</v>
      </c>
      <c r="M59" s="86"/>
    </row>
    <row r="60" spans="1:13" x14ac:dyDescent="0.35">
      <c r="A60" s="32" t="s">
        <v>88</v>
      </c>
      <c r="B60" s="32" t="s">
        <v>343</v>
      </c>
      <c r="C60" s="15" t="s">
        <v>342</v>
      </c>
      <c r="D60" s="32" t="s">
        <v>89</v>
      </c>
      <c r="E60" s="32" t="s">
        <v>339</v>
      </c>
      <c r="F60" s="32">
        <v>1</v>
      </c>
      <c r="G60" s="31" t="s">
        <v>17</v>
      </c>
      <c r="H60" s="27" t="s">
        <v>9</v>
      </c>
      <c r="I60" s="28">
        <v>45261</v>
      </c>
      <c r="J60" s="99">
        <v>1180.452</v>
      </c>
      <c r="K60" s="99">
        <f t="shared" si="1"/>
        <v>1635.2260000000001</v>
      </c>
      <c r="L60" s="29">
        <v>2090</v>
      </c>
      <c r="M60" s="86"/>
    </row>
    <row r="61" spans="1:13" x14ac:dyDescent="0.35">
      <c r="A61" s="32" t="s">
        <v>90</v>
      </c>
      <c r="B61" s="32" t="s">
        <v>343</v>
      </c>
      <c r="C61" s="15" t="s">
        <v>342</v>
      </c>
      <c r="D61" s="32" t="s">
        <v>91</v>
      </c>
      <c r="E61" s="32" t="s">
        <v>339</v>
      </c>
      <c r="F61" s="32">
        <v>1</v>
      </c>
      <c r="G61" s="31" t="s">
        <v>17</v>
      </c>
      <c r="H61" s="27" t="s">
        <v>9</v>
      </c>
      <c r="I61" s="28">
        <v>45261</v>
      </c>
      <c r="J61" s="99">
        <v>1180.452</v>
      </c>
      <c r="K61" s="99">
        <f t="shared" si="1"/>
        <v>1635.2260000000001</v>
      </c>
      <c r="L61" s="29">
        <v>2090</v>
      </c>
      <c r="M61" s="86"/>
    </row>
    <row r="62" spans="1:13" x14ac:dyDescent="0.35">
      <c r="A62" s="32"/>
      <c r="B62" s="32"/>
      <c r="C62" s="15"/>
      <c r="D62" s="32"/>
      <c r="E62" s="32"/>
      <c r="F62" s="34">
        <f>SUM(F24:F61)</f>
        <v>38</v>
      </c>
      <c r="G62" s="32"/>
      <c r="H62" s="27"/>
      <c r="I62" s="28"/>
      <c r="J62" s="36"/>
      <c r="K62" s="36"/>
      <c r="L62" s="36"/>
      <c r="M62" s="36"/>
    </row>
    <row r="63" spans="1:13" ht="15.5" x14ac:dyDescent="0.35">
      <c r="A63" s="107" t="s">
        <v>375</v>
      </c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75"/>
    </row>
    <row r="64" spans="1:13" x14ac:dyDescent="0.35">
      <c r="A64" s="54" t="s">
        <v>92</v>
      </c>
      <c r="B64" s="32" t="s">
        <v>347</v>
      </c>
      <c r="C64" s="15" t="s">
        <v>346</v>
      </c>
      <c r="D64" s="32" t="s">
        <v>93</v>
      </c>
      <c r="E64" s="32" t="s">
        <v>338</v>
      </c>
      <c r="F64" s="31">
        <v>1</v>
      </c>
      <c r="G64" s="31" t="s">
        <v>345</v>
      </c>
      <c r="H64" s="27" t="s">
        <v>9</v>
      </c>
      <c r="I64" s="51">
        <v>45261</v>
      </c>
      <c r="J64" s="99">
        <v>1461</v>
      </c>
      <c r="K64" s="99">
        <f t="shared" ref="K64:K71" si="2">+(L64-J64)/2+J64</f>
        <v>2225.5</v>
      </c>
      <c r="L64" s="97">
        <v>2990</v>
      </c>
      <c r="M64" s="86"/>
    </row>
    <row r="65" spans="1:13" x14ac:dyDescent="0.35">
      <c r="A65" s="55" t="s">
        <v>96</v>
      </c>
      <c r="B65" s="32" t="s">
        <v>347</v>
      </c>
      <c r="C65" s="16" t="s">
        <v>352</v>
      </c>
      <c r="D65" s="31" t="s">
        <v>97</v>
      </c>
      <c r="E65" s="31" t="s">
        <v>338</v>
      </c>
      <c r="F65" s="31">
        <v>1</v>
      </c>
      <c r="G65" s="31" t="s">
        <v>345</v>
      </c>
      <c r="H65" s="27" t="s">
        <v>9</v>
      </c>
      <c r="I65" s="51">
        <v>45474</v>
      </c>
      <c r="J65" s="99">
        <v>1461</v>
      </c>
      <c r="K65" s="99">
        <f t="shared" si="2"/>
        <v>2225.5</v>
      </c>
      <c r="L65" s="97">
        <v>2990</v>
      </c>
      <c r="M65" s="76"/>
    </row>
    <row r="66" spans="1:13" x14ac:dyDescent="0.35">
      <c r="A66" s="55" t="s">
        <v>98</v>
      </c>
      <c r="B66" s="32" t="s">
        <v>347</v>
      </c>
      <c r="C66" s="16" t="s">
        <v>352</v>
      </c>
      <c r="D66" s="31" t="s">
        <v>99</v>
      </c>
      <c r="E66" s="31" t="s">
        <v>338</v>
      </c>
      <c r="F66" s="31">
        <v>1</v>
      </c>
      <c r="G66" s="31" t="s">
        <v>345</v>
      </c>
      <c r="H66" s="27" t="s">
        <v>9</v>
      </c>
      <c r="I66" s="51">
        <v>45474</v>
      </c>
      <c r="J66" s="99">
        <v>1461</v>
      </c>
      <c r="K66" s="99">
        <f t="shared" si="2"/>
        <v>2225.5</v>
      </c>
      <c r="L66" s="97">
        <v>2990</v>
      </c>
      <c r="M66" s="76"/>
    </row>
    <row r="67" spans="1:13" x14ac:dyDescent="0.35">
      <c r="A67" s="55" t="s">
        <v>100</v>
      </c>
      <c r="B67" s="32" t="s">
        <v>347</v>
      </c>
      <c r="C67" s="16" t="s">
        <v>352</v>
      </c>
      <c r="D67" s="31" t="s">
        <v>101</v>
      </c>
      <c r="E67" s="31" t="s">
        <v>338</v>
      </c>
      <c r="F67" s="31">
        <v>1</v>
      </c>
      <c r="G67" s="31" t="s">
        <v>345</v>
      </c>
      <c r="H67" s="27" t="s">
        <v>9</v>
      </c>
      <c r="I67" s="51">
        <v>45474</v>
      </c>
      <c r="J67" s="99">
        <v>1461</v>
      </c>
      <c r="K67" s="99">
        <f t="shared" si="2"/>
        <v>2225.5</v>
      </c>
      <c r="L67" s="97">
        <v>2990</v>
      </c>
      <c r="M67" s="76"/>
    </row>
    <row r="68" spans="1:13" x14ac:dyDescent="0.35">
      <c r="A68" s="55" t="s">
        <v>102</v>
      </c>
      <c r="B68" s="32" t="s">
        <v>347</v>
      </c>
      <c r="C68" s="16" t="s">
        <v>352</v>
      </c>
      <c r="D68" s="31" t="s">
        <v>103</v>
      </c>
      <c r="E68" s="31" t="s">
        <v>338</v>
      </c>
      <c r="F68" s="31">
        <v>1</v>
      </c>
      <c r="G68" s="31" t="s">
        <v>345</v>
      </c>
      <c r="H68" s="27" t="s">
        <v>9</v>
      </c>
      <c r="I68" s="51">
        <v>45474</v>
      </c>
      <c r="J68" s="99">
        <v>1461</v>
      </c>
      <c r="K68" s="99">
        <f t="shared" si="2"/>
        <v>2225.5</v>
      </c>
      <c r="L68" s="97">
        <v>2990</v>
      </c>
      <c r="M68" s="76"/>
    </row>
    <row r="69" spans="1:13" x14ac:dyDescent="0.35">
      <c r="A69" s="55" t="s">
        <v>104</v>
      </c>
      <c r="B69" s="31" t="s">
        <v>353</v>
      </c>
      <c r="C69" s="16" t="s">
        <v>352</v>
      </c>
      <c r="D69" s="31" t="s">
        <v>105</v>
      </c>
      <c r="E69" s="31" t="s">
        <v>338</v>
      </c>
      <c r="F69" s="31">
        <v>1</v>
      </c>
      <c r="G69" s="31" t="s">
        <v>345</v>
      </c>
      <c r="H69" s="27" t="s">
        <v>9</v>
      </c>
      <c r="I69" s="51">
        <v>45566</v>
      </c>
      <c r="J69" s="99">
        <v>1461</v>
      </c>
      <c r="K69" s="99">
        <f t="shared" si="2"/>
        <v>2225.5</v>
      </c>
      <c r="L69" s="97">
        <v>2990</v>
      </c>
      <c r="M69" s="76"/>
    </row>
    <row r="70" spans="1:13" x14ac:dyDescent="0.35">
      <c r="A70" s="55" t="s">
        <v>106</v>
      </c>
      <c r="B70" s="31" t="s">
        <v>353</v>
      </c>
      <c r="C70" s="16" t="s">
        <v>352</v>
      </c>
      <c r="D70" s="31" t="s">
        <v>107</v>
      </c>
      <c r="E70" s="31" t="s">
        <v>338</v>
      </c>
      <c r="F70" s="31">
        <v>1</v>
      </c>
      <c r="G70" s="31" t="s">
        <v>345</v>
      </c>
      <c r="H70" s="27" t="s">
        <v>9</v>
      </c>
      <c r="I70" s="51">
        <v>45566</v>
      </c>
      <c r="J70" s="99">
        <v>1461</v>
      </c>
      <c r="K70" s="99">
        <f t="shared" si="2"/>
        <v>2225.5</v>
      </c>
      <c r="L70" s="97">
        <v>2990</v>
      </c>
      <c r="M70" s="76"/>
    </row>
    <row r="71" spans="1:13" x14ac:dyDescent="0.35">
      <c r="A71" s="55" t="s">
        <v>108</v>
      </c>
      <c r="B71" s="31" t="s">
        <v>353</v>
      </c>
      <c r="C71" s="16" t="s">
        <v>352</v>
      </c>
      <c r="D71" s="31" t="s">
        <v>109</v>
      </c>
      <c r="E71" s="31" t="s">
        <v>338</v>
      </c>
      <c r="F71" s="31">
        <v>1</v>
      </c>
      <c r="G71" s="31" t="s">
        <v>345</v>
      </c>
      <c r="H71" s="27" t="s">
        <v>9</v>
      </c>
      <c r="I71" s="51">
        <v>45566</v>
      </c>
      <c r="J71" s="99">
        <v>1461</v>
      </c>
      <c r="K71" s="99">
        <f t="shared" si="2"/>
        <v>2225.5</v>
      </c>
      <c r="L71" s="97">
        <v>2990</v>
      </c>
      <c r="M71" s="76"/>
    </row>
    <row r="72" spans="1:13" x14ac:dyDescent="0.35">
      <c r="A72" s="41"/>
      <c r="B72" s="32"/>
      <c r="C72" s="15"/>
      <c r="D72" s="32"/>
      <c r="E72" s="32"/>
      <c r="F72" s="34">
        <f>SUM(F64:F71)</f>
        <v>8</v>
      </c>
      <c r="G72" s="32"/>
      <c r="H72" s="32"/>
      <c r="I72" s="28"/>
      <c r="J72" s="36"/>
      <c r="K72" s="36"/>
      <c r="L72" s="36"/>
      <c r="M72" s="36"/>
    </row>
    <row r="73" spans="1:13" ht="15.5" x14ac:dyDescent="0.35">
      <c r="A73" s="109" t="s">
        <v>110</v>
      </c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75"/>
    </row>
    <row r="74" spans="1:13" x14ac:dyDescent="0.35">
      <c r="A74" s="43" t="s">
        <v>111</v>
      </c>
      <c r="B74" s="31" t="s">
        <v>354</v>
      </c>
      <c r="C74" s="16" t="s">
        <v>355</v>
      </c>
      <c r="D74" s="31" t="s">
        <v>327</v>
      </c>
      <c r="E74" s="31" t="s">
        <v>338</v>
      </c>
      <c r="F74" s="31">
        <v>1</v>
      </c>
      <c r="G74" s="31" t="s">
        <v>256</v>
      </c>
      <c r="H74" s="50" t="s">
        <v>326</v>
      </c>
      <c r="I74" s="98">
        <v>45566</v>
      </c>
      <c r="J74" s="97">
        <v>1461</v>
      </c>
      <c r="K74" s="99">
        <f t="shared" ref="K74:K100" si="3">+(L74-J74)/2+J74</f>
        <v>2225.5</v>
      </c>
      <c r="L74" s="97">
        <v>2990</v>
      </c>
      <c r="M74" s="76"/>
    </row>
    <row r="75" spans="1:13" x14ac:dyDescent="0.35">
      <c r="A75" s="43" t="s">
        <v>112</v>
      </c>
      <c r="B75" s="31" t="s">
        <v>354</v>
      </c>
      <c r="C75" s="16" t="s">
        <v>355</v>
      </c>
      <c r="D75" s="31" t="s">
        <v>328</v>
      </c>
      <c r="E75" s="31" t="s">
        <v>338</v>
      </c>
      <c r="F75" s="31">
        <v>1</v>
      </c>
      <c r="G75" s="31" t="s">
        <v>256</v>
      </c>
      <c r="H75" s="27" t="s">
        <v>9</v>
      </c>
      <c r="I75" s="98">
        <v>45566</v>
      </c>
      <c r="J75" s="97">
        <v>1461</v>
      </c>
      <c r="K75" s="99">
        <f t="shared" si="3"/>
        <v>2225.5</v>
      </c>
      <c r="L75" s="97">
        <v>2990</v>
      </c>
      <c r="M75" s="76"/>
    </row>
    <row r="76" spans="1:13" x14ac:dyDescent="0.35">
      <c r="A76" s="43" t="s">
        <v>113</v>
      </c>
      <c r="B76" s="31" t="s">
        <v>354</v>
      </c>
      <c r="C76" s="16" t="s">
        <v>355</v>
      </c>
      <c r="D76" s="31" t="s">
        <v>329</v>
      </c>
      <c r="E76" s="31" t="s">
        <v>338</v>
      </c>
      <c r="F76" s="31">
        <v>1</v>
      </c>
      <c r="G76" s="31" t="s">
        <v>256</v>
      </c>
      <c r="H76" s="27" t="s">
        <v>9</v>
      </c>
      <c r="I76" s="98">
        <v>45566</v>
      </c>
      <c r="J76" s="97">
        <v>1461</v>
      </c>
      <c r="K76" s="99">
        <f t="shared" si="3"/>
        <v>2225.5</v>
      </c>
      <c r="L76" s="97">
        <v>2990</v>
      </c>
      <c r="M76" s="76"/>
    </row>
    <row r="77" spans="1:13" x14ac:dyDescent="0.35">
      <c r="A77" s="43" t="s">
        <v>114</v>
      </c>
      <c r="B77" s="31" t="s">
        <v>354</v>
      </c>
      <c r="C77" s="16" t="s">
        <v>355</v>
      </c>
      <c r="D77" s="31" t="s">
        <v>330</v>
      </c>
      <c r="E77" s="31" t="s">
        <v>338</v>
      </c>
      <c r="F77" s="31">
        <v>1</v>
      </c>
      <c r="G77" s="31" t="s">
        <v>256</v>
      </c>
      <c r="H77" s="27" t="s">
        <v>9</v>
      </c>
      <c r="I77" s="98">
        <v>45566</v>
      </c>
      <c r="J77" s="97">
        <v>1461</v>
      </c>
      <c r="K77" s="99">
        <f t="shared" si="3"/>
        <v>2225.5</v>
      </c>
      <c r="L77" s="97">
        <v>2990</v>
      </c>
      <c r="M77" s="76"/>
    </row>
    <row r="78" spans="1:13" x14ac:dyDescent="0.35">
      <c r="A78" s="43" t="s">
        <v>115</v>
      </c>
      <c r="B78" s="31" t="s">
        <v>354</v>
      </c>
      <c r="C78" s="16" t="s">
        <v>355</v>
      </c>
      <c r="D78" s="31" t="s">
        <v>331</v>
      </c>
      <c r="E78" s="31" t="s">
        <v>338</v>
      </c>
      <c r="F78" s="31">
        <v>1</v>
      </c>
      <c r="G78" s="31" t="s">
        <v>256</v>
      </c>
      <c r="H78" s="27" t="s">
        <v>9</v>
      </c>
      <c r="I78" s="98">
        <v>45566</v>
      </c>
      <c r="J78" s="97">
        <v>1461</v>
      </c>
      <c r="K78" s="99">
        <f t="shared" si="3"/>
        <v>2225.5</v>
      </c>
      <c r="L78" s="97">
        <v>2990</v>
      </c>
      <c r="M78" s="76"/>
    </row>
    <row r="79" spans="1:13" x14ac:dyDescent="0.35">
      <c r="A79" s="43" t="s">
        <v>116</v>
      </c>
      <c r="B79" s="31" t="s">
        <v>354</v>
      </c>
      <c r="C79" s="16" t="s">
        <v>355</v>
      </c>
      <c r="D79" s="31" t="s">
        <v>332</v>
      </c>
      <c r="E79" s="31" t="s">
        <v>338</v>
      </c>
      <c r="F79" s="31">
        <v>1</v>
      </c>
      <c r="G79" s="31" t="s">
        <v>256</v>
      </c>
      <c r="H79" s="27" t="s">
        <v>9</v>
      </c>
      <c r="I79" s="98">
        <v>45566</v>
      </c>
      <c r="J79" s="97">
        <v>1461</v>
      </c>
      <c r="K79" s="99">
        <f t="shared" si="3"/>
        <v>2225.5</v>
      </c>
      <c r="L79" s="97">
        <v>2990</v>
      </c>
      <c r="M79" s="76"/>
    </row>
    <row r="80" spans="1:13" x14ac:dyDescent="0.35">
      <c r="A80" s="43" t="s">
        <v>117</v>
      </c>
      <c r="B80" s="31" t="s">
        <v>354</v>
      </c>
      <c r="C80" s="16" t="s">
        <v>355</v>
      </c>
      <c r="D80" s="31" t="s">
        <v>333</v>
      </c>
      <c r="E80" s="31" t="s">
        <v>338</v>
      </c>
      <c r="F80" s="31">
        <v>1</v>
      </c>
      <c r="G80" s="31" t="s">
        <v>256</v>
      </c>
      <c r="H80" s="27" t="s">
        <v>9</v>
      </c>
      <c r="I80" s="98">
        <v>45566</v>
      </c>
      <c r="J80" s="97">
        <v>1461</v>
      </c>
      <c r="K80" s="99">
        <f t="shared" si="3"/>
        <v>2225.5</v>
      </c>
      <c r="L80" s="97">
        <v>2990</v>
      </c>
      <c r="M80" s="76"/>
    </row>
    <row r="81" spans="1:13" x14ac:dyDescent="0.35">
      <c r="A81" s="43" t="s">
        <v>254</v>
      </c>
      <c r="B81" s="31" t="s">
        <v>360</v>
      </c>
      <c r="C81" s="16" t="s">
        <v>355</v>
      </c>
      <c r="D81" s="31" t="s">
        <v>255</v>
      </c>
      <c r="E81" s="31" t="s">
        <v>338</v>
      </c>
      <c r="F81" s="31">
        <v>1</v>
      </c>
      <c r="G81" s="31" t="s">
        <v>256</v>
      </c>
      <c r="H81" s="32" t="s">
        <v>334</v>
      </c>
      <c r="I81" s="98">
        <v>45748</v>
      </c>
      <c r="J81" s="97">
        <v>1461</v>
      </c>
      <c r="K81" s="99">
        <f t="shared" si="3"/>
        <v>2225.5</v>
      </c>
      <c r="L81" s="97">
        <v>2990</v>
      </c>
      <c r="M81" s="76"/>
    </row>
    <row r="82" spans="1:13" x14ac:dyDescent="0.35">
      <c r="A82" s="43" t="s">
        <v>257</v>
      </c>
      <c r="B82" s="31" t="s">
        <v>360</v>
      </c>
      <c r="C82" s="16" t="s">
        <v>355</v>
      </c>
      <c r="D82" s="31" t="s">
        <v>258</v>
      </c>
      <c r="E82" s="31" t="s">
        <v>338</v>
      </c>
      <c r="F82" s="31">
        <v>1</v>
      </c>
      <c r="G82" s="31" t="s">
        <v>256</v>
      </c>
      <c r="H82" s="32" t="s">
        <v>334</v>
      </c>
      <c r="I82" s="98">
        <v>45748</v>
      </c>
      <c r="J82" s="97">
        <v>1461</v>
      </c>
      <c r="K82" s="99">
        <f t="shared" si="3"/>
        <v>2225.5</v>
      </c>
      <c r="L82" s="97">
        <v>2990</v>
      </c>
      <c r="M82" s="76"/>
    </row>
    <row r="83" spans="1:13" x14ac:dyDescent="0.35">
      <c r="A83" s="43" t="s">
        <v>259</v>
      </c>
      <c r="B83" s="31" t="s">
        <v>360</v>
      </c>
      <c r="C83" s="16" t="s">
        <v>355</v>
      </c>
      <c r="D83" s="31" t="s">
        <v>260</v>
      </c>
      <c r="E83" s="31" t="s">
        <v>338</v>
      </c>
      <c r="F83" s="31">
        <v>1</v>
      </c>
      <c r="G83" s="31" t="s">
        <v>256</v>
      </c>
      <c r="H83" s="32" t="s">
        <v>334</v>
      </c>
      <c r="I83" s="98">
        <v>45748</v>
      </c>
      <c r="J83" s="97">
        <v>1461</v>
      </c>
      <c r="K83" s="99">
        <f t="shared" si="3"/>
        <v>2225.5</v>
      </c>
      <c r="L83" s="97">
        <v>2990</v>
      </c>
      <c r="M83" s="76"/>
    </row>
    <row r="84" spans="1:13" x14ac:dyDescent="0.35">
      <c r="A84" s="43" t="s">
        <v>261</v>
      </c>
      <c r="B84" s="31" t="s">
        <v>360</v>
      </c>
      <c r="C84" s="16" t="s">
        <v>355</v>
      </c>
      <c r="D84" s="31" t="s">
        <v>262</v>
      </c>
      <c r="E84" s="31" t="s">
        <v>338</v>
      </c>
      <c r="F84" s="31">
        <v>1</v>
      </c>
      <c r="G84" s="31" t="s">
        <v>256</v>
      </c>
      <c r="H84" s="32" t="s">
        <v>334</v>
      </c>
      <c r="I84" s="98">
        <v>45748</v>
      </c>
      <c r="J84" s="97">
        <v>1461</v>
      </c>
      <c r="K84" s="99">
        <f t="shared" si="3"/>
        <v>2225.5</v>
      </c>
      <c r="L84" s="97">
        <v>2990</v>
      </c>
      <c r="M84" s="76"/>
    </row>
    <row r="85" spans="1:13" x14ac:dyDescent="0.35">
      <c r="A85" s="43" t="s">
        <v>263</v>
      </c>
      <c r="B85" s="31" t="s">
        <v>360</v>
      </c>
      <c r="C85" s="16" t="s">
        <v>355</v>
      </c>
      <c r="D85" s="31" t="s">
        <v>264</v>
      </c>
      <c r="E85" s="31" t="s">
        <v>338</v>
      </c>
      <c r="F85" s="31">
        <v>1</v>
      </c>
      <c r="G85" s="31" t="s">
        <v>256</v>
      </c>
      <c r="H85" s="32" t="s">
        <v>334</v>
      </c>
      <c r="I85" s="98">
        <v>45748</v>
      </c>
      <c r="J85" s="97">
        <v>1461</v>
      </c>
      <c r="K85" s="99">
        <f t="shared" si="3"/>
        <v>2225.5</v>
      </c>
      <c r="L85" s="97">
        <v>2990</v>
      </c>
      <c r="M85" s="76"/>
    </row>
    <row r="86" spans="1:13" x14ac:dyDescent="0.35">
      <c r="A86" s="43" t="s">
        <v>265</v>
      </c>
      <c r="B86" s="31" t="s">
        <v>360</v>
      </c>
      <c r="C86" s="16" t="s">
        <v>355</v>
      </c>
      <c r="D86" s="31" t="s">
        <v>266</v>
      </c>
      <c r="E86" s="31" t="s">
        <v>338</v>
      </c>
      <c r="F86" s="31">
        <v>1</v>
      </c>
      <c r="G86" s="31" t="s">
        <v>256</v>
      </c>
      <c r="H86" s="32" t="s">
        <v>334</v>
      </c>
      <c r="I86" s="98">
        <v>45748</v>
      </c>
      <c r="J86" s="97">
        <v>1461</v>
      </c>
      <c r="K86" s="99">
        <f t="shared" si="3"/>
        <v>2225.5</v>
      </c>
      <c r="L86" s="97">
        <v>2990</v>
      </c>
      <c r="M86" s="76"/>
    </row>
    <row r="87" spans="1:13" x14ac:dyDescent="0.35">
      <c r="A87" s="43" t="s">
        <v>267</v>
      </c>
      <c r="B87" s="31" t="s">
        <v>360</v>
      </c>
      <c r="C87" s="16" t="s">
        <v>355</v>
      </c>
      <c r="D87" s="31" t="s">
        <v>268</v>
      </c>
      <c r="E87" s="31" t="s">
        <v>338</v>
      </c>
      <c r="F87" s="31">
        <v>1</v>
      </c>
      <c r="G87" s="31" t="s">
        <v>256</v>
      </c>
      <c r="H87" s="32" t="s">
        <v>334</v>
      </c>
      <c r="I87" s="98">
        <v>45748</v>
      </c>
      <c r="J87" s="97">
        <v>1461</v>
      </c>
      <c r="K87" s="99">
        <f t="shared" si="3"/>
        <v>2225.5</v>
      </c>
      <c r="L87" s="97">
        <v>2990</v>
      </c>
      <c r="M87" s="76"/>
    </row>
    <row r="88" spans="1:13" x14ac:dyDescent="0.35">
      <c r="A88" s="43" t="s">
        <v>269</v>
      </c>
      <c r="B88" s="31" t="s">
        <v>360</v>
      </c>
      <c r="C88" s="16" t="s">
        <v>355</v>
      </c>
      <c r="D88" s="31" t="s">
        <v>270</v>
      </c>
      <c r="E88" s="31" t="s">
        <v>338</v>
      </c>
      <c r="F88" s="31">
        <v>1</v>
      </c>
      <c r="G88" s="31" t="s">
        <v>256</v>
      </c>
      <c r="H88" s="32" t="s">
        <v>334</v>
      </c>
      <c r="I88" s="98">
        <v>45748</v>
      </c>
      <c r="J88" s="97">
        <v>1461</v>
      </c>
      <c r="K88" s="99">
        <f t="shared" si="3"/>
        <v>2225.5</v>
      </c>
      <c r="L88" s="97">
        <v>2990</v>
      </c>
      <c r="M88" s="76"/>
    </row>
    <row r="89" spans="1:13" x14ac:dyDescent="0.35">
      <c r="A89" s="43" t="s">
        <v>271</v>
      </c>
      <c r="B89" s="31" t="s">
        <v>360</v>
      </c>
      <c r="C89" s="16" t="s">
        <v>355</v>
      </c>
      <c r="D89" s="31" t="s">
        <v>272</v>
      </c>
      <c r="E89" s="31" t="s">
        <v>338</v>
      </c>
      <c r="F89" s="31">
        <v>1</v>
      </c>
      <c r="G89" s="31" t="s">
        <v>256</v>
      </c>
      <c r="H89" s="32" t="s">
        <v>334</v>
      </c>
      <c r="I89" s="98">
        <v>45748</v>
      </c>
      <c r="J89" s="97">
        <v>1461</v>
      </c>
      <c r="K89" s="99">
        <f t="shared" si="3"/>
        <v>2225.5</v>
      </c>
      <c r="L89" s="97">
        <v>2990</v>
      </c>
      <c r="M89" s="76"/>
    </row>
    <row r="90" spans="1:13" ht="15" thickBot="1" x14ac:dyDescent="0.4">
      <c r="A90" s="43" t="s">
        <v>273</v>
      </c>
      <c r="B90" s="31" t="s">
        <v>360</v>
      </c>
      <c r="C90" s="16" t="s">
        <v>355</v>
      </c>
      <c r="D90" s="31" t="s">
        <v>274</v>
      </c>
      <c r="E90" s="31" t="s">
        <v>338</v>
      </c>
      <c r="F90" s="31">
        <v>1</v>
      </c>
      <c r="G90" s="31" t="s">
        <v>256</v>
      </c>
      <c r="H90" s="32" t="s">
        <v>334</v>
      </c>
      <c r="I90" s="98">
        <v>45748</v>
      </c>
      <c r="J90" s="97">
        <v>1461</v>
      </c>
      <c r="K90" s="99">
        <f t="shared" si="3"/>
        <v>2225.5</v>
      </c>
      <c r="L90" s="97">
        <v>2990</v>
      </c>
      <c r="M90" s="76"/>
    </row>
    <row r="91" spans="1:13" ht="25" x14ac:dyDescent="0.35">
      <c r="A91" s="95" t="s">
        <v>488</v>
      </c>
      <c r="B91" s="31" t="s">
        <v>489</v>
      </c>
      <c r="C91" s="16" t="s">
        <v>490</v>
      </c>
      <c r="D91" s="31" t="s">
        <v>491</v>
      </c>
      <c r="E91" s="31" t="s">
        <v>338</v>
      </c>
      <c r="F91" s="31">
        <v>1</v>
      </c>
      <c r="G91" s="96" t="s">
        <v>256</v>
      </c>
      <c r="H91" s="32" t="s">
        <v>9</v>
      </c>
      <c r="I91" s="98">
        <v>45898</v>
      </c>
      <c r="J91" s="97">
        <v>1461</v>
      </c>
      <c r="K91" s="99">
        <f t="shared" si="3"/>
        <v>2225.5</v>
      </c>
      <c r="L91" s="97">
        <v>2990</v>
      </c>
      <c r="M91" s="101" t="s">
        <v>487</v>
      </c>
    </row>
    <row r="92" spans="1:13" ht="25" x14ac:dyDescent="0.35">
      <c r="A92" s="95" t="s">
        <v>492</v>
      </c>
      <c r="B92" s="31" t="s">
        <v>489</v>
      </c>
      <c r="C92" s="16" t="s">
        <v>490</v>
      </c>
      <c r="D92" s="31" t="s">
        <v>493</v>
      </c>
      <c r="E92" s="31" t="s">
        <v>338</v>
      </c>
      <c r="F92" s="31">
        <v>1</v>
      </c>
      <c r="G92" s="96" t="s">
        <v>256</v>
      </c>
      <c r="H92" s="32" t="s">
        <v>9</v>
      </c>
      <c r="I92" s="98">
        <v>45898</v>
      </c>
      <c r="J92" s="97">
        <v>1461</v>
      </c>
      <c r="K92" s="99">
        <f t="shared" si="3"/>
        <v>2225.5</v>
      </c>
      <c r="L92" s="97">
        <v>2990</v>
      </c>
      <c r="M92" s="102"/>
    </row>
    <row r="93" spans="1:13" ht="25" x14ac:dyDescent="0.35">
      <c r="A93" s="95" t="s">
        <v>494</v>
      </c>
      <c r="B93" s="31" t="s">
        <v>489</v>
      </c>
      <c r="C93" s="16" t="s">
        <v>490</v>
      </c>
      <c r="D93" s="31" t="s">
        <v>495</v>
      </c>
      <c r="E93" s="31" t="s">
        <v>338</v>
      </c>
      <c r="F93" s="31">
        <v>1</v>
      </c>
      <c r="G93" s="96" t="s">
        <v>256</v>
      </c>
      <c r="H93" s="32" t="s">
        <v>9</v>
      </c>
      <c r="I93" s="98">
        <v>45898</v>
      </c>
      <c r="J93" s="97">
        <v>1461</v>
      </c>
      <c r="K93" s="99">
        <f t="shared" si="3"/>
        <v>2225.5</v>
      </c>
      <c r="L93" s="97">
        <v>2990</v>
      </c>
      <c r="M93" s="102"/>
    </row>
    <row r="94" spans="1:13" ht="25" x14ac:dyDescent="0.35">
      <c r="A94" s="95" t="s">
        <v>496</v>
      </c>
      <c r="B94" s="31" t="s">
        <v>489</v>
      </c>
      <c r="C94" s="16" t="s">
        <v>490</v>
      </c>
      <c r="D94" s="31" t="s">
        <v>497</v>
      </c>
      <c r="E94" s="31" t="s">
        <v>338</v>
      </c>
      <c r="F94" s="31">
        <v>1</v>
      </c>
      <c r="G94" s="96" t="s">
        <v>256</v>
      </c>
      <c r="H94" s="32" t="s">
        <v>9</v>
      </c>
      <c r="I94" s="98">
        <v>45898</v>
      </c>
      <c r="J94" s="97">
        <v>1461</v>
      </c>
      <c r="K94" s="99">
        <f t="shared" si="3"/>
        <v>2225.5</v>
      </c>
      <c r="L94" s="97">
        <v>2990</v>
      </c>
      <c r="M94" s="102"/>
    </row>
    <row r="95" spans="1:13" ht="25" x14ac:dyDescent="0.35">
      <c r="A95" s="95" t="s">
        <v>498</v>
      </c>
      <c r="B95" s="31" t="s">
        <v>489</v>
      </c>
      <c r="C95" s="16" t="s">
        <v>490</v>
      </c>
      <c r="D95" s="31" t="s">
        <v>499</v>
      </c>
      <c r="E95" s="31" t="s">
        <v>338</v>
      </c>
      <c r="F95" s="31">
        <v>1</v>
      </c>
      <c r="G95" s="96" t="s">
        <v>256</v>
      </c>
      <c r="H95" s="32" t="s">
        <v>9</v>
      </c>
      <c r="I95" s="98">
        <v>45898</v>
      </c>
      <c r="J95" s="97">
        <v>1461</v>
      </c>
      <c r="K95" s="99">
        <f t="shared" si="3"/>
        <v>2225.5</v>
      </c>
      <c r="L95" s="97">
        <v>2990</v>
      </c>
      <c r="M95" s="102"/>
    </row>
    <row r="96" spans="1:13" ht="25" x14ac:dyDescent="0.35">
      <c r="A96" s="95" t="s">
        <v>500</v>
      </c>
      <c r="B96" s="31" t="s">
        <v>489</v>
      </c>
      <c r="C96" s="16" t="s">
        <v>490</v>
      </c>
      <c r="D96" s="31" t="s">
        <v>501</v>
      </c>
      <c r="E96" s="31" t="s">
        <v>338</v>
      </c>
      <c r="F96" s="31">
        <v>1</v>
      </c>
      <c r="G96" s="96" t="s">
        <v>256</v>
      </c>
      <c r="H96" s="32" t="s">
        <v>9</v>
      </c>
      <c r="I96" s="98">
        <v>45898</v>
      </c>
      <c r="J96" s="97">
        <v>1461</v>
      </c>
      <c r="K96" s="99">
        <f t="shared" si="3"/>
        <v>2225.5</v>
      </c>
      <c r="L96" s="97">
        <v>2990</v>
      </c>
      <c r="M96" s="102"/>
    </row>
    <row r="97" spans="1:13" ht="25" x14ac:dyDescent="0.35">
      <c r="A97" s="95" t="s">
        <v>502</v>
      </c>
      <c r="B97" s="31" t="s">
        <v>489</v>
      </c>
      <c r="C97" s="16" t="s">
        <v>490</v>
      </c>
      <c r="D97" s="31" t="s">
        <v>503</v>
      </c>
      <c r="E97" s="31" t="s">
        <v>338</v>
      </c>
      <c r="F97" s="31">
        <v>1</v>
      </c>
      <c r="G97" s="96" t="s">
        <v>256</v>
      </c>
      <c r="H97" s="32" t="s">
        <v>9</v>
      </c>
      <c r="I97" s="98">
        <v>45898</v>
      </c>
      <c r="J97" s="97">
        <v>1461</v>
      </c>
      <c r="K97" s="99">
        <f t="shared" si="3"/>
        <v>2225.5</v>
      </c>
      <c r="L97" s="97">
        <v>2990</v>
      </c>
      <c r="M97" s="102"/>
    </row>
    <row r="98" spans="1:13" ht="25" x14ac:dyDescent="0.35">
      <c r="A98" s="95" t="s">
        <v>504</v>
      </c>
      <c r="B98" s="31" t="s">
        <v>489</v>
      </c>
      <c r="C98" s="16" t="s">
        <v>490</v>
      </c>
      <c r="D98" s="31" t="s">
        <v>505</v>
      </c>
      <c r="E98" s="31" t="s">
        <v>338</v>
      </c>
      <c r="F98" s="31">
        <v>1</v>
      </c>
      <c r="G98" s="96" t="s">
        <v>256</v>
      </c>
      <c r="H98" s="32" t="s">
        <v>9</v>
      </c>
      <c r="I98" s="98">
        <v>45898</v>
      </c>
      <c r="J98" s="97">
        <v>1461</v>
      </c>
      <c r="K98" s="99">
        <f t="shared" si="3"/>
        <v>2225.5</v>
      </c>
      <c r="L98" s="97">
        <v>2990</v>
      </c>
      <c r="M98" s="102"/>
    </row>
    <row r="99" spans="1:13" ht="25" x14ac:dyDescent="0.35">
      <c r="A99" s="95" t="s">
        <v>506</v>
      </c>
      <c r="B99" s="31" t="s">
        <v>489</v>
      </c>
      <c r="C99" s="16" t="s">
        <v>490</v>
      </c>
      <c r="D99" s="31" t="s">
        <v>507</v>
      </c>
      <c r="E99" s="31" t="s">
        <v>338</v>
      </c>
      <c r="F99" s="31">
        <v>1</v>
      </c>
      <c r="G99" s="96" t="s">
        <v>256</v>
      </c>
      <c r="H99" s="32" t="s">
        <v>9</v>
      </c>
      <c r="I99" s="98">
        <v>45898</v>
      </c>
      <c r="J99" s="97">
        <v>1461</v>
      </c>
      <c r="K99" s="99">
        <f t="shared" si="3"/>
        <v>2225.5</v>
      </c>
      <c r="L99" s="97">
        <v>2990</v>
      </c>
      <c r="M99" s="102"/>
    </row>
    <row r="100" spans="1:13" ht="25.5" thickBot="1" x14ac:dyDescent="0.4">
      <c r="A100" s="95" t="s">
        <v>508</v>
      </c>
      <c r="B100" s="31" t="s">
        <v>489</v>
      </c>
      <c r="C100" s="16" t="s">
        <v>490</v>
      </c>
      <c r="D100" s="31" t="s">
        <v>509</v>
      </c>
      <c r="E100" s="31" t="s">
        <v>338</v>
      </c>
      <c r="F100" s="31">
        <v>1</v>
      </c>
      <c r="G100" s="96" t="s">
        <v>256</v>
      </c>
      <c r="H100" s="32" t="s">
        <v>9</v>
      </c>
      <c r="I100" s="98">
        <v>45898</v>
      </c>
      <c r="J100" s="97">
        <v>1461</v>
      </c>
      <c r="K100" s="99">
        <f t="shared" si="3"/>
        <v>2225.5</v>
      </c>
      <c r="L100" s="97">
        <v>2990</v>
      </c>
      <c r="M100" s="103"/>
    </row>
    <row r="101" spans="1:13" x14ac:dyDescent="0.35">
      <c r="A101" s="43"/>
      <c r="B101" s="31"/>
      <c r="C101" s="16"/>
      <c r="D101" s="31"/>
      <c r="E101" s="31"/>
      <c r="F101" s="56">
        <f>SUM(F74:F100)</f>
        <v>27</v>
      </c>
      <c r="G101" s="31"/>
      <c r="H101" s="32"/>
      <c r="I101" s="57"/>
      <c r="J101" s="49"/>
      <c r="K101" s="49"/>
      <c r="L101" s="49"/>
      <c r="M101" s="49"/>
    </row>
    <row r="102" spans="1:13" ht="15.5" x14ac:dyDescent="0.35">
      <c r="A102" s="109" t="s">
        <v>376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75"/>
    </row>
    <row r="103" spans="1:13" ht="15" thickBot="1" x14ac:dyDescent="0.4">
      <c r="A103" s="43" t="s">
        <v>94</v>
      </c>
      <c r="B103" s="31" t="s">
        <v>348</v>
      </c>
      <c r="C103" s="16" t="s">
        <v>351</v>
      </c>
      <c r="D103" s="31" t="s">
        <v>95</v>
      </c>
      <c r="E103" s="58" t="s">
        <v>349</v>
      </c>
      <c r="F103" s="59">
        <v>1</v>
      </c>
      <c r="G103" s="59" t="s">
        <v>350</v>
      </c>
      <c r="H103" s="60" t="s">
        <v>326</v>
      </c>
      <c r="I103" s="61">
        <v>45474</v>
      </c>
      <c r="J103" s="97">
        <v>1511</v>
      </c>
      <c r="K103" s="99">
        <f t="shared" ref="K103:K125" si="4">+(L103-J103)/2+J103</f>
        <v>1880.5</v>
      </c>
      <c r="L103" s="97">
        <v>2250</v>
      </c>
      <c r="M103" s="76"/>
    </row>
    <row r="104" spans="1:13" x14ac:dyDescent="0.25">
      <c r="A104" s="94" t="s">
        <v>440</v>
      </c>
      <c r="B104" s="87" t="s">
        <v>441</v>
      </c>
      <c r="C104" s="88" t="s">
        <v>442</v>
      </c>
      <c r="D104" s="89" t="s">
        <v>443</v>
      </c>
      <c r="E104" s="89" t="s">
        <v>444</v>
      </c>
      <c r="F104" s="77">
        <v>1</v>
      </c>
      <c r="G104" s="81" t="s">
        <v>350</v>
      </c>
      <c r="H104" s="90" t="s">
        <v>9</v>
      </c>
      <c r="I104" s="51">
        <v>45870</v>
      </c>
      <c r="J104" s="97">
        <v>1511</v>
      </c>
      <c r="K104" s="99">
        <f t="shared" si="4"/>
        <v>1880.5</v>
      </c>
      <c r="L104" s="97">
        <v>2250</v>
      </c>
      <c r="M104" s="101" t="s">
        <v>487</v>
      </c>
    </row>
    <row r="105" spans="1:13" x14ac:dyDescent="0.25">
      <c r="A105" s="94" t="s">
        <v>445</v>
      </c>
      <c r="B105" s="87" t="s">
        <v>441</v>
      </c>
      <c r="C105" s="88" t="s">
        <v>442</v>
      </c>
      <c r="D105" s="91" t="s">
        <v>446</v>
      </c>
      <c r="E105" s="89" t="s">
        <v>444</v>
      </c>
      <c r="F105" s="77">
        <v>1</v>
      </c>
      <c r="G105" s="81" t="s">
        <v>350</v>
      </c>
      <c r="H105" s="90" t="s">
        <v>9</v>
      </c>
      <c r="I105" s="51">
        <v>45870</v>
      </c>
      <c r="J105" s="97">
        <v>1511</v>
      </c>
      <c r="K105" s="99">
        <f t="shared" si="4"/>
        <v>1880.5</v>
      </c>
      <c r="L105" s="97">
        <v>2250</v>
      </c>
      <c r="M105" s="102"/>
    </row>
    <row r="106" spans="1:13" x14ac:dyDescent="0.25">
      <c r="A106" s="94" t="s">
        <v>447</v>
      </c>
      <c r="B106" s="87" t="s">
        <v>441</v>
      </c>
      <c r="C106" s="88" t="s">
        <v>442</v>
      </c>
      <c r="D106" s="92" t="s">
        <v>448</v>
      </c>
      <c r="E106" s="89" t="s">
        <v>444</v>
      </c>
      <c r="F106" s="77">
        <v>1</v>
      </c>
      <c r="G106" s="81" t="s">
        <v>350</v>
      </c>
      <c r="H106" s="90" t="s">
        <v>9</v>
      </c>
      <c r="I106" s="51">
        <v>45870</v>
      </c>
      <c r="J106" s="97">
        <v>1511</v>
      </c>
      <c r="K106" s="99">
        <f t="shared" si="4"/>
        <v>1880.5</v>
      </c>
      <c r="L106" s="97">
        <v>2250</v>
      </c>
      <c r="M106" s="102"/>
    </row>
    <row r="107" spans="1:13" x14ac:dyDescent="0.25">
      <c r="A107" s="94" t="s">
        <v>449</v>
      </c>
      <c r="B107" s="87" t="s">
        <v>441</v>
      </c>
      <c r="C107" s="88" t="s">
        <v>442</v>
      </c>
      <c r="D107" s="92" t="s">
        <v>450</v>
      </c>
      <c r="E107" s="89" t="s">
        <v>444</v>
      </c>
      <c r="F107" s="77">
        <v>1</v>
      </c>
      <c r="G107" s="81" t="s">
        <v>350</v>
      </c>
      <c r="H107" s="90" t="s">
        <v>9</v>
      </c>
      <c r="I107" s="51">
        <v>45870</v>
      </c>
      <c r="J107" s="97">
        <v>1511</v>
      </c>
      <c r="K107" s="99">
        <f t="shared" si="4"/>
        <v>1880.5</v>
      </c>
      <c r="L107" s="97">
        <v>2250</v>
      </c>
      <c r="M107" s="102"/>
    </row>
    <row r="108" spans="1:13" x14ac:dyDescent="0.25">
      <c r="A108" s="94" t="s">
        <v>451</v>
      </c>
      <c r="B108" s="87" t="s">
        <v>441</v>
      </c>
      <c r="C108" s="88" t="s">
        <v>442</v>
      </c>
      <c r="D108" s="92" t="s">
        <v>452</v>
      </c>
      <c r="E108" s="89" t="s">
        <v>444</v>
      </c>
      <c r="F108" s="77">
        <v>1</v>
      </c>
      <c r="G108" s="81" t="s">
        <v>350</v>
      </c>
      <c r="H108" s="90" t="s">
        <v>9</v>
      </c>
      <c r="I108" s="51">
        <v>45870</v>
      </c>
      <c r="J108" s="97">
        <v>1511</v>
      </c>
      <c r="K108" s="99">
        <f t="shared" si="4"/>
        <v>1880.5</v>
      </c>
      <c r="L108" s="97">
        <v>2250</v>
      </c>
      <c r="M108" s="102"/>
    </row>
    <row r="109" spans="1:13" x14ac:dyDescent="0.25">
      <c r="A109" s="94" t="s">
        <v>453</v>
      </c>
      <c r="B109" s="87" t="s">
        <v>441</v>
      </c>
      <c r="C109" s="88" t="s">
        <v>442</v>
      </c>
      <c r="D109" s="92" t="s">
        <v>454</v>
      </c>
      <c r="E109" s="89" t="s">
        <v>444</v>
      </c>
      <c r="F109" s="77">
        <v>1</v>
      </c>
      <c r="G109" s="81" t="s">
        <v>350</v>
      </c>
      <c r="H109" s="90" t="s">
        <v>9</v>
      </c>
      <c r="I109" s="51">
        <v>45870</v>
      </c>
      <c r="J109" s="97">
        <v>1511</v>
      </c>
      <c r="K109" s="99">
        <f t="shared" si="4"/>
        <v>1880.5</v>
      </c>
      <c r="L109" s="97">
        <v>2250</v>
      </c>
      <c r="M109" s="102"/>
    </row>
    <row r="110" spans="1:13" x14ac:dyDescent="0.25">
      <c r="A110" s="94" t="s">
        <v>455</v>
      </c>
      <c r="B110" s="87" t="s">
        <v>441</v>
      </c>
      <c r="C110" s="88" t="s">
        <v>442</v>
      </c>
      <c r="D110" s="92" t="s">
        <v>456</v>
      </c>
      <c r="E110" s="89" t="s">
        <v>444</v>
      </c>
      <c r="F110" s="77">
        <v>1</v>
      </c>
      <c r="G110" s="81" t="s">
        <v>350</v>
      </c>
      <c r="H110" s="90" t="s">
        <v>9</v>
      </c>
      <c r="I110" s="51">
        <v>45870</v>
      </c>
      <c r="J110" s="97">
        <v>1511</v>
      </c>
      <c r="K110" s="99">
        <f t="shared" si="4"/>
        <v>1880.5</v>
      </c>
      <c r="L110" s="97">
        <v>2250</v>
      </c>
      <c r="M110" s="102"/>
    </row>
    <row r="111" spans="1:13" x14ac:dyDescent="0.25">
      <c r="A111" s="94" t="s">
        <v>457</v>
      </c>
      <c r="B111" s="87" t="s">
        <v>441</v>
      </c>
      <c r="C111" s="88" t="s">
        <v>442</v>
      </c>
      <c r="D111" s="93" t="s">
        <v>458</v>
      </c>
      <c r="E111" s="89" t="s">
        <v>444</v>
      </c>
      <c r="F111" s="77">
        <v>1</v>
      </c>
      <c r="G111" s="81" t="s">
        <v>350</v>
      </c>
      <c r="H111" s="90" t="s">
        <v>9</v>
      </c>
      <c r="I111" s="51">
        <v>45870</v>
      </c>
      <c r="J111" s="97">
        <v>1511</v>
      </c>
      <c r="K111" s="99">
        <f t="shared" si="4"/>
        <v>1880.5</v>
      </c>
      <c r="L111" s="97">
        <v>2250</v>
      </c>
      <c r="M111" s="102"/>
    </row>
    <row r="112" spans="1:13" x14ac:dyDescent="0.25">
      <c r="A112" s="94" t="s">
        <v>459</v>
      </c>
      <c r="B112" s="87" t="s">
        <v>441</v>
      </c>
      <c r="C112" s="88" t="s">
        <v>442</v>
      </c>
      <c r="D112" s="93" t="s">
        <v>460</v>
      </c>
      <c r="E112" s="89" t="s">
        <v>444</v>
      </c>
      <c r="F112" s="77">
        <v>1</v>
      </c>
      <c r="G112" s="81" t="s">
        <v>350</v>
      </c>
      <c r="H112" s="90" t="s">
        <v>9</v>
      </c>
      <c r="I112" s="51">
        <v>45870</v>
      </c>
      <c r="J112" s="97">
        <v>1511</v>
      </c>
      <c r="K112" s="99">
        <f t="shared" si="4"/>
        <v>1880.5</v>
      </c>
      <c r="L112" s="97">
        <v>2250</v>
      </c>
      <c r="M112" s="102"/>
    </row>
    <row r="113" spans="1:13" x14ac:dyDescent="0.25">
      <c r="A113" s="94" t="s">
        <v>461</v>
      </c>
      <c r="B113" s="87" t="s">
        <v>441</v>
      </c>
      <c r="C113" s="88" t="s">
        <v>442</v>
      </c>
      <c r="D113" s="93" t="s">
        <v>462</v>
      </c>
      <c r="E113" s="89" t="s">
        <v>444</v>
      </c>
      <c r="F113" s="77">
        <v>1</v>
      </c>
      <c r="G113" s="81" t="s">
        <v>350</v>
      </c>
      <c r="H113" s="90" t="s">
        <v>9</v>
      </c>
      <c r="I113" s="51">
        <v>45870</v>
      </c>
      <c r="J113" s="97">
        <v>1511</v>
      </c>
      <c r="K113" s="99">
        <f t="shared" si="4"/>
        <v>1880.5</v>
      </c>
      <c r="L113" s="97">
        <v>2250</v>
      </c>
      <c r="M113" s="102"/>
    </row>
    <row r="114" spans="1:13" x14ac:dyDescent="0.25">
      <c r="A114" s="94" t="s">
        <v>463</v>
      </c>
      <c r="B114" s="87" t="s">
        <v>441</v>
      </c>
      <c r="C114" s="88" t="s">
        <v>442</v>
      </c>
      <c r="D114" s="93" t="s">
        <v>464</v>
      </c>
      <c r="E114" s="89" t="s">
        <v>444</v>
      </c>
      <c r="F114" s="77">
        <v>1</v>
      </c>
      <c r="G114" s="81" t="s">
        <v>350</v>
      </c>
      <c r="H114" s="90" t="s">
        <v>9</v>
      </c>
      <c r="I114" s="51">
        <v>45870</v>
      </c>
      <c r="J114" s="97">
        <v>1511</v>
      </c>
      <c r="K114" s="99">
        <f t="shared" si="4"/>
        <v>1880.5</v>
      </c>
      <c r="L114" s="97">
        <v>2250</v>
      </c>
      <c r="M114" s="102"/>
    </row>
    <row r="115" spans="1:13" x14ac:dyDescent="0.25">
      <c r="A115" s="94" t="s">
        <v>465</v>
      </c>
      <c r="B115" s="87" t="s">
        <v>441</v>
      </c>
      <c r="C115" s="88" t="s">
        <v>442</v>
      </c>
      <c r="D115" s="93" t="s">
        <v>466</v>
      </c>
      <c r="E115" s="89" t="s">
        <v>444</v>
      </c>
      <c r="F115" s="77">
        <v>1</v>
      </c>
      <c r="G115" s="81" t="s">
        <v>350</v>
      </c>
      <c r="H115" s="90" t="s">
        <v>9</v>
      </c>
      <c r="I115" s="51">
        <v>45870</v>
      </c>
      <c r="J115" s="97">
        <v>1511</v>
      </c>
      <c r="K115" s="99">
        <f t="shared" si="4"/>
        <v>1880.5</v>
      </c>
      <c r="L115" s="97">
        <v>2250</v>
      </c>
      <c r="M115" s="102"/>
    </row>
    <row r="116" spans="1:13" x14ac:dyDescent="0.25">
      <c r="A116" s="94" t="s">
        <v>467</v>
      </c>
      <c r="B116" s="87" t="s">
        <v>441</v>
      </c>
      <c r="C116" s="88" t="s">
        <v>442</v>
      </c>
      <c r="D116" s="93" t="s">
        <v>468</v>
      </c>
      <c r="E116" s="89" t="s">
        <v>444</v>
      </c>
      <c r="F116" s="77">
        <v>1</v>
      </c>
      <c r="G116" s="81" t="s">
        <v>350</v>
      </c>
      <c r="H116" s="90" t="s">
        <v>9</v>
      </c>
      <c r="I116" s="51">
        <v>45870</v>
      </c>
      <c r="J116" s="97">
        <v>1511</v>
      </c>
      <c r="K116" s="99">
        <f t="shared" si="4"/>
        <v>1880.5</v>
      </c>
      <c r="L116" s="97">
        <v>2250</v>
      </c>
      <c r="M116" s="102"/>
    </row>
    <row r="117" spans="1:13" x14ac:dyDescent="0.25">
      <c r="A117" s="94" t="s">
        <v>469</v>
      </c>
      <c r="B117" s="87" t="s">
        <v>441</v>
      </c>
      <c r="C117" s="88" t="s">
        <v>442</v>
      </c>
      <c r="D117" s="93" t="s">
        <v>470</v>
      </c>
      <c r="E117" s="89" t="s">
        <v>444</v>
      </c>
      <c r="F117" s="77">
        <v>1</v>
      </c>
      <c r="G117" s="81" t="s">
        <v>350</v>
      </c>
      <c r="H117" s="90" t="s">
        <v>9</v>
      </c>
      <c r="I117" s="51">
        <v>45870</v>
      </c>
      <c r="J117" s="97">
        <v>1511</v>
      </c>
      <c r="K117" s="99">
        <f t="shared" si="4"/>
        <v>1880.5</v>
      </c>
      <c r="L117" s="97">
        <v>2250</v>
      </c>
      <c r="M117" s="102"/>
    </row>
    <row r="118" spans="1:13" x14ac:dyDescent="0.25">
      <c r="A118" s="94" t="s">
        <v>471</v>
      </c>
      <c r="B118" s="87" t="s">
        <v>441</v>
      </c>
      <c r="C118" s="88" t="s">
        <v>442</v>
      </c>
      <c r="D118" s="93" t="s">
        <v>472</v>
      </c>
      <c r="E118" s="89" t="s">
        <v>444</v>
      </c>
      <c r="F118" s="77">
        <v>1</v>
      </c>
      <c r="G118" s="81" t="s">
        <v>350</v>
      </c>
      <c r="H118" s="90" t="s">
        <v>9</v>
      </c>
      <c r="I118" s="51">
        <v>45870</v>
      </c>
      <c r="J118" s="97">
        <v>1511</v>
      </c>
      <c r="K118" s="99">
        <f t="shared" si="4"/>
        <v>1880.5</v>
      </c>
      <c r="L118" s="97">
        <v>2250</v>
      </c>
      <c r="M118" s="102"/>
    </row>
    <row r="119" spans="1:13" x14ac:dyDescent="0.25">
      <c r="A119" s="94" t="s">
        <v>473</v>
      </c>
      <c r="B119" s="87" t="s">
        <v>441</v>
      </c>
      <c r="C119" s="88" t="s">
        <v>442</v>
      </c>
      <c r="D119" s="93" t="s">
        <v>474</v>
      </c>
      <c r="E119" s="89" t="s">
        <v>444</v>
      </c>
      <c r="F119" s="77">
        <v>1</v>
      </c>
      <c r="G119" s="81" t="s">
        <v>350</v>
      </c>
      <c r="H119" s="90" t="s">
        <v>9</v>
      </c>
      <c r="I119" s="51">
        <v>45870</v>
      </c>
      <c r="J119" s="97">
        <v>1511</v>
      </c>
      <c r="K119" s="99">
        <f t="shared" si="4"/>
        <v>1880.5</v>
      </c>
      <c r="L119" s="97">
        <v>2250</v>
      </c>
      <c r="M119" s="102"/>
    </row>
    <row r="120" spans="1:13" x14ac:dyDescent="0.25">
      <c r="A120" s="94" t="s">
        <v>475</v>
      </c>
      <c r="B120" s="87" t="s">
        <v>441</v>
      </c>
      <c r="C120" s="88" t="s">
        <v>442</v>
      </c>
      <c r="D120" s="93" t="s">
        <v>476</v>
      </c>
      <c r="E120" s="89" t="s">
        <v>444</v>
      </c>
      <c r="F120" s="77">
        <v>1</v>
      </c>
      <c r="G120" s="81" t="s">
        <v>350</v>
      </c>
      <c r="H120" s="90" t="s">
        <v>9</v>
      </c>
      <c r="I120" s="51">
        <v>45870</v>
      </c>
      <c r="J120" s="97">
        <v>1511</v>
      </c>
      <c r="K120" s="99">
        <f t="shared" si="4"/>
        <v>1880.5</v>
      </c>
      <c r="L120" s="97">
        <v>2250</v>
      </c>
      <c r="M120" s="102"/>
    </row>
    <row r="121" spans="1:13" x14ac:dyDescent="0.25">
      <c r="A121" s="94" t="s">
        <v>477</v>
      </c>
      <c r="B121" s="87" t="s">
        <v>441</v>
      </c>
      <c r="C121" s="88" t="s">
        <v>442</v>
      </c>
      <c r="D121" s="93" t="s">
        <v>478</v>
      </c>
      <c r="E121" s="89" t="s">
        <v>444</v>
      </c>
      <c r="F121" s="77">
        <v>1</v>
      </c>
      <c r="G121" s="81" t="s">
        <v>350</v>
      </c>
      <c r="H121" s="90" t="s">
        <v>9</v>
      </c>
      <c r="I121" s="51">
        <v>45870</v>
      </c>
      <c r="J121" s="97">
        <v>1511</v>
      </c>
      <c r="K121" s="99">
        <f t="shared" si="4"/>
        <v>1880.5</v>
      </c>
      <c r="L121" s="97">
        <v>2250</v>
      </c>
      <c r="M121" s="102"/>
    </row>
    <row r="122" spans="1:13" x14ac:dyDescent="0.25">
      <c r="A122" s="94" t="s">
        <v>479</v>
      </c>
      <c r="B122" s="87" t="s">
        <v>441</v>
      </c>
      <c r="C122" s="88" t="s">
        <v>442</v>
      </c>
      <c r="D122" s="93" t="s">
        <v>480</v>
      </c>
      <c r="E122" s="89" t="s">
        <v>444</v>
      </c>
      <c r="F122" s="77">
        <v>1</v>
      </c>
      <c r="G122" s="81" t="s">
        <v>350</v>
      </c>
      <c r="H122" s="90" t="s">
        <v>9</v>
      </c>
      <c r="I122" s="51">
        <v>45870</v>
      </c>
      <c r="J122" s="97">
        <v>1511</v>
      </c>
      <c r="K122" s="99">
        <f t="shared" si="4"/>
        <v>1880.5</v>
      </c>
      <c r="L122" s="97">
        <v>2250</v>
      </c>
      <c r="M122" s="102"/>
    </row>
    <row r="123" spans="1:13" x14ac:dyDescent="0.25">
      <c r="A123" s="94" t="s">
        <v>481</v>
      </c>
      <c r="B123" s="87" t="s">
        <v>441</v>
      </c>
      <c r="C123" s="88" t="s">
        <v>442</v>
      </c>
      <c r="D123" s="93" t="s">
        <v>482</v>
      </c>
      <c r="E123" s="89" t="s">
        <v>444</v>
      </c>
      <c r="F123" s="77">
        <v>1</v>
      </c>
      <c r="G123" s="81" t="s">
        <v>350</v>
      </c>
      <c r="H123" s="90" t="s">
        <v>9</v>
      </c>
      <c r="I123" s="51">
        <v>45870</v>
      </c>
      <c r="J123" s="97">
        <v>1511</v>
      </c>
      <c r="K123" s="99">
        <f t="shared" si="4"/>
        <v>1880.5</v>
      </c>
      <c r="L123" s="97">
        <v>2250</v>
      </c>
      <c r="M123" s="102"/>
    </row>
    <row r="124" spans="1:13" x14ac:dyDescent="0.25">
      <c r="A124" s="94" t="s">
        <v>483</v>
      </c>
      <c r="B124" s="87" t="s">
        <v>441</v>
      </c>
      <c r="C124" s="88" t="s">
        <v>442</v>
      </c>
      <c r="D124" s="93" t="s">
        <v>484</v>
      </c>
      <c r="E124" s="89" t="s">
        <v>444</v>
      </c>
      <c r="F124" s="77">
        <v>1</v>
      </c>
      <c r="G124" s="81" t="s">
        <v>350</v>
      </c>
      <c r="H124" s="90" t="s">
        <v>9</v>
      </c>
      <c r="I124" s="51">
        <v>45870</v>
      </c>
      <c r="J124" s="97">
        <v>1511</v>
      </c>
      <c r="K124" s="99">
        <f t="shared" si="4"/>
        <v>1880.5</v>
      </c>
      <c r="L124" s="97">
        <v>2250</v>
      </c>
      <c r="M124" s="102"/>
    </row>
    <row r="125" spans="1:13" ht="15" thickBot="1" x14ac:dyDescent="0.3">
      <c r="A125" s="94" t="s">
        <v>485</v>
      </c>
      <c r="B125" s="87" t="s">
        <v>441</v>
      </c>
      <c r="C125" s="88" t="s">
        <v>442</v>
      </c>
      <c r="D125" s="93" t="s">
        <v>486</v>
      </c>
      <c r="E125" s="89" t="s">
        <v>444</v>
      </c>
      <c r="F125" s="77">
        <v>1</v>
      </c>
      <c r="G125" s="81" t="s">
        <v>350</v>
      </c>
      <c r="H125" s="90" t="s">
        <v>9</v>
      </c>
      <c r="I125" s="51">
        <v>45870</v>
      </c>
      <c r="J125" s="97">
        <v>1511</v>
      </c>
      <c r="K125" s="99">
        <f t="shared" si="4"/>
        <v>1880.5</v>
      </c>
      <c r="L125" s="97">
        <v>2250</v>
      </c>
      <c r="M125" s="103"/>
    </row>
    <row r="126" spans="1:13" x14ac:dyDescent="0.35">
      <c r="A126" s="41"/>
      <c r="B126" s="32"/>
      <c r="C126" s="15"/>
      <c r="D126" s="32"/>
      <c r="E126" s="62"/>
      <c r="F126" s="63">
        <f>SUM(F103:F125)</f>
        <v>23</v>
      </c>
      <c r="G126" s="62"/>
      <c r="H126" s="32"/>
      <c r="I126" s="28"/>
      <c r="J126" s="36"/>
      <c r="K126" s="36"/>
      <c r="L126" s="36"/>
      <c r="M126" s="36"/>
    </row>
    <row r="127" spans="1:13" ht="15.5" x14ac:dyDescent="0.35">
      <c r="A127" s="107" t="s">
        <v>377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75"/>
    </row>
    <row r="128" spans="1:13" x14ac:dyDescent="0.35">
      <c r="A128" s="64" t="s">
        <v>118</v>
      </c>
      <c r="B128" s="31" t="s">
        <v>343</v>
      </c>
      <c r="C128" s="16" t="s">
        <v>357</v>
      </c>
      <c r="D128" s="31" t="s">
        <v>119</v>
      </c>
      <c r="E128" s="31" t="s">
        <v>349</v>
      </c>
      <c r="F128" s="31">
        <v>1</v>
      </c>
      <c r="G128" s="31" t="s">
        <v>277</v>
      </c>
      <c r="H128" s="32" t="s">
        <v>9</v>
      </c>
      <c r="I128" s="28">
        <v>45566</v>
      </c>
      <c r="J128" s="97">
        <v>1511</v>
      </c>
      <c r="K128" s="99">
        <f t="shared" ref="K128:K163" si="5">+(L128-J128)/2+J128</f>
        <v>1880.5</v>
      </c>
      <c r="L128" s="97">
        <v>2250</v>
      </c>
      <c r="M128" s="76"/>
    </row>
    <row r="129" spans="1:13" x14ac:dyDescent="0.35">
      <c r="A129" s="43" t="s">
        <v>120</v>
      </c>
      <c r="B129" s="31" t="s">
        <v>343</v>
      </c>
      <c r="C129" s="16" t="s">
        <v>357</v>
      </c>
      <c r="D129" s="31" t="s">
        <v>121</v>
      </c>
      <c r="E129" s="31" t="s">
        <v>349</v>
      </c>
      <c r="F129" s="31">
        <v>1</v>
      </c>
      <c r="G129" s="31" t="s">
        <v>277</v>
      </c>
      <c r="H129" s="32" t="s">
        <v>9</v>
      </c>
      <c r="I129" s="28">
        <v>45566</v>
      </c>
      <c r="J129" s="97">
        <v>1511</v>
      </c>
      <c r="K129" s="99">
        <f t="shared" si="5"/>
        <v>1880.5</v>
      </c>
      <c r="L129" s="97">
        <v>2250</v>
      </c>
      <c r="M129" s="76"/>
    </row>
    <row r="130" spans="1:13" x14ac:dyDescent="0.35">
      <c r="A130" s="43" t="s">
        <v>122</v>
      </c>
      <c r="B130" s="31" t="s">
        <v>343</v>
      </c>
      <c r="C130" s="16" t="s">
        <v>357</v>
      </c>
      <c r="D130" s="31" t="s">
        <v>123</v>
      </c>
      <c r="E130" s="31" t="s">
        <v>349</v>
      </c>
      <c r="F130" s="31">
        <v>1</v>
      </c>
      <c r="G130" s="31" t="s">
        <v>277</v>
      </c>
      <c r="H130" s="32" t="s">
        <v>9</v>
      </c>
      <c r="I130" s="28">
        <v>45566</v>
      </c>
      <c r="J130" s="97">
        <v>1511</v>
      </c>
      <c r="K130" s="99">
        <f t="shared" si="5"/>
        <v>1880.5</v>
      </c>
      <c r="L130" s="97">
        <v>2250</v>
      </c>
      <c r="M130" s="76"/>
    </row>
    <row r="131" spans="1:13" x14ac:dyDescent="0.35">
      <c r="A131" s="43" t="s">
        <v>124</v>
      </c>
      <c r="B131" s="31" t="s">
        <v>343</v>
      </c>
      <c r="C131" s="16" t="s">
        <v>357</v>
      </c>
      <c r="D131" s="31" t="s">
        <v>125</v>
      </c>
      <c r="E131" s="31" t="s">
        <v>349</v>
      </c>
      <c r="F131" s="31">
        <v>1</v>
      </c>
      <c r="G131" s="31" t="s">
        <v>277</v>
      </c>
      <c r="H131" s="32" t="s">
        <v>9</v>
      </c>
      <c r="I131" s="28">
        <v>45566</v>
      </c>
      <c r="J131" s="97">
        <v>1511</v>
      </c>
      <c r="K131" s="99">
        <f t="shared" si="5"/>
        <v>1880.5</v>
      </c>
      <c r="L131" s="97">
        <v>2250</v>
      </c>
      <c r="M131" s="76"/>
    </row>
    <row r="132" spans="1:13" x14ac:dyDescent="0.35">
      <c r="A132" s="43" t="s">
        <v>126</v>
      </c>
      <c r="B132" s="31" t="s">
        <v>343</v>
      </c>
      <c r="C132" s="16" t="s">
        <v>357</v>
      </c>
      <c r="D132" s="31" t="s">
        <v>127</v>
      </c>
      <c r="E132" s="31" t="s">
        <v>349</v>
      </c>
      <c r="F132" s="31">
        <v>1</v>
      </c>
      <c r="G132" s="31" t="s">
        <v>277</v>
      </c>
      <c r="H132" s="32" t="s">
        <v>9</v>
      </c>
      <c r="I132" s="28">
        <v>45566</v>
      </c>
      <c r="J132" s="97">
        <v>1511</v>
      </c>
      <c r="K132" s="99">
        <f t="shared" si="5"/>
        <v>1880.5</v>
      </c>
      <c r="L132" s="97">
        <v>2250</v>
      </c>
      <c r="M132" s="76"/>
    </row>
    <row r="133" spans="1:13" x14ac:dyDescent="0.35">
      <c r="A133" s="43" t="s">
        <v>128</v>
      </c>
      <c r="B133" s="31" t="s">
        <v>343</v>
      </c>
      <c r="C133" s="16" t="s">
        <v>357</v>
      </c>
      <c r="D133" s="31" t="s">
        <v>129</v>
      </c>
      <c r="E133" s="31" t="s">
        <v>349</v>
      </c>
      <c r="F133" s="31">
        <v>1</v>
      </c>
      <c r="G133" s="31" t="s">
        <v>277</v>
      </c>
      <c r="H133" s="32" t="s">
        <v>9</v>
      </c>
      <c r="I133" s="28">
        <v>45566</v>
      </c>
      <c r="J133" s="97">
        <v>1511</v>
      </c>
      <c r="K133" s="99">
        <f t="shared" si="5"/>
        <v>1880.5</v>
      </c>
      <c r="L133" s="97">
        <v>2250</v>
      </c>
      <c r="M133" s="76"/>
    </row>
    <row r="134" spans="1:13" x14ac:dyDescent="0.35">
      <c r="A134" s="43" t="s">
        <v>130</v>
      </c>
      <c r="B134" s="31" t="s">
        <v>343</v>
      </c>
      <c r="C134" s="16" t="s">
        <v>357</v>
      </c>
      <c r="D134" s="31" t="s">
        <v>131</v>
      </c>
      <c r="E134" s="31" t="s">
        <v>349</v>
      </c>
      <c r="F134" s="31">
        <v>1</v>
      </c>
      <c r="G134" s="31" t="s">
        <v>277</v>
      </c>
      <c r="H134" s="32" t="s">
        <v>9</v>
      </c>
      <c r="I134" s="28">
        <v>45566</v>
      </c>
      <c r="J134" s="97">
        <v>1511</v>
      </c>
      <c r="K134" s="99">
        <f t="shared" si="5"/>
        <v>1880.5</v>
      </c>
      <c r="L134" s="97">
        <v>2250</v>
      </c>
      <c r="M134" s="76"/>
    </row>
    <row r="135" spans="1:13" x14ac:dyDescent="0.35">
      <c r="A135" s="43" t="s">
        <v>132</v>
      </c>
      <c r="B135" s="31" t="s">
        <v>343</v>
      </c>
      <c r="C135" s="16" t="s">
        <v>357</v>
      </c>
      <c r="D135" s="31" t="s">
        <v>133</v>
      </c>
      <c r="E135" s="31" t="s">
        <v>349</v>
      </c>
      <c r="F135" s="31">
        <v>1</v>
      </c>
      <c r="G135" s="31" t="s">
        <v>277</v>
      </c>
      <c r="H135" s="32" t="s">
        <v>9</v>
      </c>
      <c r="I135" s="28">
        <v>45566</v>
      </c>
      <c r="J135" s="97">
        <v>1511</v>
      </c>
      <c r="K135" s="99">
        <f t="shared" si="5"/>
        <v>1880.5</v>
      </c>
      <c r="L135" s="97">
        <v>2250</v>
      </c>
      <c r="M135" s="76"/>
    </row>
    <row r="136" spans="1:13" x14ac:dyDescent="0.35">
      <c r="A136" s="117" t="s">
        <v>134</v>
      </c>
      <c r="B136" s="31" t="s">
        <v>343</v>
      </c>
      <c r="C136" s="16" t="s">
        <v>357</v>
      </c>
      <c r="D136" s="31" t="s">
        <v>135</v>
      </c>
      <c r="E136" s="31" t="s">
        <v>349</v>
      </c>
      <c r="F136" s="31">
        <v>1</v>
      </c>
      <c r="G136" s="31" t="s">
        <v>277</v>
      </c>
      <c r="H136" s="32" t="s">
        <v>9</v>
      </c>
      <c r="I136" s="28">
        <v>45566</v>
      </c>
      <c r="J136" s="97">
        <v>1511</v>
      </c>
      <c r="K136" s="99">
        <f t="shared" si="5"/>
        <v>1880.5</v>
      </c>
      <c r="L136" s="97">
        <v>2250</v>
      </c>
      <c r="M136" s="76"/>
    </row>
    <row r="137" spans="1:13" x14ac:dyDescent="0.35">
      <c r="A137" s="43" t="s">
        <v>136</v>
      </c>
      <c r="B137" s="31" t="s">
        <v>343</v>
      </c>
      <c r="C137" s="16" t="s">
        <v>357</v>
      </c>
      <c r="D137" s="31" t="s">
        <v>137</v>
      </c>
      <c r="E137" s="31" t="s">
        <v>349</v>
      </c>
      <c r="F137" s="31">
        <v>1</v>
      </c>
      <c r="G137" s="31" t="s">
        <v>277</v>
      </c>
      <c r="H137" s="32" t="s">
        <v>9</v>
      </c>
      <c r="I137" s="28">
        <v>45566</v>
      </c>
      <c r="J137" s="97">
        <v>1511</v>
      </c>
      <c r="K137" s="99">
        <f t="shared" si="5"/>
        <v>1880.5</v>
      </c>
      <c r="L137" s="97">
        <v>2250</v>
      </c>
      <c r="M137" s="76"/>
    </row>
    <row r="138" spans="1:13" x14ac:dyDescent="0.35">
      <c r="A138" s="43" t="s">
        <v>138</v>
      </c>
      <c r="B138" s="31" t="s">
        <v>343</v>
      </c>
      <c r="C138" s="16" t="s">
        <v>357</v>
      </c>
      <c r="D138" s="31" t="s">
        <v>139</v>
      </c>
      <c r="E138" s="31" t="s">
        <v>349</v>
      </c>
      <c r="F138" s="31">
        <v>1</v>
      </c>
      <c r="G138" s="31" t="s">
        <v>277</v>
      </c>
      <c r="H138" s="32" t="s">
        <v>9</v>
      </c>
      <c r="I138" s="28">
        <v>45566</v>
      </c>
      <c r="J138" s="97">
        <v>1511</v>
      </c>
      <c r="K138" s="99">
        <f t="shared" si="5"/>
        <v>1880.5</v>
      </c>
      <c r="L138" s="97">
        <v>2250</v>
      </c>
      <c r="M138" s="76"/>
    </row>
    <row r="139" spans="1:13" x14ac:dyDescent="0.35">
      <c r="A139" s="43" t="s">
        <v>140</v>
      </c>
      <c r="B139" s="31" t="s">
        <v>343</v>
      </c>
      <c r="C139" s="16" t="s">
        <v>357</v>
      </c>
      <c r="D139" s="31" t="s">
        <v>141</v>
      </c>
      <c r="E139" s="31" t="s">
        <v>349</v>
      </c>
      <c r="F139" s="31">
        <v>1</v>
      </c>
      <c r="G139" s="31" t="s">
        <v>277</v>
      </c>
      <c r="H139" s="32" t="s">
        <v>9</v>
      </c>
      <c r="I139" s="28">
        <v>45566</v>
      </c>
      <c r="J139" s="97">
        <v>1511</v>
      </c>
      <c r="K139" s="99">
        <f t="shared" si="5"/>
        <v>1880.5</v>
      </c>
      <c r="L139" s="97">
        <v>2250</v>
      </c>
      <c r="M139" s="76"/>
    </row>
    <row r="140" spans="1:13" x14ac:dyDescent="0.35">
      <c r="A140" s="43" t="s">
        <v>142</v>
      </c>
      <c r="B140" s="31" t="s">
        <v>343</v>
      </c>
      <c r="C140" s="16" t="s">
        <v>357</v>
      </c>
      <c r="D140" s="31" t="s">
        <v>143</v>
      </c>
      <c r="E140" s="31" t="s">
        <v>349</v>
      </c>
      <c r="F140" s="31">
        <v>1</v>
      </c>
      <c r="G140" s="31" t="s">
        <v>277</v>
      </c>
      <c r="H140" s="32" t="s">
        <v>9</v>
      </c>
      <c r="I140" s="28">
        <v>45566</v>
      </c>
      <c r="J140" s="97">
        <v>1511</v>
      </c>
      <c r="K140" s="99">
        <f t="shared" si="5"/>
        <v>1880.5</v>
      </c>
      <c r="L140" s="97">
        <v>2250</v>
      </c>
      <c r="M140" s="76"/>
    </row>
    <row r="141" spans="1:13" x14ac:dyDescent="0.35">
      <c r="A141" s="43" t="s">
        <v>144</v>
      </c>
      <c r="B141" s="31" t="s">
        <v>343</v>
      </c>
      <c r="C141" s="16" t="s">
        <v>357</v>
      </c>
      <c r="D141" s="31" t="s">
        <v>145</v>
      </c>
      <c r="E141" s="31" t="s">
        <v>349</v>
      </c>
      <c r="F141" s="31">
        <v>1</v>
      </c>
      <c r="G141" s="31" t="s">
        <v>277</v>
      </c>
      <c r="H141" s="32" t="s">
        <v>9</v>
      </c>
      <c r="I141" s="28">
        <v>45566</v>
      </c>
      <c r="J141" s="97">
        <v>1511</v>
      </c>
      <c r="K141" s="99">
        <f t="shared" si="5"/>
        <v>1880.5</v>
      </c>
      <c r="L141" s="97">
        <v>2250</v>
      </c>
      <c r="M141" s="76"/>
    </row>
    <row r="142" spans="1:13" x14ac:dyDescent="0.35">
      <c r="A142" s="43" t="s">
        <v>146</v>
      </c>
      <c r="B142" s="31" t="s">
        <v>343</v>
      </c>
      <c r="C142" s="16" t="s">
        <v>357</v>
      </c>
      <c r="D142" s="31" t="s">
        <v>147</v>
      </c>
      <c r="E142" s="31" t="s">
        <v>349</v>
      </c>
      <c r="F142" s="31">
        <v>1</v>
      </c>
      <c r="G142" s="31" t="s">
        <v>277</v>
      </c>
      <c r="H142" s="32" t="s">
        <v>9</v>
      </c>
      <c r="I142" s="28">
        <v>45566</v>
      </c>
      <c r="J142" s="97">
        <v>1511</v>
      </c>
      <c r="K142" s="99">
        <f t="shared" si="5"/>
        <v>1880.5</v>
      </c>
      <c r="L142" s="97">
        <v>2250</v>
      </c>
      <c r="M142" s="76"/>
    </row>
    <row r="143" spans="1:13" x14ac:dyDescent="0.35">
      <c r="A143" s="43" t="s">
        <v>148</v>
      </c>
      <c r="B143" s="31" t="s">
        <v>343</v>
      </c>
      <c r="C143" s="16" t="s">
        <v>357</v>
      </c>
      <c r="D143" s="31" t="s">
        <v>149</v>
      </c>
      <c r="E143" s="31" t="s">
        <v>349</v>
      </c>
      <c r="F143" s="31">
        <v>1</v>
      </c>
      <c r="G143" s="31" t="s">
        <v>277</v>
      </c>
      <c r="H143" s="32" t="s">
        <v>9</v>
      </c>
      <c r="I143" s="28">
        <v>45566</v>
      </c>
      <c r="J143" s="97">
        <v>1511</v>
      </c>
      <c r="K143" s="99">
        <f t="shared" si="5"/>
        <v>1880.5</v>
      </c>
      <c r="L143" s="97">
        <v>2250</v>
      </c>
      <c r="M143" s="76"/>
    </row>
    <row r="144" spans="1:13" x14ac:dyDescent="0.35">
      <c r="A144" s="43" t="s">
        <v>150</v>
      </c>
      <c r="B144" s="31" t="s">
        <v>343</v>
      </c>
      <c r="C144" s="16" t="s">
        <v>357</v>
      </c>
      <c r="D144" s="31" t="s">
        <v>151</v>
      </c>
      <c r="E144" s="31" t="s">
        <v>349</v>
      </c>
      <c r="F144" s="31">
        <v>1</v>
      </c>
      <c r="G144" s="31" t="s">
        <v>277</v>
      </c>
      <c r="H144" s="32" t="s">
        <v>9</v>
      </c>
      <c r="I144" s="28">
        <v>45566</v>
      </c>
      <c r="J144" s="97">
        <v>1511</v>
      </c>
      <c r="K144" s="99">
        <f t="shared" si="5"/>
        <v>1880.5</v>
      </c>
      <c r="L144" s="97">
        <v>2250</v>
      </c>
      <c r="M144" s="76"/>
    </row>
    <row r="145" spans="1:13" x14ac:dyDescent="0.35">
      <c r="A145" s="43" t="s">
        <v>152</v>
      </c>
      <c r="B145" s="31" t="s">
        <v>343</v>
      </c>
      <c r="C145" s="16" t="s">
        <v>357</v>
      </c>
      <c r="D145" s="31" t="s">
        <v>153</v>
      </c>
      <c r="E145" s="31" t="s">
        <v>349</v>
      </c>
      <c r="F145" s="31">
        <v>1</v>
      </c>
      <c r="G145" s="31" t="s">
        <v>277</v>
      </c>
      <c r="H145" s="32" t="s">
        <v>9</v>
      </c>
      <c r="I145" s="28">
        <v>45566</v>
      </c>
      <c r="J145" s="97">
        <v>1511</v>
      </c>
      <c r="K145" s="99">
        <f t="shared" si="5"/>
        <v>1880.5</v>
      </c>
      <c r="L145" s="97">
        <v>2250</v>
      </c>
      <c r="M145" s="76"/>
    </row>
    <row r="146" spans="1:13" x14ac:dyDescent="0.35">
      <c r="A146" s="43" t="s">
        <v>154</v>
      </c>
      <c r="B146" s="31" t="s">
        <v>343</v>
      </c>
      <c r="C146" s="16" t="s">
        <v>357</v>
      </c>
      <c r="D146" s="31" t="s">
        <v>155</v>
      </c>
      <c r="E146" s="31" t="s">
        <v>349</v>
      </c>
      <c r="F146" s="31">
        <v>1</v>
      </c>
      <c r="G146" s="31" t="s">
        <v>277</v>
      </c>
      <c r="H146" s="32" t="s">
        <v>9</v>
      </c>
      <c r="I146" s="28">
        <v>45566</v>
      </c>
      <c r="J146" s="97">
        <v>1511</v>
      </c>
      <c r="K146" s="99">
        <f t="shared" si="5"/>
        <v>1880.5</v>
      </c>
      <c r="L146" s="97">
        <v>2250</v>
      </c>
      <c r="M146" s="76"/>
    </row>
    <row r="147" spans="1:13" x14ac:dyDescent="0.35">
      <c r="A147" s="43" t="s">
        <v>156</v>
      </c>
      <c r="B147" s="31" t="s">
        <v>343</v>
      </c>
      <c r="C147" s="16" t="s">
        <v>357</v>
      </c>
      <c r="D147" s="31" t="s">
        <v>157</v>
      </c>
      <c r="E147" s="31" t="s">
        <v>349</v>
      </c>
      <c r="F147" s="31">
        <v>1</v>
      </c>
      <c r="G147" s="31" t="s">
        <v>277</v>
      </c>
      <c r="H147" s="32" t="s">
        <v>9</v>
      </c>
      <c r="I147" s="28">
        <v>45566</v>
      </c>
      <c r="J147" s="97">
        <v>1511</v>
      </c>
      <c r="K147" s="99">
        <f t="shared" si="5"/>
        <v>1880.5</v>
      </c>
      <c r="L147" s="97">
        <v>2250</v>
      </c>
      <c r="M147" s="76"/>
    </row>
    <row r="148" spans="1:13" x14ac:dyDescent="0.35">
      <c r="A148" s="43" t="s">
        <v>158</v>
      </c>
      <c r="B148" s="31" t="s">
        <v>343</v>
      </c>
      <c r="C148" s="16" t="s">
        <v>357</v>
      </c>
      <c r="D148" s="31" t="s">
        <v>159</v>
      </c>
      <c r="E148" s="31" t="s">
        <v>349</v>
      </c>
      <c r="F148" s="31">
        <v>1</v>
      </c>
      <c r="G148" s="31" t="s">
        <v>277</v>
      </c>
      <c r="H148" s="32" t="s">
        <v>9</v>
      </c>
      <c r="I148" s="28">
        <v>45566</v>
      </c>
      <c r="J148" s="97">
        <v>1511</v>
      </c>
      <c r="K148" s="99">
        <f t="shared" si="5"/>
        <v>1880.5</v>
      </c>
      <c r="L148" s="97">
        <v>2250</v>
      </c>
      <c r="M148" s="76"/>
    </row>
    <row r="149" spans="1:13" x14ac:dyDescent="0.35">
      <c r="A149" s="43" t="s">
        <v>160</v>
      </c>
      <c r="B149" s="31" t="s">
        <v>343</v>
      </c>
      <c r="C149" s="16" t="s">
        <v>357</v>
      </c>
      <c r="D149" s="31" t="s">
        <v>161</v>
      </c>
      <c r="E149" s="31" t="s">
        <v>349</v>
      </c>
      <c r="F149" s="31">
        <v>1</v>
      </c>
      <c r="G149" s="31" t="s">
        <v>277</v>
      </c>
      <c r="H149" s="32" t="s">
        <v>9</v>
      </c>
      <c r="I149" s="28">
        <v>45566</v>
      </c>
      <c r="J149" s="97">
        <v>1511</v>
      </c>
      <c r="K149" s="99">
        <f t="shared" si="5"/>
        <v>1880.5</v>
      </c>
      <c r="L149" s="97">
        <v>2250</v>
      </c>
      <c r="M149" s="76"/>
    </row>
    <row r="150" spans="1:13" x14ac:dyDescent="0.35">
      <c r="A150" s="43" t="s">
        <v>162</v>
      </c>
      <c r="B150" s="31" t="s">
        <v>343</v>
      </c>
      <c r="C150" s="16" t="s">
        <v>357</v>
      </c>
      <c r="D150" s="31" t="s">
        <v>163</v>
      </c>
      <c r="E150" s="31" t="s">
        <v>349</v>
      </c>
      <c r="F150" s="31">
        <v>1</v>
      </c>
      <c r="G150" s="31" t="s">
        <v>277</v>
      </c>
      <c r="H150" s="32" t="s">
        <v>9</v>
      </c>
      <c r="I150" s="28">
        <v>45566</v>
      </c>
      <c r="J150" s="97">
        <v>1511</v>
      </c>
      <c r="K150" s="99">
        <f t="shared" si="5"/>
        <v>1880.5</v>
      </c>
      <c r="L150" s="97">
        <v>2250</v>
      </c>
      <c r="M150" s="76"/>
    </row>
    <row r="151" spans="1:13" x14ac:dyDescent="0.35">
      <c r="A151" s="43" t="s">
        <v>164</v>
      </c>
      <c r="B151" s="31" t="s">
        <v>343</v>
      </c>
      <c r="C151" s="16" t="s">
        <v>357</v>
      </c>
      <c r="D151" s="31" t="s">
        <v>165</v>
      </c>
      <c r="E151" s="31" t="s">
        <v>349</v>
      </c>
      <c r="F151" s="31">
        <v>1</v>
      </c>
      <c r="G151" s="31" t="s">
        <v>277</v>
      </c>
      <c r="H151" s="32" t="s">
        <v>9</v>
      </c>
      <c r="I151" s="28">
        <v>45566</v>
      </c>
      <c r="J151" s="97">
        <v>1511</v>
      </c>
      <c r="K151" s="99">
        <f t="shared" si="5"/>
        <v>1880.5</v>
      </c>
      <c r="L151" s="97">
        <v>2250</v>
      </c>
      <c r="M151" s="76"/>
    </row>
    <row r="152" spans="1:13" x14ac:dyDescent="0.35">
      <c r="A152" s="43" t="s">
        <v>166</v>
      </c>
      <c r="B152" s="31" t="s">
        <v>343</v>
      </c>
      <c r="C152" s="16" t="s">
        <v>357</v>
      </c>
      <c r="D152" s="31" t="s">
        <v>167</v>
      </c>
      <c r="E152" s="31" t="s">
        <v>349</v>
      </c>
      <c r="F152" s="31">
        <v>1</v>
      </c>
      <c r="G152" s="31" t="s">
        <v>277</v>
      </c>
      <c r="H152" s="32" t="s">
        <v>9</v>
      </c>
      <c r="I152" s="28">
        <v>45566</v>
      </c>
      <c r="J152" s="97">
        <v>1511</v>
      </c>
      <c r="K152" s="99">
        <f t="shared" si="5"/>
        <v>1880.5</v>
      </c>
      <c r="L152" s="97">
        <v>2250</v>
      </c>
      <c r="M152" s="76"/>
    </row>
    <row r="153" spans="1:13" x14ac:dyDescent="0.35">
      <c r="A153" s="43" t="s">
        <v>168</v>
      </c>
      <c r="B153" s="31" t="s">
        <v>343</v>
      </c>
      <c r="C153" s="16" t="s">
        <v>357</v>
      </c>
      <c r="D153" s="31" t="s">
        <v>169</v>
      </c>
      <c r="E153" s="31" t="s">
        <v>349</v>
      </c>
      <c r="F153" s="31">
        <v>1</v>
      </c>
      <c r="G153" s="31" t="s">
        <v>277</v>
      </c>
      <c r="H153" s="32" t="s">
        <v>9</v>
      </c>
      <c r="I153" s="28">
        <v>45566</v>
      </c>
      <c r="J153" s="97">
        <v>1511</v>
      </c>
      <c r="K153" s="99">
        <f t="shared" si="5"/>
        <v>1880.5</v>
      </c>
      <c r="L153" s="97">
        <v>2250</v>
      </c>
      <c r="M153" s="76"/>
    </row>
    <row r="154" spans="1:13" x14ac:dyDescent="0.35">
      <c r="A154" s="43" t="s">
        <v>275</v>
      </c>
      <c r="B154" s="31" t="s">
        <v>361</v>
      </c>
      <c r="C154" s="16" t="s">
        <v>357</v>
      </c>
      <c r="D154" s="31" t="s">
        <v>276</v>
      </c>
      <c r="E154" s="31" t="s">
        <v>349</v>
      </c>
      <c r="F154" s="31">
        <v>1</v>
      </c>
      <c r="G154" s="31" t="s">
        <v>277</v>
      </c>
      <c r="H154" s="32" t="s">
        <v>9</v>
      </c>
      <c r="I154" s="28">
        <v>45748</v>
      </c>
      <c r="J154" s="97">
        <v>1511</v>
      </c>
      <c r="K154" s="99">
        <f t="shared" si="5"/>
        <v>1880.5</v>
      </c>
      <c r="L154" s="97">
        <v>2250</v>
      </c>
      <c r="M154" s="76"/>
    </row>
    <row r="155" spans="1:13" x14ac:dyDescent="0.35">
      <c r="A155" s="43" t="s">
        <v>278</v>
      </c>
      <c r="B155" s="31" t="s">
        <v>361</v>
      </c>
      <c r="C155" s="16" t="s">
        <v>357</v>
      </c>
      <c r="D155" s="31" t="s">
        <v>279</v>
      </c>
      <c r="E155" s="31" t="s">
        <v>349</v>
      </c>
      <c r="F155" s="31">
        <v>1</v>
      </c>
      <c r="G155" s="31" t="s">
        <v>277</v>
      </c>
      <c r="H155" s="32" t="s">
        <v>9</v>
      </c>
      <c r="I155" s="28">
        <v>45748</v>
      </c>
      <c r="J155" s="97">
        <v>1511</v>
      </c>
      <c r="K155" s="99">
        <f t="shared" si="5"/>
        <v>1880.5</v>
      </c>
      <c r="L155" s="97">
        <v>2250</v>
      </c>
      <c r="M155" s="76"/>
    </row>
    <row r="156" spans="1:13" x14ac:dyDescent="0.35">
      <c r="A156" s="43" t="s">
        <v>280</v>
      </c>
      <c r="B156" s="31" t="s">
        <v>361</v>
      </c>
      <c r="C156" s="16" t="s">
        <v>357</v>
      </c>
      <c r="D156" s="31" t="s">
        <v>281</v>
      </c>
      <c r="E156" s="31" t="s">
        <v>349</v>
      </c>
      <c r="F156" s="31">
        <v>1</v>
      </c>
      <c r="G156" s="31" t="s">
        <v>277</v>
      </c>
      <c r="H156" s="32" t="s">
        <v>9</v>
      </c>
      <c r="I156" s="28">
        <v>45748</v>
      </c>
      <c r="J156" s="97">
        <v>1511</v>
      </c>
      <c r="K156" s="99">
        <f t="shared" si="5"/>
        <v>1880.5</v>
      </c>
      <c r="L156" s="97">
        <v>2250</v>
      </c>
      <c r="M156" s="76"/>
    </row>
    <row r="157" spans="1:13" x14ac:dyDescent="0.35">
      <c r="A157" s="43" t="s">
        <v>282</v>
      </c>
      <c r="B157" s="31" t="s">
        <v>361</v>
      </c>
      <c r="C157" s="16" t="s">
        <v>357</v>
      </c>
      <c r="D157" s="31" t="s">
        <v>283</v>
      </c>
      <c r="E157" s="31" t="s">
        <v>349</v>
      </c>
      <c r="F157" s="31">
        <v>1</v>
      </c>
      <c r="G157" s="31" t="s">
        <v>277</v>
      </c>
      <c r="H157" s="32" t="s">
        <v>9</v>
      </c>
      <c r="I157" s="28">
        <v>45748</v>
      </c>
      <c r="J157" s="97">
        <v>1511</v>
      </c>
      <c r="K157" s="99">
        <f t="shared" si="5"/>
        <v>1880.5</v>
      </c>
      <c r="L157" s="97">
        <v>2250</v>
      </c>
      <c r="M157" s="76"/>
    </row>
    <row r="158" spans="1:13" x14ac:dyDescent="0.35">
      <c r="A158" s="43" t="s">
        <v>284</v>
      </c>
      <c r="B158" s="31" t="s">
        <v>361</v>
      </c>
      <c r="C158" s="16" t="s">
        <v>357</v>
      </c>
      <c r="D158" s="31" t="s">
        <v>285</v>
      </c>
      <c r="E158" s="31" t="s">
        <v>349</v>
      </c>
      <c r="F158" s="31">
        <v>1</v>
      </c>
      <c r="G158" s="31" t="s">
        <v>277</v>
      </c>
      <c r="H158" s="32" t="s">
        <v>9</v>
      </c>
      <c r="I158" s="28">
        <v>45748</v>
      </c>
      <c r="J158" s="97">
        <v>1511</v>
      </c>
      <c r="K158" s="99">
        <f t="shared" si="5"/>
        <v>1880.5</v>
      </c>
      <c r="L158" s="97">
        <v>2250</v>
      </c>
      <c r="M158" s="76"/>
    </row>
    <row r="159" spans="1:13" x14ac:dyDescent="0.35">
      <c r="A159" s="43" t="s">
        <v>286</v>
      </c>
      <c r="B159" s="31" t="s">
        <v>361</v>
      </c>
      <c r="C159" s="16" t="s">
        <v>357</v>
      </c>
      <c r="D159" s="31" t="s">
        <v>287</v>
      </c>
      <c r="E159" s="31" t="s">
        <v>349</v>
      </c>
      <c r="F159" s="31">
        <v>1</v>
      </c>
      <c r="G159" s="31" t="s">
        <v>277</v>
      </c>
      <c r="H159" s="32" t="s">
        <v>9</v>
      </c>
      <c r="I159" s="28">
        <v>45748</v>
      </c>
      <c r="J159" s="97">
        <v>1511</v>
      </c>
      <c r="K159" s="99">
        <f t="shared" si="5"/>
        <v>1880.5</v>
      </c>
      <c r="L159" s="97">
        <v>2250</v>
      </c>
      <c r="M159" s="76"/>
    </row>
    <row r="160" spans="1:13" x14ac:dyDescent="0.35">
      <c r="A160" s="43" t="s">
        <v>288</v>
      </c>
      <c r="B160" s="31" t="s">
        <v>361</v>
      </c>
      <c r="C160" s="16" t="s">
        <v>357</v>
      </c>
      <c r="D160" s="31" t="s">
        <v>289</v>
      </c>
      <c r="E160" s="31" t="s">
        <v>349</v>
      </c>
      <c r="F160" s="31">
        <v>1</v>
      </c>
      <c r="G160" s="31" t="s">
        <v>277</v>
      </c>
      <c r="H160" s="32" t="s">
        <v>9</v>
      </c>
      <c r="I160" s="28">
        <v>45748</v>
      </c>
      <c r="J160" s="97">
        <v>1511</v>
      </c>
      <c r="K160" s="99">
        <f t="shared" si="5"/>
        <v>1880.5</v>
      </c>
      <c r="L160" s="97">
        <v>2250</v>
      </c>
      <c r="M160" s="76"/>
    </row>
    <row r="161" spans="1:13" x14ac:dyDescent="0.35">
      <c r="A161" s="43" t="s">
        <v>290</v>
      </c>
      <c r="B161" s="31" t="s">
        <v>361</v>
      </c>
      <c r="C161" s="16" t="s">
        <v>357</v>
      </c>
      <c r="D161" s="31" t="s">
        <v>291</v>
      </c>
      <c r="E161" s="31" t="s">
        <v>349</v>
      </c>
      <c r="F161" s="31">
        <v>1</v>
      </c>
      <c r="G161" s="31" t="s">
        <v>277</v>
      </c>
      <c r="H161" s="32" t="s">
        <v>9</v>
      </c>
      <c r="I161" s="28">
        <v>45748</v>
      </c>
      <c r="J161" s="97">
        <v>1511</v>
      </c>
      <c r="K161" s="99">
        <f t="shared" si="5"/>
        <v>1880.5</v>
      </c>
      <c r="L161" s="97">
        <v>2250</v>
      </c>
      <c r="M161" s="76"/>
    </row>
    <row r="162" spans="1:13" x14ac:dyDescent="0.35">
      <c r="A162" s="43" t="s">
        <v>292</v>
      </c>
      <c r="B162" s="31" t="s">
        <v>361</v>
      </c>
      <c r="C162" s="16" t="s">
        <v>357</v>
      </c>
      <c r="D162" s="31" t="s">
        <v>293</v>
      </c>
      <c r="E162" s="31" t="s">
        <v>349</v>
      </c>
      <c r="F162" s="31">
        <v>1</v>
      </c>
      <c r="G162" s="31" t="s">
        <v>277</v>
      </c>
      <c r="H162" s="32" t="s">
        <v>9</v>
      </c>
      <c r="I162" s="28">
        <v>45748</v>
      </c>
      <c r="J162" s="97">
        <v>1511</v>
      </c>
      <c r="K162" s="99">
        <f t="shared" si="5"/>
        <v>1880.5</v>
      </c>
      <c r="L162" s="97">
        <v>2250</v>
      </c>
      <c r="M162" s="76"/>
    </row>
    <row r="163" spans="1:13" x14ac:dyDescent="0.35">
      <c r="A163" s="43" t="s">
        <v>294</v>
      </c>
      <c r="B163" s="31" t="s">
        <v>361</v>
      </c>
      <c r="C163" s="16" t="s">
        <v>357</v>
      </c>
      <c r="D163" s="31" t="s">
        <v>295</v>
      </c>
      <c r="E163" s="31" t="s">
        <v>349</v>
      </c>
      <c r="F163" s="31">
        <v>1</v>
      </c>
      <c r="G163" s="31" t="s">
        <v>277</v>
      </c>
      <c r="H163" s="32" t="s">
        <v>9</v>
      </c>
      <c r="I163" s="28">
        <v>45748</v>
      </c>
      <c r="J163" s="97">
        <v>1511</v>
      </c>
      <c r="K163" s="99">
        <f t="shared" si="5"/>
        <v>1880.5</v>
      </c>
      <c r="L163" s="97">
        <v>2250</v>
      </c>
      <c r="M163" s="76"/>
    </row>
    <row r="164" spans="1:13" x14ac:dyDescent="0.35">
      <c r="A164" s="43"/>
      <c r="B164" s="31"/>
      <c r="C164" s="16"/>
      <c r="D164" s="31"/>
      <c r="E164" s="31"/>
      <c r="F164" s="56">
        <f>SUM(F128:F163)</f>
        <v>36</v>
      </c>
      <c r="G164" s="31"/>
      <c r="H164" s="32"/>
      <c r="I164" s="57"/>
      <c r="J164" s="49"/>
      <c r="K164" s="49"/>
      <c r="L164" s="49"/>
      <c r="M164" s="49"/>
    </row>
    <row r="165" spans="1:13" ht="15.5" x14ac:dyDescent="0.35">
      <c r="A165" s="111" t="s">
        <v>170</v>
      </c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75"/>
    </row>
    <row r="166" spans="1:13" x14ac:dyDescent="0.35">
      <c r="A166" s="43" t="s">
        <v>172</v>
      </c>
      <c r="B166" s="31" t="s">
        <v>358</v>
      </c>
      <c r="C166" s="16" t="s">
        <v>359</v>
      </c>
      <c r="D166" s="31" t="s">
        <v>173</v>
      </c>
      <c r="E166" s="31" t="s">
        <v>356</v>
      </c>
      <c r="F166" s="31">
        <v>1</v>
      </c>
      <c r="G166" s="31" t="s">
        <v>171</v>
      </c>
      <c r="H166" s="32" t="s">
        <v>9</v>
      </c>
      <c r="I166" s="28">
        <v>45748</v>
      </c>
      <c r="J166" s="97">
        <v>2437</v>
      </c>
      <c r="K166" s="99">
        <f t="shared" ref="K166:K206" si="6">+(L166-J166)/2+J166</f>
        <v>3193.5</v>
      </c>
      <c r="L166" s="97">
        <v>3950</v>
      </c>
      <c r="M166" s="76"/>
    </row>
    <row r="167" spans="1:13" x14ac:dyDescent="0.35">
      <c r="A167" s="43" t="s">
        <v>174</v>
      </c>
      <c r="B167" s="31" t="s">
        <v>358</v>
      </c>
      <c r="C167" s="16" t="s">
        <v>359</v>
      </c>
      <c r="D167" s="31" t="s">
        <v>175</v>
      </c>
      <c r="E167" s="31" t="s">
        <v>356</v>
      </c>
      <c r="F167" s="31">
        <v>1</v>
      </c>
      <c r="G167" s="31" t="s">
        <v>171</v>
      </c>
      <c r="H167" s="32" t="s">
        <v>9</v>
      </c>
      <c r="I167" s="28">
        <v>45748</v>
      </c>
      <c r="J167" s="97">
        <v>2437</v>
      </c>
      <c r="K167" s="99">
        <f t="shared" si="6"/>
        <v>3193.5</v>
      </c>
      <c r="L167" s="97">
        <v>3950</v>
      </c>
      <c r="M167" s="76"/>
    </row>
    <row r="168" spans="1:13" x14ac:dyDescent="0.35">
      <c r="A168" s="43" t="s">
        <v>176</v>
      </c>
      <c r="B168" s="31" t="s">
        <v>358</v>
      </c>
      <c r="C168" s="16" t="s">
        <v>359</v>
      </c>
      <c r="D168" s="31" t="s">
        <v>177</v>
      </c>
      <c r="E168" s="31" t="s">
        <v>356</v>
      </c>
      <c r="F168" s="31">
        <v>1</v>
      </c>
      <c r="G168" s="31" t="s">
        <v>171</v>
      </c>
      <c r="H168" s="32" t="s">
        <v>9</v>
      </c>
      <c r="I168" s="28">
        <v>45748</v>
      </c>
      <c r="J168" s="97">
        <v>2437</v>
      </c>
      <c r="K168" s="99">
        <f t="shared" si="6"/>
        <v>3193.5</v>
      </c>
      <c r="L168" s="97">
        <v>3950</v>
      </c>
      <c r="M168" s="76"/>
    </row>
    <row r="169" spans="1:13" x14ac:dyDescent="0.35">
      <c r="A169" s="43" t="s">
        <v>178</v>
      </c>
      <c r="B169" s="31" t="s">
        <v>358</v>
      </c>
      <c r="C169" s="16" t="s">
        <v>359</v>
      </c>
      <c r="D169" s="31" t="s">
        <v>179</v>
      </c>
      <c r="E169" s="31" t="s">
        <v>356</v>
      </c>
      <c r="F169" s="31">
        <v>1</v>
      </c>
      <c r="G169" s="31" t="s">
        <v>171</v>
      </c>
      <c r="H169" s="32" t="s">
        <v>9</v>
      </c>
      <c r="I169" s="28">
        <v>45748</v>
      </c>
      <c r="J169" s="97">
        <v>2437</v>
      </c>
      <c r="K169" s="99">
        <f t="shared" si="6"/>
        <v>3193.5</v>
      </c>
      <c r="L169" s="97">
        <v>3950</v>
      </c>
      <c r="M169" s="76"/>
    </row>
    <row r="170" spans="1:13" x14ac:dyDescent="0.35">
      <c r="A170" s="43" t="s">
        <v>180</v>
      </c>
      <c r="B170" s="31" t="s">
        <v>358</v>
      </c>
      <c r="C170" s="16" t="s">
        <v>359</v>
      </c>
      <c r="D170" s="31" t="s">
        <v>181</v>
      </c>
      <c r="E170" s="31" t="s">
        <v>356</v>
      </c>
      <c r="F170" s="31">
        <v>1</v>
      </c>
      <c r="G170" s="31" t="s">
        <v>171</v>
      </c>
      <c r="H170" s="32" t="s">
        <v>9</v>
      </c>
      <c r="I170" s="28">
        <v>45748</v>
      </c>
      <c r="J170" s="97">
        <v>2437</v>
      </c>
      <c r="K170" s="99">
        <f t="shared" si="6"/>
        <v>3193.5</v>
      </c>
      <c r="L170" s="97">
        <v>3950</v>
      </c>
      <c r="M170" s="76"/>
    </row>
    <row r="171" spans="1:13" x14ac:dyDescent="0.35">
      <c r="A171" s="43" t="s">
        <v>182</v>
      </c>
      <c r="B171" s="31" t="s">
        <v>358</v>
      </c>
      <c r="C171" s="16" t="s">
        <v>359</v>
      </c>
      <c r="D171" s="31" t="s">
        <v>183</v>
      </c>
      <c r="E171" s="31" t="s">
        <v>356</v>
      </c>
      <c r="F171" s="31">
        <v>1</v>
      </c>
      <c r="G171" s="31" t="s">
        <v>171</v>
      </c>
      <c r="H171" s="32" t="s">
        <v>9</v>
      </c>
      <c r="I171" s="28">
        <v>45748</v>
      </c>
      <c r="J171" s="97">
        <v>2437</v>
      </c>
      <c r="K171" s="99">
        <f t="shared" si="6"/>
        <v>3193.5</v>
      </c>
      <c r="L171" s="97">
        <v>3950</v>
      </c>
      <c r="M171" s="76"/>
    </row>
    <row r="172" spans="1:13" x14ac:dyDescent="0.35">
      <c r="A172" s="43" t="s">
        <v>184</v>
      </c>
      <c r="B172" s="31" t="s">
        <v>358</v>
      </c>
      <c r="C172" s="16" t="s">
        <v>359</v>
      </c>
      <c r="D172" s="31" t="s">
        <v>185</v>
      </c>
      <c r="E172" s="31" t="s">
        <v>356</v>
      </c>
      <c r="F172" s="31">
        <v>1</v>
      </c>
      <c r="G172" s="31" t="s">
        <v>171</v>
      </c>
      <c r="H172" s="32" t="s">
        <v>9</v>
      </c>
      <c r="I172" s="28">
        <v>45748</v>
      </c>
      <c r="J172" s="97">
        <v>2437</v>
      </c>
      <c r="K172" s="99">
        <f t="shared" si="6"/>
        <v>3193.5</v>
      </c>
      <c r="L172" s="97">
        <v>3950</v>
      </c>
      <c r="M172" s="76"/>
    </row>
    <row r="173" spans="1:13" x14ac:dyDescent="0.35">
      <c r="A173" s="43" t="s">
        <v>186</v>
      </c>
      <c r="B173" s="31" t="s">
        <v>358</v>
      </c>
      <c r="C173" s="16" t="s">
        <v>359</v>
      </c>
      <c r="D173" s="31" t="s">
        <v>187</v>
      </c>
      <c r="E173" s="31" t="s">
        <v>356</v>
      </c>
      <c r="F173" s="31">
        <v>1</v>
      </c>
      <c r="G173" s="31" t="s">
        <v>171</v>
      </c>
      <c r="H173" s="32" t="s">
        <v>9</v>
      </c>
      <c r="I173" s="28">
        <v>45748</v>
      </c>
      <c r="J173" s="97">
        <v>2437</v>
      </c>
      <c r="K173" s="99">
        <f t="shared" si="6"/>
        <v>3193.5</v>
      </c>
      <c r="L173" s="97">
        <v>3950</v>
      </c>
      <c r="M173" s="76"/>
    </row>
    <row r="174" spans="1:13" x14ac:dyDescent="0.35">
      <c r="A174" s="43" t="s">
        <v>188</v>
      </c>
      <c r="B174" s="31" t="s">
        <v>358</v>
      </c>
      <c r="C174" s="16" t="s">
        <v>359</v>
      </c>
      <c r="D174" s="31" t="s">
        <v>189</v>
      </c>
      <c r="E174" s="31" t="s">
        <v>356</v>
      </c>
      <c r="F174" s="31">
        <v>1</v>
      </c>
      <c r="G174" s="31" t="s">
        <v>171</v>
      </c>
      <c r="H174" s="32" t="s">
        <v>9</v>
      </c>
      <c r="I174" s="28">
        <v>45748</v>
      </c>
      <c r="J174" s="97">
        <v>2437</v>
      </c>
      <c r="K174" s="99">
        <f t="shared" si="6"/>
        <v>3193.5</v>
      </c>
      <c r="L174" s="97">
        <v>3950</v>
      </c>
      <c r="M174" s="76"/>
    </row>
    <row r="175" spans="1:13" x14ac:dyDescent="0.35">
      <c r="A175" s="43" t="s">
        <v>190</v>
      </c>
      <c r="B175" s="31" t="s">
        <v>358</v>
      </c>
      <c r="C175" s="16" t="s">
        <v>359</v>
      </c>
      <c r="D175" s="31" t="s">
        <v>191</v>
      </c>
      <c r="E175" s="31" t="s">
        <v>356</v>
      </c>
      <c r="F175" s="31">
        <v>1</v>
      </c>
      <c r="G175" s="31" t="s">
        <v>171</v>
      </c>
      <c r="H175" s="32" t="s">
        <v>9</v>
      </c>
      <c r="I175" s="28">
        <v>45748</v>
      </c>
      <c r="J175" s="97">
        <v>2437</v>
      </c>
      <c r="K175" s="99">
        <f t="shared" si="6"/>
        <v>3193.5</v>
      </c>
      <c r="L175" s="97">
        <v>3950</v>
      </c>
      <c r="M175" s="76"/>
    </row>
    <row r="176" spans="1:13" x14ac:dyDescent="0.35">
      <c r="A176" s="43" t="s">
        <v>192</v>
      </c>
      <c r="B176" s="31" t="s">
        <v>358</v>
      </c>
      <c r="C176" s="16" t="s">
        <v>359</v>
      </c>
      <c r="D176" s="31" t="s">
        <v>193</v>
      </c>
      <c r="E176" s="31" t="s">
        <v>356</v>
      </c>
      <c r="F176" s="31">
        <v>1</v>
      </c>
      <c r="G176" s="31" t="s">
        <v>171</v>
      </c>
      <c r="H176" s="32" t="s">
        <v>9</v>
      </c>
      <c r="I176" s="28">
        <v>45748</v>
      </c>
      <c r="J176" s="97">
        <v>2437</v>
      </c>
      <c r="K176" s="99">
        <f t="shared" si="6"/>
        <v>3193.5</v>
      </c>
      <c r="L176" s="97">
        <v>3950</v>
      </c>
      <c r="M176" s="76"/>
    </row>
    <row r="177" spans="1:13" x14ac:dyDescent="0.35">
      <c r="A177" s="43" t="s">
        <v>194</v>
      </c>
      <c r="B177" s="31" t="s">
        <v>358</v>
      </c>
      <c r="C177" s="16" t="s">
        <v>359</v>
      </c>
      <c r="D177" s="31" t="s">
        <v>195</v>
      </c>
      <c r="E177" s="31" t="s">
        <v>356</v>
      </c>
      <c r="F177" s="31">
        <v>1</v>
      </c>
      <c r="G177" s="31" t="s">
        <v>171</v>
      </c>
      <c r="H177" s="32" t="s">
        <v>9</v>
      </c>
      <c r="I177" s="28">
        <v>45748</v>
      </c>
      <c r="J177" s="97">
        <v>2437</v>
      </c>
      <c r="K177" s="99">
        <f t="shared" si="6"/>
        <v>3193.5</v>
      </c>
      <c r="L177" s="97">
        <v>3950</v>
      </c>
      <c r="M177" s="76"/>
    </row>
    <row r="178" spans="1:13" x14ac:dyDescent="0.35">
      <c r="A178" s="43" t="s">
        <v>196</v>
      </c>
      <c r="B178" s="31" t="s">
        <v>358</v>
      </c>
      <c r="C178" s="16" t="s">
        <v>359</v>
      </c>
      <c r="D178" s="31" t="s">
        <v>197</v>
      </c>
      <c r="E178" s="31" t="s">
        <v>356</v>
      </c>
      <c r="F178" s="31">
        <v>1</v>
      </c>
      <c r="G178" s="31" t="s">
        <v>171</v>
      </c>
      <c r="H178" s="32" t="s">
        <v>9</v>
      </c>
      <c r="I178" s="28">
        <v>45748</v>
      </c>
      <c r="J178" s="97">
        <v>2437</v>
      </c>
      <c r="K178" s="99">
        <f t="shared" si="6"/>
        <v>3193.5</v>
      </c>
      <c r="L178" s="97">
        <v>3950</v>
      </c>
      <c r="M178" s="76"/>
    </row>
    <row r="179" spans="1:13" x14ac:dyDescent="0.35">
      <c r="A179" s="43" t="s">
        <v>198</v>
      </c>
      <c r="B179" s="31" t="s">
        <v>358</v>
      </c>
      <c r="C179" s="16" t="s">
        <v>359</v>
      </c>
      <c r="D179" s="31" t="s">
        <v>199</v>
      </c>
      <c r="E179" s="31" t="s">
        <v>356</v>
      </c>
      <c r="F179" s="31">
        <v>1</v>
      </c>
      <c r="G179" s="31" t="s">
        <v>171</v>
      </c>
      <c r="H179" s="32" t="s">
        <v>9</v>
      </c>
      <c r="I179" s="28">
        <v>45748</v>
      </c>
      <c r="J179" s="97">
        <v>2437</v>
      </c>
      <c r="K179" s="99">
        <f t="shared" si="6"/>
        <v>3193.5</v>
      </c>
      <c r="L179" s="97">
        <v>3950</v>
      </c>
      <c r="M179" s="76"/>
    </row>
    <row r="180" spans="1:13" x14ac:dyDescent="0.35">
      <c r="A180" s="43" t="s">
        <v>200</v>
      </c>
      <c r="B180" s="31" t="s">
        <v>358</v>
      </c>
      <c r="C180" s="16" t="s">
        <v>359</v>
      </c>
      <c r="D180" s="31" t="s">
        <v>201</v>
      </c>
      <c r="E180" s="31" t="s">
        <v>356</v>
      </c>
      <c r="F180" s="31">
        <v>1</v>
      </c>
      <c r="G180" s="31" t="s">
        <v>171</v>
      </c>
      <c r="H180" s="32" t="s">
        <v>9</v>
      </c>
      <c r="I180" s="28">
        <v>45748</v>
      </c>
      <c r="J180" s="97">
        <v>2437</v>
      </c>
      <c r="K180" s="99">
        <f t="shared" si="6"/>
        <v>3193.5</v>
      </c>
      <c r="L180" s="97">
        <v>3950</v>
      </c>
      <c r="M180" s="76"/>
    </row>
    <row r="181" spans="1:13" x14ac:dyDescent="0.35">
      <c r="A181" s="43" t="s">
        <v>202</v>
      </c>
      <c r="B181" s="31" t="s">
        <v>358</v>
      </c>
      <c r="C181" s="16" t="s">
        <v>359</v>
      </c>
      <c r="D181" s="31" t="s">
        <v>203</v>
      </c>
      <c r="E181" s="31" t="s">
        <v>356</v>
      </c>
      <c r="F181" s="31">
        <v>1</v>
      </c>
      <c r="G181" s="31" t="s">
        <v>171</v>
      </c>
      <c r="H181" s="32" t="s">
        <v>9</v>
      </c>
      <c r="I181" s="28">
        <v>45748</v>
      </c>
      <c r="J181" s="97">
        <v>2437</v>
      </c>
      <c r="K181" s="99">
        <f t="shared" si="6"/>
        <v>3193.5</v>
      </c>
      <c r="L181" s="97">
        <v>3950</v>
      </c>
      <c r="M181" s="76"/>
    </row>
    <row r="182" spans="1:13" x14ac:dyDescent="0.35">
      <c r="A182" s="43" t="s">
        <v>204</v>
      </c>
      <c r="B182" s="31" t="s">
        <v>358</v>
      </c>
      <c r="C182" s="16" t="s">
        <v>359</v>
      </c>
      <c r="D182" s="31" t="s">
        <v>205</v>
      </c>
      <c r="E182" s="31" t="s">
        <v>356</v>
      </c>
      <c r="F182" s="31">
        <v>1</v>
      </c>
      <c r="G182" s="31" t="s">
        <v>171</v>
      </c>
      <c r="H182" s="32" t="s">
        <v>9</v>
      </c>
      <c r="I182" s="28">
        <v>45748</v>
      </c>
      <c r="J182" s="97">
        <v>2437</v>
      </c>
      <c r="K182" s="99">
        <f t="shared" si="6"/>
        <v>3193.5</v>
      </c>
      <c r="L182" s="97">
        <v>3950</v>
      </c>
      <c r="M182" s="76"/>
    </row>
    <row r="183" spans="1:13" x14ac:dyDescent="0.35">
      <c r="A183" s="43" t="s">
        <v>206</v>
      </c>
      <c r="B183" s="31" t="s">
        <v>358</v>
      </c>
      <c r="C183" s="16" t="s">
        <v>359</v>
      </c>
      <c r="D183" s="31" t="s">
        <v>207</v>
      </c>
      <c r="E183" s="31" t="s">
        <v>356</v>
      </c>
      <c r="F183" s="31">
        <v>1</v>
      </c>
      <c r="G183" s="31" t="s">
        <v>171</v>
      </c>
      <c r="H183" s="32" t="s">
        <v>9</v>
      </c>
      <c r="I183" s="28">
        <v>45748</v>
      </c>
      <c r="J183" s="97">
        <v>2437</v>
      </c>
      <c r="K183" s="99">
        <f t="shared" si="6"/>
        <v>3193.5</v>
      </c>
      <c r="L183" s="97">
        <v>3950</v>
      </c>
      <c r="M183" s="76"/>
    </row>
    <row r="184" spans="1:13" x14ac:dyDescent="0.35">
      <c r="A184" s="43" t="s">
        <v>208</v>
      </c>
      <c r="B184" s="31" t="s">
        <v>358</v>
      </c>
      <c r="C184" s="16" t="s">
        <v>359</v>
      </c>
      <c r="D184" s="31" t="s">
        <v>209</v>
      </c>
      <c r="E184" s="31" t="s">
        <v>356</v>
      </c>
      <c r="F184" s="31">
        <v>1</v>
      </c>
      <c r="G184" s="31" t="s">
        <v>171</v>
      </c>
      <c r="H184" s="32" t="s">
        <v>9</v>
      </c>
      <c r="I184" s="28">
        <v>45748</v>
      </c>
      <c r="J184" s="97">
        <v>2437</v>
      </c>
      <c r="K184" s="99">
        <f t="shared" si="6"/>
        <v>3193.5</v>
      </c>
      <c r="L184" s="97">
        <v>3950</v>
      </c>
      <c r="M184" s="76"/>
    </row>
    <row r="185" spans="1:13" x14ac:dyDescent="0.35">
      <c r="A185" s="43" t="s">
        <v>210</v>
      </c>
      <c r="B185" s="31" t="s">
        <v>358</v>
      </c>
      <c r="C185" s="16" t="s">
        <v>359</v>
      </c>
      <c r="D185" s="31" t="s">
        <v>211</v>
      </c>
      <c r="E185" s="31" t="s">
        <v>356</v>
      </c>
      <c r="F185" s="31">
        <v>1</v>
      </c>
      <c r="G185" s="31" t="s">
        <v>171</v>
      </c>
      <c r="H185" s="32" t="s">
        <v>9</v>
      </c>
      <c r="I185" s="28">
        <v>45748</v>
      </c>
      <c r="J185" s="97">
        <v>2437</v>
      </c>
      <c r="K185" s="99">
        <f t="shared" si="6"/>
        <v>3193.5</v>
      </c>
      <c r="L185" s="97">
        <v>3950</v>
      </c>
      <c r="M185" s="76"/>
    </row>
    <row r="186" spans="1:13" x14ac:dyDescent="0.35">
      <c r="A186" s="43" t="s">
        <v>212</v>
      </c>
      <c r="B186" s="31" t="s">
        <v>358</v>
      </c>
      <c r="C186" s="16" t="s">
        <v>359</v>
      </c>
      <c r="D186" s="31" t="s">
        <v>213</v>
      </c>
      <c r="E186" s="31" t="s">
        <v>356</v>
      </c>
      <c r="F186" s="31">
        <v>1</v>
      </c>
      <c r="G186" s="31" t="s">
        <v>171</v>
      </c>
      <c r="H186" s="32" t="s">
        <v>9</v>
      </c>
      <c r="I186" s="28">
        <v>45748</v>
      </c>
      <c r="J186" s="97">
        <v>2437</v>
      </c>
      <c r="K186" s="99">
        <f t="shared" si="6"/>
        <v>3193.5</v>
      </c>
      <c r="L186" s="97">
        <v>3950</v>
      </c>
      <c r="M186" s="76"/>
    </row>
    <row r="187" spans="1:13" x14ac:dyDescent="0.35">
      <c r="A187" s="43" t="s">
        <v>214</v>
      </c>
      <c r="B187" s="31" t="s">
        <v>358</v>
      </c>
      <c r="C187" s="16" t="s">
        <v>359</v>
      </c>
      <c r="D187" s="31" t="s">
        <v>215</v>
      </c>
      <c r="E187" s="31" t="s">
        <v>356</v>
      </c>
      <c r="F187" s="31">
        <v>1</v>
      </c>
      <c r="G187" s="31" t="s">
        <v>171</v>
      </c>
      <c r="H187" s="32" t="s">
        <v>9</v>
      </c>
      <c r="I187" s="28">
        <v>45748</v>
      </c>
      <c r="J187" s="97">
        <v>2437</v>
      </c>
      <c r="K187" s="99">
        <f t="shared" si="6"/>
        <v>3193.5</v>
      </c>
      <c r="L187" s="97">
        <v>3950</v>
      </c>
      <c r="M187" s="76"/>
    </row>
    <row r="188" spans="1:13" x14ac:dyDescent="0.35">
      <c r="A188" s="43" t="s">
        <v>216</v>
      </c>
      <c r="B188" s="31" t="s">
        <v>358</v>
      </c>
      <c r="C188" s="16" t="s">
        <v>359</v>
      </c>
      <c r="D188" s="31" t="s">
        <v>217</v>
      </c>
      <c r="E188" s="31" t="s">
        <v>356</v>
      </c>
      <c r="F188" s="31">
        <v>1</v>
      </c>
      <c r="G188" s="31" t="s">
        <v>171</v>
      </c>
      <c r="H188" s="32" t="s">
        <v>9</v>
      </c>
      <c r="I188" s="28">
        <v>45748</v>
      </c>
      <c r="J188" s="97">
        <v>2437</v>
      </c>
      <c r="K188" s="99">
        <f t="shared" si="6"/>
        <v>3193.5</v>
      </c>
      <c r="L188" s="97">
        <v>3950</v>
      </c>
      <c r="M188" s="76"/>
    </row>
    <row r="189" spans="1:13" x14ac:dyDescent="0.35">
      <c r="A189" s="43" t="s">
        <v>218</v>
      </c>
      <c r="B189" s="31" t="s">
        <v>358</v>
      </c>
      <c r="C189" s="16" t="s">
        <v>359</v>
      </c>
      <c r="D189" s="31" t="s">
        <v>219</v>
      </c>
      <c r="E189" s="31" t="s">
        <v>356</v>
      </c>
      <c r="F189" s="31">
        <v>1</v>
      </c>
      <c r="G189" s="31" t="s">
        <v>171</v>
      </c>
      <c r="H189" s="32" t="s">
        <v>9</v>
      </c>
      <c r="I189" s="28">
        <v>45748</v>
      </c>
      <c r="J189" s="97">
        <v>2437</v>
      </c>
      <c r="K189" s="99">
        <f t="shared" si="6"/>
        <v>3193.5</v>
      </c>
      <c r="L189" s="97">
        <v>3950</v>
      </c>
      <c r="M189" s="76"/>
    </row>
    <row r="190" spans="1:13" x14ac:dyDescent="0.35">
      <c r="A190" s="43" t="s">
        <v>220</v>
      </c>
      <c r="B190" s="31" t="s">
        <v>358</v>
      </c>
      <c r="C190" s="16" t="s">
        <v>359</v>
      </c>
      <c r="D190" s="31" t="s">
        <v>221</v>
      </c>
      <c r="E190" s="31" t="s">
        <v>356</v>
      </c>
      <c r="F190" s="31">
        <v>1</v>
      </c>
      <c r="G190" s="31" t="s">
        <v>171</v>
      </c>
      <c r="H190" s="32" t="s">
        <v>9</v>
      </c>
      <c r="I190" s="28">
        <v>45748</v>
      </c>
      <c r="J190" s="97">
        <v>2437</v>
      </c>
      <c r="K190" s="99">
        <f t="shared" si="6"/>
        <v>3193.5</v>
      </c>
      <c r="L190" s="97">
        <v>3950</v>
      </c>
      <c r="M190" s="76"/>
    </row>
    <row r="191" spans="1:13" x14ac:dyDescent="0.35">
      <c r="A191" s="43" t="s">
        <v>222</v>
      </c>
      <c r="B191" s="31" t="s">
        <v>358</v>
      </c>
      <c r="C191" s="16" t="s">
        <v>359</v>
      </c>
      <c r="D191" s="31" t="s">
        <v>223</v>
      </c>
      <c r="E191" s="31" t="s">
        <v>356</v>
      </c>
      <c r="F191" s="31">
        <v>1</v>
      </c>
      <c r="G191" s="31" t="s">
        <v>171</v>
      </c>
      <c r="H191" s="32" t="s">
        <v>9</v>
      </c>
      <c r="I191" s="28">
        <v>45748</v>
      </c>
      <c r="J191" s="97">
        <v>2437</v>
      </c>
      <c r="K191" s="99">
        <f t="shared" si="6"/>
        <v>3193.5</v>
      </c>
      <c r="L191" s="97">
        <v>3950</v>
      </c>
      <c r="M191" s="76"/>
    </row>
    <row r="192" spans="1:13" x14ac:dyDescent="0.35">
      <c r="A192" s="43" t="s">
        <v>224</v>
      </c>
      <c r="B192" s="31" t="s">
        <v>358</v>
      </c>
      <c r="C192" s="16" t="s">
        <v>359</v>
      </c>
      <c r="D192" s="31" t="s">
        <v>225</v>
      </c>
      <c r="E192" s="31" t="s">
        <v>356</v>
      </c>
      <c r="F192" s="31">
        <v>1</v>
      </c>
      <c r="G192" s="31" t="s">
        <v>171</v>
      </c>
      <c r="H192" s="32" t="s">
        <v>9</v>
      </c>
      <c r="I192" s="28">
        <v>45748</v>
      </c>
      <c r="J192" s="97">
        <v>2437</v>
      </c>
      <c r="K192" s="99">
        <f t="shared" si="6"/>
        <v>3193.5</v>
      </c>
      <c r="L192" s="97">
        <v>3950</v>
      </c>
      <c r="M192" s="76"/>
    </row>
    <row r="193" spans="1:13" x14ac:dyDescent="0.35">
      <c r="A193" s="43" t="s">
        <v>226</v>
      </c>
      <c r="B193" s="31" t="s">
        <v>358</v>
      </c>
      <c r="C193" s="16" t="s">
        <v>359</v>
      </c>
      <c r="D193" s="31" t="s">
        <v>227</v>
      </c>
      <c r="E193" s="31" t="s">
        <v>356</v>
      </c>
      <c r="F193" s="31">
        <v>1</v>
      </c>
      <c r="G193" s="31" t="s">
        <v>171</v>
      </c>
      <c r="H193" s="32" t="s">
        <v>9</v>
      </c>
      <c r="I193" s="28">
        <v>45748</v>
      </c>
      <c r="J193" s="97">
        <v>2437</v>
      </c>
      <c r="K193" s="99">
        <f t="shared" si="6"/>
        <v>3193.5</v>
      </c>
      <c r="L193" s="97">
        <v>3950</v>
      </c>
      <c r="M193" s="76"/>
    </row>
    <row r="194" spans="1:13" x14ac:dyDescent="0.35">
      <c r="A194" s="43" t="s">
        <v>228</v>
      </c>
      <c r="B194" s="31" t="s">
        <v>358</v>
      </c>
      <c r="C194" s="16" t="s">
        <v>359</v>
      </c>
      <c r="D194" s="31" t="s">
        <v>229</v>
      </c>
      <c r="E194" s="31" t="s">
        <v>356</v>
      </c>
      <c r="F194" s="31">
        <v>1</v>
      </c>
      <c r="G194" s="31" t="s">
        <v>171</v>
      </c>
      <c r="H194" s="32" t="s">
        <v>9</v>
      </c>
      <c r="I194" s="28">
        <v>45748</v>
      </c>
      <c r="J194" s="97">
        <v>2437</v>
      </c>
      <c r="K194" s="99">
        <f t="shared" si="6"/>
        <v>3193.5</v>
      </c>
      <c r="L194" s="97">
        <v>3950</v>
      </c>
      <c r="M194" s="76"/>
    </row>
    <row r="195" spans="1:13" x14ac:dyDescent="0.35">
      <c r="A195" s="43" t="s">
        <v>230</v>
      </c>
      <c r="B195" s="31" t="s">
        <v>358</v>
      </c>
      <c r="C195" s="16" t="s">
        <v>359</v>
      </c>
      <c r="D195" s="31" t="s">
        <v>231</v>
      </c>
      <c r="E195" s="31" t="s">
        <v>356</v>
      </c>
      <c r="F195" s="31">
        <v>1</v>
      </c>
      <c r="G195" s="31" t="s">
        <v>171</v>
      </c>
      <c r="H195" s="32" t="s">
        <v>9</v>
      </c>
      <c r="I195" s="28">
        <v>45748</v>
      </c>
      <c r="J195" s="97">
        <v>2437</v>
      </c>
      <c r="K195" s="99">
        <f t="shared" si="6"/>
        <v>3193.5</v>
      </c>
      <c r="L195" s="97">
        <v>3950</v>
      </c>
      <c r="M195" s="76"/>
    </row>
    <row r="196" spans="1:13" x14ac:dyDescent="0.35">
      <c r="A196" s="43" t="s">
        <v>232</v>
      </c>
      <c r="B196" s="31" t="s">
        <v>358</v>
      </c>
      <c r="C196" s="16" t="s">
        <v>359</v>
      </c>
      <c r="D196" s="31" t="s">
        <v>233</v>
      </c>
      <c r="E196" s="31" t="s">
        <v>356</v>
      </c>
      <c r="F196" s="31">
        <v>1</v>
      </c>
      <c r="G196" s="31" t="s">
        <v>171</v>
      </c>
      <c r="H196" s="32" t="s">
        <v>9</v>
      </c>
      <c r="I196" s="28">
        <v>45748</v>
      </c>
      <c r="J196" s="97">
        <v>2437</v>
      </c>
      <c r="K196" s="99">
        <f t="shared" si="6"/>
        <v>3193.5</v>
      </c>
      <c r="L196" s="97">
        <v>3950</v>
      </c>
      <c r="M196" s="76"/>
    </row>
    <row r="197" spans="1:13" x14ac:dyDescent="0.35">
      <c r="A197" s="43" t="s">
        <v>234</v>
      </c>
      <c r="B197" s="31" t="s">
        <v>358</v>
      </c>
      <c r="C197" s="16" t="s">
        <v>359</v>
      </c>
      <c r="D197" s="31" t="s">
        <v>235</v>
      </c>
      <c r="E197" s="31" t="s">
        <v>356</v>
      </c>
      <c r="F197" s="31">
        <v>1</v>
      </c>
      <c r="G197" s="31" t="s">
        <v>171</v>
      </c>
      <c r="H197" s="32" t="s">
        <v>9</v>
      </c>
      <c r="I197" s="28">
        <v>45748</v>
      </c>
      <c r="J197" s="97">
        <v>2437</v>
      </c>
      <c r="K197" s="99">
        <f t="shared" si="6"/>
        <v>3193.5</v>
      </c>
      <c r="L197" s="97">
        <v>3950</v>
      </c>
      <c r="M197" s="76"/>
    </row>
    <row r="198" spans="1:13" x14ac:dyDescent="0.35">
      <c r="A198" s="43" t="s">
        <v>236</v>
      </c>
      <c r="B198" s="31" t="s">
        <v>358</v>
      </c>
      <c r="C198" s="16" t="s">
        <v>359</v>
      </c>
      <c r="D198" s="31" t="s">
        <v>237</v>
      </c>
      <c r="E198" s="31" t="s">
        <v>356</v>
      </c>
      <c r="F198" s="31">
        <v>1</v>
      </c>
      <c r="G198" s="31" t="s">
        <v>171</v>
      </c>
      <c r="H198" s="32" t="s">
        <v>9</v>
      </c>
      <c r="I198" s="28">
        <v>45748</v>
      </c>
      <c r="J198" s="97">
        <v>2437</v>
      </c>
      <c r="K198" s="99">
        <f t="shared" si="6"/>
        <v>3193.5</v>
      </c>
      <c r="L198" s="97">
        <v>3950</v>
      </c>
      <c r="M198" s="76"/>
    </row>
    <row r="199" spans="1:13" x14ac:dyDescent="0.35">
      <c r="A199" s="43" t="s">
        <v>238</v>
      </c>
      <c r="B199" s="31" t="s">
        <v>358</v>
      </c>
      <c r="C199" s="16" t="s">
        <v>359</v>
      </c>
      <c r="D199" s="31" t="s">
        <v>239</v>
      </c>
      <c r="E199" s="31" t="s">
        <v>356</v>
      </c>
      <c r="F199" s="31">
        <v>1</v>
      </c>
      <c r="G199" s="31" t="s">
        <v>171</v>
      </c>
      <c r="H199" s="32" t="s">
        <v>9</v>
      </c>
      <c r="I199" s="28">
        <v>45748</v>
      </c>
      <c r="J199" s="97">
        <v>2437</v>
      </c>
      <c r="K199" s="99">
        <f t="shared" si="6"/>
        <v>3193.5</v>
      </c>
      <c r="L199" s="97">
        <v>3950</v>
      </c>
      <c r="M199" s="76"/>
    </row>
    <row r="200" spans="1:13" x14ac:dyDescent="0.35">
      <c r="A200" s="43" t="s">
        <v>240</v>
      </c>
      <c r="B200" s="31" t="s">
        <v>358</v>
      </c>
      <c r="C200" s="16" t="s">
        <v>359</v>
      </c>
      <c r="D200" s="31" t="s">
        <v>241</v>
      </c>
      <c r="E200" s="31" t="s">
        <v>356</v>
      </c>
      <c r="F200" s="31">
        <v>1</v>
      </c>
      <c r="G200" s="31" t="s">
        <v>171</v>
      </c>
      <c r="H200" s="32" t="s">
        <v>9</v>
      </c>
      <c r="I200" s="28">
        <v>45748</v>
      </c>
      <c r="J200" s="97">
        <v>2437</v>
      </c>
      <c r="K200" s="99">
        <f t="shared" si="6"/>
        <v>3193.5</v>
      </c>
      <c r="L200" s="97">
        <v>3950</v>
      </c>
      <c r="M200" s="76"/>
    </row>
    <row r="201" spans="1:13" x14ac:dyDescent="0.35">
      <c r="A201" s="43" t="s">
        <v>242</v>
      </c>
      <c r="B201" s="31" t="s">
        <v>358</v>
      </c>
      <c r="C201" s="16" t="s">
        <v>359</v>
      </c>
      <c r="D201" s="31" t="s">
        <v>243</v>
      </c>
      <c r="E201" s="31" t="s">
        <v>356</v>
      </c>
      <c r="F201" s="31">
        <v>1</v>
      </c>
      <c r="G201" s="31" t="s">
        <v>171</v>
      </c>
      <c r="H201" s="32" t="s">
        <v>9</v>
      </c>
      <c r="I201" s="28">
        <v>45748</v>
      </c>
      <c r="J201" s="97">
        <v>2437</v>
      </c>
      <c r="K201" s="99">
        <f t="shared" si="6"/>
        <v>3193.5</v>
      </c>
      <c r="L201" s="97">
        <v>3950</v>
      </c>
      <c r="M201" s="76"/>
    </row>
    <row r="202" spans="1:13" x14ac:dyDescent="0.35">
      <c r="A202" s="43" t="s">
        <v>244</v>
      </c>
      <c r="B202" s="31" t="s">
        <v>358</v>
      </c>
      <c r="C202" s="16" t="s">
        <v>359</v>
      </c>
      <c r="D202" s="31" t="s">
        <v>245</v>
      </c>
      <c r="E202" s="31" t="s">
        <v>356</v>
      </c>
      <c r="F202" s="31">
        <v>1</v>
      </c>
      <c r="G202" s="31" t="s">
        <v>171</v>
      </c>
      <c r="H202" s="32" t="s">
        <v>9</v>
      </c>
      <c r="I202" s="28">
        <v>45748</v>
      </c>
      <c r="J202" s="97">
        <v>2437</v>
      </c>
      <c r="K202" s="99">
        <f t="shared" si="6"/>
        <v>3193.5</v>
      </c>
      <c r="L202" s="97">
        <v>3950</v>
      </c>
      <c r="M202" s="76"/>
    </row>
    <row r="203" spans="1:13" x14ac:dyDescent="0.35">
      <c r="A203" s="43" t="s">
        <v>246</v>
      </c>
      <c r="B203" s="31" t="s">
        <v>358</v>
      </c>
      <c r="C203" s="16" t="s">
        <v>359</v>
      </c>
      <c r="D203" s="31" t="s">
        <v>247</v>
      </c>
      <c r="E203" s="31" t="s">
        <v>356</v>
      </c>
      <c r="F203" s="31">
        <v>1</v>
      </c>
      <c r="G203" s="31" t="s">
        <v>171</v>
      </c>
      <c r="H203" s="32" t="s">
        <v>9</v>
      </c>
      <c r="I203" s="28">
        <v>45748</v>
      </c>
      <c r="J203" s="97">
        <v>2437</v>
      </c>
      <c r="K203" s="99">
        <f t="shared" si="6"/>
        <v>3193.5</v>
      </c>
      <c r="L203" s="97">
        <v>3950</v>
      </c>
      <c r="M203" s="76"/>
    </row>
    <row r="204" spans="1:13" x14ac:dyDescent="0.35">
      <c r="A204" s="43" t="s">
        <v>248</v>
      </c>
      <c r="B204" s="31" t="s">
        <v>358</v>
      </c>
      <c r="C204" s="16" t="s">
        <v>359</v>
      </c>
      <c r="D204" s="31" t="s">
        <v>249</v>
      </c>
      <c r="E204" s="31" t="s">
        <v>356</v>
      </c>
      <c r="F204" s="31">
        <v>1</v>
      </c>
      <c r="G204" s="31" t="s">
        <v>171</v>
      </c>
      <c r="H204" s="32" t="s">
        <v>9</v>
      </c>
      <c r="I204" s="28">
        <v>45748</v>
      </c>
      <c r="J204" s="97">
        <v>2437</v>
      </c>
      <c r="K204" s="99">
        <f t="shared" si="6"/>
        <v>3193.5</v>
      </c>
      <c r="L204" s="97">
        <v>3950</v>
      </c>
      <c r="M204" s="76"/>
    </row>
    <row r="205" spans="1:13" x14ac:dyDescent="0.35">
      <c r="A205" s="43" t="s">
        <v>250</v>
      </c>
      <c r="B205" s="31" t="s">
        <v>358</v>
      </c>
      <c r="C205" s="16" t="s">
        <v>359</v>
      </c>
      <c r="D205" s="31" t="s">
        <v>251</v>
      </c>
      <c r="E205" s="31" t="s">
        <v>356</v>
      </c>
      <c r="F205" s="31">
        <v>1</v>
      </c>
      <c r="G205" s="31" t="s">
        <v>171</v>
      </c>
      <c r="H205" s="32" t="s">
        <v>9</v>
      </c>
      <c r="I205" s="28">
        <v>45748</v>
      </c>
      <c r="J205" s="97">
        <v>2437</v>
      </c>
      <c r="K205" s="99">
        <f t="shared" si="6"/>
        <v>3193.5</v>
      </c>
      <c r="L205" s="97">
        <v>3950</v>
      </c>
      <c r="M205" s="76"/>
    </row>
    <row r="206" spans="1:13" x14ac:dyDescent="0.35">
      <c r="A206" s="43" t="s">
        <v>252</v>
      </c>
      <c r="B206" s="31" t="s">
        <v>358</v>
      </c>
      <c r="C206" s="16" t="s">
        <v>359</v>
      </c>
      <c r="D206" s="31" t="s">
        <v>253</v>
      </c>
      <c r="E206" s="31" t="s">
        <v>356</v>
      </c>
      <c r="F206" s="31">
        <v>1</v>
      </c>
      <c r="G206" s="31" t="s">
        <v>171</v>
      </c>
      <c r="H206" s="32" t="s">
        <v>9</v>
      </c>
      <c r="I206" s="28">
        <v>45748</v>
      </c>
      <c r="J206" s="97">
        <v>2437</v>
      </c>
      <c r="K206" s="99">
        <f t="shared" si="6"/>
        <v>3193.5</v>
      </c>
      <c r="L206" s="97">
        <v>3950</v>
      </c>
      <c r="M206" s="76"/>
    </row>
    <row r="207" spans="1:13" x14ac:dyDescent="0.35">
      <c r="A207" s="65"/>
      <c r="B207" s="22"/>
      <c r="C207" s="19"/>
      <c r="D207" s="22"/>
      <c r="E207" s="22"/>
      <c r="F207" s="66">
        <f>SUM(F166:F206)</f>
        <v>41</v>
      </c>
      <c r="G207" s="22"/>
      <c r="H207" s="22"/>
      <c r="I207" s="57"/>
      <c r="J207" s="49"/>
      <c r="K207" s="49"/>
      <c r="L207" s="49"/>
      <c r="M207" s="49"/>
    </row>
    <row r="208" spans="1:13" ht="16" thickBot="1" x14ac:dyDescent="0.4">
      <c r="A208" s="109" t="s">
        <v>424</v>
      </c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75"/>
    </row>
    <row r="209" spans="1:13" x14ac:dyDescent="0.35">
      <c r="A209" s="67" t="s">
        <v>378</v>
      </c>
      <c r="B209" s="33" t="s">
        <v>423</v>
      </c>
      <c r="C209" s="20" t="s">
        <v>422</v>
      </c>
      <c r="D209" s="43" t="s">
        <v>379</v>
      </c>
      <c r="E209" s="31" t="s">
        <v>356</v>
      </c>
      <c r="F209" s="43">
        <v>1</v>
      </c>
      <c r="G209" s="43" t="s">
        <v>362</v>
      </c>
      <c r="H209" s="31" t="s">
        <v>9</v>
      </c>
      <c r="I209" s="68">
        <v>45870</v>
      </c>
      <c r="J209" s="97">
        <v>2437</v>
      </c>
      <c r="K209" s="99">
        <f t="shared" ref="K209:K236" si="7">+(L209-J209)/2+J209</f>
        <v>3193.5</v>
      </c>
      <c r="L209" s="42">
        <v>3950</v>
      </c>
      <c r="M209" s="101" t="s">
        <v>425</v>
      </c>
    </row>
    <row r="210" spans="1:13" x14ac:dyDescent="0.35">
      <c r="A210" s="67" t="s">
        <v>380</v>
      </c>
      <c r="B210" s="33" t="s">
        <v>423</v>
      </c>
      <c r="C210" s="20" t="s">
        <v>422</v>
      </c>
      <c r="D210" s="43" t="s">
        <v>381</v>
      </c>
      <c r="E210" s="31" t="s">
        <v>356</v>
      </c>
      <c r="F210" s="43">
        <v>1</v>
      </c>
      <c r="G210" s="43" t="s">
        <v>362</v>
      </c>
      <c r="H210" s="31" t="s">
        <v>9</v>
      </c>
      <c r="I210" s="68">
        <v>45870</v>
      </c>
      <c r="J210" s="97">
        <v>2437</v>
      </c>
      <c r="K210" s="99">
        <f t="shared" si="7"/>
        <v>3193.5</v>
      </c>
      <c r="L210" s="42">
        <v>3950</v>
      </c>
      <c r="M210" s="102"/>
    </row>
    <row r="211" spans="1:13" x14ac:dyDescent="0.35">
      <c r="A211" s="67" t="s">
        <v>382</v>
      </c>
      <c r="B211" s="33" t="s">
        <v>423</v>
      </c>
      <c r="C211" s="20" t="s">
        <v>422</v>
      </c>
      <c r="D211" s="43" t="s">
        <v>383</v>
      </c>
      <c r="E211" s="31" t="s">
        <v>356</v>
      </c>
      <c r="F211" s="43">
        <v>1</v>
      </c>
      <c r="G211" s="43" t="s">
        <v>362</v>
      </c>
      <c r="H211" s="31" t="s">
        <v>9</v>
      </c>
      <c r="I211" s="68">
        <v>45870</v>
      </c>
      <c r="J211" s="97">
        <v>2437</v>
      </c>
      <c r="K211" s="99">
        <f t="shared" si="7"/>
        <v>3193.5</v>
      </c>
      <c r="L211" s="42">
        <v>3950</v>
      </c>
      <c r="M211" s="102"/>
    </row>
    <row r="212" spans="1:13" x14ac:dyDescent="0.35">
      <c r="A212" s="67" t="s">
        <v>384</v>
      </c>
      <c r="B212" s="33" t="s">
        <v>423</v>
      </c>
      <c r="C212" s="20" t="s">
        <v>422</v>
      </c>
      <c r="D212" s="43" t="s">
        <v>385</v>
      </c>
      <c r="E212" s="31" t="s">
        <v>356</v>
      </c>
      <c r="F212" s="43">
        <v>1</v>
      </c>
      <c r="G212" s="43" t="s">
        <v>362</v>
      </c>
      <c r="H212" s="31" t="s">
        <v>9</v>
      </c>
      <c r="I212" s="68">
        <v>45870</v>
      </c>
      <c r="J212" s="97">
        <v>2437</v>
      </c>
      <c r="K212" s="99">
        <f t="shared" si="7"/>
        <v>3193.5</v>
      </c>
      <c r="L212" s="42">
        <v>3950</v>
      </c>
      <c r="M212" s="102"/>
    </row>
    <row r="213" spans="1:13" x14ac:dyDescent="0.35">
      <c r="A213" s="67" t="s">
        <v>386</v>
      </c>
      <c r="B213" s="33" t="s">
        <v>423</v>
      </c>
      <c r="C213" s="20" t="s">
        <v>422</v>
      </c>
      <c r="D213" s="43" t="s">
        <v>387</v>
      </c>
      <c r="E213" s="31" t="s">
        <v>356</v>
      </c>
      <c r="F213" s="43">
        <v>1</v>
      </c>
      <c r="G213" s="43" t="s">
        <v>362</v>
      </c>
      <c r="H213" s="31" t="s">
        <v>9</v>
      </c>
      <c r="I213" s="68">
        <v>45870</v>
      </c>
      <c r="J213" s="97">
        <v>2437</v>
      </c>
      <c r="K213" s="99">
        <f t="shared" si="7"/>
        <v>3193.5</v>
      </c>
      <c r="L213" s="42">
        <v>3950</v>
      </c>
      <c r="M213" s="102"/>
    </row>
    <row r="214" spans="1:13" x14ac:dyDescent="0.35">
      <c r="A214" s="67" t="s">
        <v>388</v>
      </c>
      <c r="B214" s="33" t="s">
        <v>423</v>
      </c>
      <c r="C214" s="20" t="s">
        <v>422</v>
      </c>
      <c r="D214" s="43" t="s">
        <v>389</v>
      </c>
      <c r="E214" s="31" t="s">
        <v>356</v>
      </c>
      <c r="F214" s="43">
        <v>1</v>
      </c>
      <c r="G214" s="43" t="s">
        <v>362</v>
      </c>
      <c r="H214" s="31" t="s">
        <v>9</v>
      </c>
      <c r="I214" s="68">
        <v>45870</v>
      </c>
      <c r="J214" s="97">
        <v>2437</v>
      </c>
      <c r="K214" s="99">
        <f t="shared" si="7"/>
        <v>3193.5</v>
      </c>
      <c r="L214" s="42">
        <v>3950</v>
      </c>
      <c r="M214" s="102"/>
    </row>
    <row r="215" spans="1:13" x14ac:dyDescent="0.35">
      <c r="A215" s="67" t="s">
        <v>390</v>
      </c>
      <c r="B215" s="33" t="s">
        <v>423</v>
      </c>
      <c r="C215" s="20" t="s">
        <v>422</v>
      </c>
      <c r="D215" s="43" t="s">
        <v>391</v>
      </c>
      <c r="E215" s="31" t="s">
        <v>356</v>
      </c>
      <c r="F215" s="43">
        <v>1</v>
      </c>
      <c r="G215" s="43" t="s">
        <v>362</v>
      </c>
      <c r="H215" s="31" t="s">
        <v>9</v>
      </c>
      <c r="I215" s="68">
        <v>45870</v>
      </c>
      <c r="J215" s="97">
        <v>2437</v>
      </c>
      <c r="K215" s="99">
        <f t="shared" si="7"/>
        <v>3193.5</v>
      </c>
      <c r="L215" s="42">
        <v>3950</v>
      </c>
      <c r="M215" s="102"/>
    </row>
    <row r="216" spans="1:13" x14ac:dyDescent="0.35">
      <c r="A216" s="67" t="s">
        <v>392</v>
      </c>
      <c r="B216" s="33" t="s">
        <v>423</v>
      </c>
      <c r="C216" s="20" t="s">
        <v>422</v>
      </c>
      <c r="D216" s="43" t="s">
        <v>393</v>
      </c>
      <c r="E216" s="31" t="s">
        <v>356</v>
      </c>
      <c r="F216" s="43">
        <v>1</v>
      </c>
      <c r="G216" s="43" t="s">
        <v>362</v>
      </c>
      <c r="H216" s="31" t="s">
        <v>9</v>
      </c>
      <c r="I216" s="68">
        <v>45870</v>
      </c>
      <c r="J216" s="97">
        <v>2437</v>
      </c>
      <c r="K216" s="99">
        <f t="shared" si="7"/>
        <v>3193.5</v>
      </c>
      <c r="L216" s="42">
        <v>3950</v>
      </c>
      <c r="M216" s="102"/>
    </row>
    <row r="217" spans="1:13" x14ac:dyDescent="0.35">
      <c r="A217" s="67" t="s">
        <v>394</v>
      </c>
      <c r="B217" s="33" t="s">
        <v>423</v>
      </c>
      <c r="C217" s="20" t="s">
        <v>422</v>
      </c>
      <c r="D217" s="43" t="s">
        <v>395</v>
      </c>
      <c r="E217" s="31" t="s">
        <v>356</v>
      </c>
      <c r="F217" s="43">
        <v>1</v>
      </c>
      <c r="G217" s="43" t="s">
        <v>362</v>
      </c>
      <c r="H217" s="31" t="s">
        <v>9</v>
      </c>
      <c r="I217" s="68">
        <v>45870</v>
      </c>
      <c r="J217" s="97">
        <v>2437</v>
      </c>
      <c r="K217" s="99">
        <f t="shared" si="7"/>
        <v>3193.5</v>
      </c>
      <c r="L217" s="42">
        <v>3950</v>
      </c>
      <c r="M217" s="102"/>
    </row>
    <row r="218" spans="1:13" x14ac:dyDescent="0.35">
      <c r="A218" s="67" t="s">
        <v>396</v>
      </c>
      <c r="B218" s="33" t="s">
        <v>423</v>
      </c>
      <c r="C218" s="20" t="s">
        <v>422</v>
      </c>
      <c r="D218" s="43" t="s">
        <v>397</v>
      </c>
      <c r="E218" s="31" t="s">
        <v>356</v>
      </c>
      <c r="F218" s="43">
        <v>1</v>
      </c>
      <c r="G218" s="43" t="s">
        <v>362</v>
      </c>
      <c r="H218" s="31" t="s">
        <v>9</v>
      </c>
      <c r="I218" s="68">
        <v>45870</v>
      </c>
      <c r="J218" s="97">
        <v>2437</v>
      </c>
      <c r="K218" s="99">
        <f t="shared" si="7"/>
        <v>3193.5</v>
      </c>
      <c r="L218" s="42">
        <v>3950</v>
      </c>
      <c r="M218" s="102"/>
    </row>
    <row r="219" spans="1:13" x14ac:dyDescent="0.35">
      <c r="A219" s="67" t="s">
        <v>398</v>
      </c>
      <c r="B219" s="33" t="s">
        <v>423</v>
      </c>
      <c r="C219" s="20" t="s">
        <v>422</v>
      </c>
      <c r="D219" s="43" t="s">
        <v>399</v>
      </c>
      <c r="E219" s="31" t="s">
        <v>356</v>
      </c>
      <c r="F219" s="43">
        <v>1</v>
      </c>
      <c r="G219" s="43" t="s">
        <v>362</v>
      </c>
      <c r="H219" s="31" t="s">
        <v>9</v>
      </c>
      <c r="I219" s="68">
        <v>45870</v>
      </c>
      <c r="J219" s="97">
        <v>2437</v>
      </c>
      <c r="K219" s="99">
        <f t="shared" si="7"/>
        <v>3193.5</v>
      </c>
      <c r="L219" s="42">
        <v>3950</v>
      </c>
      <c r="M219" s="102"/>
    </row>
    <row r="220" spans="1:13" x14ac:dyDescent="0.35">
      <c r="A220" s="67" t="s">
        <v>400</v>
      </c>
      <c r="B220" s="33" t="s">
        <v>423</v>
      </c>
      <c r="C220" s="20" t="s">
        <v>422</v>
      </c>
      <c r="D220" s="43" t="s">
        <v>401</v>
      </c>
      <c r="E220" s="31" t="s">
        <v>356</v>
      </c>
      <c r="F220" s="43">
        <v>1</v>
      </c>
      <c r="G220" s="43" t="s">
        <v>362</v>
      </c>
      <c r="H220" s="31" t="s">
        <v>9</v>
      </c>
      <c r="I220" s="68">
        <v>45870</v>
      </c>
      <c r="J220" s="97">
        <v>2437</v>
      </c>
      <c r="K220" s="99">
        <f t="shared" si="7"/>
        <v>3193.5</v>
      </c>
      <c r="L220" s="42">
        <v>3950</v>
      </c>
      <c r="M220" s="102"/>
    </row>
    <row r="221" spans="1:13" x14ac:dyDescent="0.35">
      <c r="A221" s="67" t="s">
        <v>402</v>
      </c>
      <c r="B221" s="33" t="s">
        <v>423</v>
      </c>
      <c r="C221" s="20" t="s">
        <v>422</v>
      </c>
      <c r="D221" s="43" t="s">
        <v>403</v>
      </c>
      <c r="E221" s="31" t="s">
        <v>356</v>
      </c>
      <c r="F221" s="43">
        <v>1</v>
      </c>
      <c r="G221" s="43" t="s">
        <v>362</v>
      </c>
      <c r="H221" s="31" t="s">
        <v>9</v>
      </c>
      <c r="I221" s="68">
        <v>45870</v>
      </c>
      <c r="J221" s="97">
        <v>2437</v>
      </c>
      <c r="K221" s="99">
        <f t="shared" si="7"/>
        <v>3193.5</v>
      </c>
      <c r="L221" s="42">
        <v>3950</v>
      </c>
      <c r="M221" s="102"/>
    </row>
    <row r="222" spans="1:13" x14ac:dyDescent="0.35">
      <c r="A222" s="67" t="s">
        <v>404</v>
      </c>
      <c r="B222" s="33" t="s">
        <v>423</v>
      </c>
      <c r="C222" s="20" t="s">
        <v>422</v>
      </c>
      <c r="D222" s="43" t="s">
        <v>405</v>
      </c>
      <c r="E222" s="31" t="s">
        <v>356</v>
      </c>
      <c r="F222" s="43">
        <v>1</v>
      </c>
      <c r="G222" s="43" t="s">
        <v>362</v>
      </c>
      <c r="H222" s="31" t="s">
        <v>9</v>
      </c>
      <c r="I222" s="68">
        <v>45870</v>
      </c>
      <c r="J222" s="97">
        <v>2437</v>
      </c>
      <c r="K222" s="99">
        <f t="shared" si="7"/>
        <v>3193.5</v>
      </c>
      <c r="L222" s="42">
        <v>3950</v>
      </c>
      <c r="M222" s="102"/>
    </row>
    <row r="223" spans="1:13" x14ac:dyDescent="0.35">
      <c r="A223" s="67" t="s">
        <v>406</v>
      </c>
      <c r="B223" s="33" t="s">
        <v>423</v>
      </c>
      <c r="C223" s="20" t="s">
        <v>422</v>
      </c>
      <c r="D223" s="43" t="s">
        <v>407</v>
      </c>
      <c r="E223" s="31" t="s">
        <v>356</v>
      </c>
      <c r="F223" s="43">
        <v>1</v>
      </c>
      <c r="G223" s="43" t="s">
        <v>362</v>
      </c>
      <c r="H223" s="31" t="s">
        <v>9</v>
      </c>
      <c r="I223" s="68">
        <v>45870</v>
      </c>
      <c r="J223" s="97">
        <v>2437</v>
      </c>
      <c r="K223" s="99">
        <f t="shared" si="7"/>
        <v>3193.5</v>
      </c>
      <c r="L223" s="42">
        <v>3950</v>
      </c>
      <c r="M223" s="102"/>
    </row>
    <row r="224" spans="1:13" x14ac:dyDescent="0.35">
      <c r="A224" s="67" t="s">
        <v>408</v>
      </c>
      <c r="B224" s="33" t="s">
        <v>423</v>
      </c>
      <c r="C224" s="20" t="s">
        <v>422</v>
      </c>
      <c r="D224" s="43" t="s">
        <v>409</v>
      </c>
      <c r="E224" s="31" t="s">
        <v>356</v>
      </c>
      <c r="F224" s="43">
        <v>1</v>
      </c>
      <c r="G224" s="43" t="s">
        <v>362</v>
      </c>
      <c r="H224" s="31" t="s">
        <v>9</v>
      </c>
      <c r="I224" s="68">
        <v>45870</v>
      </c>
      <c r="J224" s="97">
        <v>2437</v>
      </c>
      <c r="K224" s="99">
        <f t="shared" si="7"/>
        <v>3193.5</v>
      </c>
      <c r="L224" s="42">
        <v>3950</v>
      </c>
      <c r="M224" s="102"/>
    </row>
    <row r="225" spans="1:13" x14ac:dyDescent="0.35">
      <c r="A225" s="67" t="s">
        <v>410</v>
      </c>
      <c r="B225" s="33" t="s">
        <v>423</v>
      </c>
      <c r="C225" s="20" t="s">
        <v>422</v>
      </c>
      <c r="D225" s="43" t="s">
        <v>411</v>
      </c>
      <c r="E225" s="31" t="s">
        <v>356</v>
      </c>
      <c r="F225" s="43">
        <v>1</v>
      </c>
      <c r="G225" s="43" t="s">
        <v>362</v>
      </c>
      <c r="H225" s="31" t="s">
        <v>9</v>
      </c>
      <c r="I225" s="68">
        <v>45870</v>
      </c>
      <c r="J225" s="97">
        <v>2437</v>
      </c>
      <c r="K225" s="99">
        <f t="shared" si="7"/>
        <v>3193.5</v>
      </c>
      <c r="L225" s="42">
        <v>3950</v>
      </c>
      <c r="M225" s="102"/>
    </row>
    <row r="226" spans="1:13" x14ac:dyDescent="0.35">
      <c r="A226" s="67" t="s">
        <v>412</v>
      </c>
      <c r="B226" s="33" t="s">
        <v>423</v>
      </c>
      <c r="C226" s="20" t="s">
        <v>422</v>
      </c>
      <c r="D226" s="43" t="s">
        <v>413</v>
      </c>
      <c r="E226" s="31" t="s">
        <v>356</v>
      </c>
      <c r="F226" s="43">
        <v>1</v>
      </c>
      <c r="G226" s="43" t="s">
        <v>362</v>
      </c>
      <c r="H226" s="31" t="s">
        <v>9</v>
      </c>
      <c r="I226" s="68">
        <v>45870</v>
      </c>
      <c r="J226" s="97">
        <v>2437</v>
      </c>
      <c r="K226" s="99">
        <f t="shared" si="7"/>
        <v>3193.5</v>
      </c>
      <c r="L226" s="42">
        <v>3950</v>
      </c>
      <c r="M226" s="102"/>
    </row>
    <row r="227" spans="1:13" x14ac:dyDescent="0.35">
      <c r="A227" s="67" t="s">
        <v>414</v>
      </c>
      <c r="B227" s="33" t="s">
        <v>423</v>
      </c>
      <c r="C227" s="20" t="s">
        <v>422</v>
      </c>
      <c r="D227" s="43" t="s">
        <v>415</v>
      </c>
      <c r="E227" s="31" t="s">
        <v>356</v>
      </c>
      <c r="F227" s="43">
        <v>1</v>
      </c>
      <c r="G227" s="43" t="s">
        <v>362</v>
      </c>
      <c r="H227" s="31" t="s">
        <v>9</v>
      </c>
      <c r="I227" s="68">
        <v>45870</v>
      </c>
      <c r="J227" s="97">
        <v>2437</v>
      </c>
      <c r="K227" s="99">
        <f t="shared" si="7"/>
        <v>3193.5</v>
      </c>
      <c r="L227" s="42">
        <v>3950</v>
      </c>
      <c r="M227" s="102"/>
    </row>
    <row r="228" spans="1:13" x14ac:dyDescent="0.35">
      <c r="A228" s="67" t="s">
        <v>416</v>
      </c>
      <c r="B228" s="33" t="s">
        <v>423</v>
      </c>
      <c r="C228" s="20" t="s">
        <v>422</v>
      </c>
      <c r="D228" s="43" t="s">
        <v>417</v>
      </c>
      <c r="E228" s="31" t="s">
        <v>356</v>
      </c>
      <c r="F228" s="43">
        <v>1</v>
      </c>
      <c r="G228" s="43" t="s">
        <v>362</v>
      </c>
      <c r="H228" s="31" t="s">
        <v>9</v>
      </c>
      <c r="I228" s="68">
        <v>45870</v>
      </c>
      <c r="J228" s="97">
        <v>2437</v>
      </c>
      <c r="K228" s="99">
        <f t="shared" si="7"/>
        <v>3193.5</v>
      </c>
      <c r="L228" s="42">
        <v>3950</v>
      </c>
      <c r="M228" s="102"/>
    </row>
    <row r="229" spans="1:13" x14ac:dyDescent="0.35">
      <c r="A229" s="67" t="s">
        <v>418</v>
      </c>
      <c r="B229" s="33" t="s">
        <v>423</v>
      </c>
      <c r="C229" s="20" t="s">
        <v>422</v>
      </c>
      <c r="D229" s="43" t="s">
        <v>419</v>
      </c>
      <c r="E229" s="31" t="s">
        <v>356</v>
      </c>
      <c r="F229" s="43">
        <v>1</v>
      </c>
      <c r="G229" s="43" t="s">
        <v>362</v>
      </c>
      <c r="H229" s="31" t="s">
        <v>9</v>
      </c>
      <c r="I229" s="68">
        <v>45870</v>
      </c>
      <c r="J229" s="97">
        <v>2437</v>
      </c>
      <c r="K229" s="99">
        <f t="shared" si="7"/>
        <v>3193.5</v>
      </c>
      <c r="L229" s="42">
        <v>3950</v>
      </c>
      <c r="M229" s="102"/>
    </row>
    <row r="230" spans="1:13" ht="15" thickBot="1" x14ac:dyDescent="0.4">
      <c r="A230" s="67" t="s">
        <v>420</v>
      </c>
      <c r="B230" s="33" t="s">
        <v>423</v>
      </c>
      <c r="C230" s="20" t="s">
        <v>422</v>
      </c>
      <c r="D230" s="43" t="s">
        <v>421</v>
      </c>
      <c r="E230" s="31" t="s">
        <v>356</v>
      </c>
      <c r="F230" s="43">
        <v>1</v>
      </c>
      <c r="G230" s="43" t="s">
        <v>362</v>
      </c>
      <c r="H230" s="31" t="s">
        <v>9</v>
      </c>
      <c r="I230" s="68">
        <v>45870</v>
      </c>
      <c r="J230" s="97">
        <v>2437</v>
      </c>
      <c r="K230" s="99">
        <f t="shared" si="7"/>
        <v>3193.5</v>
      </c>
      <c r="L230" s="42">
        <v>3950</v>
      </c>
      <c r="M230" s="103"/>
    </row>
    <row r="231" spans="1:13" x14ac:dyDescent="0.25">
      <c r="A231" s="80" t="s">
        <v>427</v>
      </c>
      <c r="B231" s="33" t="s">
        <v>423</v>
      </c>
      <c r="C231" s="20" t="s">
        <v>422</v>
      </c>
      <c r="D231" s="43" t="s">
        <v>428</v>
      </c>
      <c r="E231" s="78" t="s">
        <v>356</v>
      </c>
      <c r="F231" s="79">
        <v>1</v>
      </c>
      <c r="G231" s="82" t="s">
        <v>362</v>
      </c>
      <c r="H231" s="83" t="s">
        <v>334</v>
      </c>
      <c r="I231" s="84">
        <v>45870</v>
      </c>
      <c r="J231" s="97">
        <v>2437</v>
      </c>
      <c r="K231" s="99">
        <f t="shared" si="7"/>
        <v>3193.5</v>
      </c>
      <c r="L231" s="42">
        <v>3950</v>
      </c>
      <c r="M231" s="101" t="s">
        <v>439</v>
      </c>
    </row>
    <row r="232" spans="1:13" x14ac:dyDescent="0.25">
      <c r="A232" s="80" t="s">
        <v>429</v>
      </c>
      <c r="B232" s="33" t="s">
        <v>423</v>
      </c>
      <c r="C232" s="20" t="s">
        <v>422</v>
      </c>
      <c r="D232" s="43" t="s">
        <v>430</v>
      </c>
      <c r="E232" s="78" t="s">
        <v>356</v>
      </c>
      <c r="F232" s="79">
        <v>1</v>
      </c>
      <c r="G232" s="82" t="s">
        <v>362</v>
      </c>
      <c r="H232" s="83" t="s">
        <v>334</v>
      </c>
      <c r="I232" s="84">
        <v>45870</v>
      </c>
      <c r="J232" s="97">
        <v>2437</v>
      </c>
      <c r="K232" s="99">
        <f t="shared" si="7"/>
        <v>3193.5</v>
      </c>
      <c r="L232" s="42">
        <v>3950</v>
      </c>
      <c r="M232" s="102"/>
    </row>
    <row r="233" spans="1:13" x14ac:dyDescent="0.25">
      <c r="A233" s="80" t="s">
        <v>431</v>
      </c>
      <c r="B233" s="33" t="s">
        <v>423</v>
      </c>
      <c r="C233" s="20" t="s">
        <v>422</v>
      </c>
      <c r="D233" s="43" t="s">
        <v>432</v>
      </c>
      <c r="E233" s="78" t="s">
        <v>356</v>
      </c>
      <c r="F233" s="79">
        <v>1</v>
      </c>
      <c r="G233" s="82" t="s">
        <v>362</v>
      </c>
      <c r="H233" s="83" t="s">
        <v>334</v>
      </c>
      <c r="I233" s="84">
        <v>45870</v>
      </c>
      <c r="J233" s="97">
        <v>2437</v>
      </c>
      <c r="K233" s="99">
        <f t="shared" si="7"/>
        <v>3193.5</v>
      </c>
      <c r="L233" s="42">
        <v>3950</v>
      </c>
      <c r="M233" s="102"/>
    </row>
    <row r="234" spans="1:13" x14ac:dyDescent="0.25">
      <c r="A234" s="80" t="s">
        <v>433</v>
      </c>
      <c r="B234" s="33" t="s">
        <v>423</v>
      </c>
      <c r="C234" s="20" t="s">
        <v>422</v>
      </c>
      <c r="D234" s="43" t="s">
        <v>434</v>
      </c>
      <c r="E234" s="78" t="s">
        <v>356</v>
      </c>
      <c r="F234" s="79">
        <v>1</v>
      </c>
      <c r="G234" s="82" t="s">
        <v>362</v>
      </c>
      <c r="H234" s="83" t="s">
        <v>334</v>
      </c>
      <c r="I234" s="84">
        <v>45870</v>
      </c>
      <c r="J234" s="97">
        <v>2437</v>
      </c>
      <c r="K234" s="99">
        <f t="shared" si="7"/>
        <v>3193.5</v>
      </c>
      <c r="L234" s="42">
        <v>3950</v>
      </c>
      <c r="M234" s="102"/>
    </row>
    <row r="235" spans="1:13" x14ac:dyDescent="0.25">
      <c r="A235" s="80" t="s">
        <v>435</v>
      </c>
      <c r="B235" s="33" t="s">
        <v>423</v>
      </c>
      <c r="C235" s="20" t="s">
        <v>422</v>
      </c>
      <c r="D235" s="43" t="s">
        <v>436</v>
      </c>
      <c r="E235" s="78" t="s">
        <v>356</v>
      </c>
      <c r="F235" s="79">
        <v>1</v>
      </c>
      <c r="G235" s="82" t="s">
        <v>362</v>
      </c>
      <c r="H235" s="83" t="s">
        <v>334</v>
      </c>
      <c r="I235" s="84">
        <v>45870</v>
      </c>
      <c r="J235" s="97">
        <v>2437</v>
      </c>
      <c r="K235" s="99">
        <f t="shared" si="7"/>
        <v>3193.5</v>
      </c>
      <c r="L235" s="42">
        <v>3950</v>
      </c>
      <c r="M235" s="102"/>
    </row>
    <row r="236" spans="1:13" ht="15" thickBot="1" x14ac:dyDescent="0.3">
      <c r="A236" s="80" t="s">
        <v>437</v>
      </c>
      <c r="B236" s="33" t="s">
        <v>423</v>
      </c>
      <c r="C236" s="20" t="s">
        <v>422</v>
      </c>
      <c r="D236" s="43" t="s">
        <v>438</v>
      </c>
      <c r="E236" s="78" t="s">
        <v>356</v>
      </c>
      <c r="F236" s="79">
        <v>1</v>
      </c>
      <c r="G236" s="82" t="s">
        <v>362</v>
      </c>
      <c r="H236" s="83" t="s">
        <v>334</v>
      </c>
      <c r="I236" s="84">
        <v>45870</v>
      </c>
      <c r="J236" s="97">
        <v>2437</v>
      </c>
      <c r="K236" s="99">
        <f t="shared" si="7"/>
        <v>3193.5</v>
      </c>
      <c r="L236" s="42">
        <v>3950</v>
      </c>
      <c r="M236" s="103"/>
    </row>
    <row r="237" spans="1:13" x14ac:dyDescent="0.35">
      <c r="F237" s="66">
        <f>SUM(F209:F236)</f>
        <v>28</v>
      </c>
    </row>
  </sheetData>
  <autoFilter ref="B2:I237" xr:uid="{F784CBC0-4995-4319-B847-2E83EA58CCA0}"/>
  <mergeCells count="13">
    <mergeCell ref="M231:M236"/>
    <mergeCell ref="M209:M230"/>
    <mergeCell ref="M104:M125"/>
    <mergeCell ref="M91:M100"/>
    <mergeCell ref="C1:F1"/>
    <mergeCell ref="A23:L23"/>
    <mergeCell ref="A4:L4"/>
    <mergeCell ref="A63:L63"/>
    <mergeCell ref="A102:L102"/>
    <mergeCell ref="A127:L127"/>
    <mergeCell ref="A165:L165"/>
    <mergeCell ref="A73:L73"/>
    <mergeCell ref="A208:L208"/>
  </mergeCells>
  <phoneticPr fontId="11" type="noConversion"/>
  <pageMargins left="0.25" right="0.25" top="0.75" bottom="0.75" header="0.3" footer="0.3"/>
  <pageSetup paperSize="9" scale="41" fitToHeight="0" orientation="portrait" r:id="rId1"/>
  <rowBreaks count="2" manualBreakCount="2">
    <brk id="72" max="10" man="1"/>
    <brk id="164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D39E-B07F-4300-8EF2-C5BBBC552017}">
  <sheetPr>
    <pageSetUpPr fitToPage="1"/>
  </sheetPr>
  <dimension ref="B1:H19"/>
  <sheetViews>
    <sheetView view="pageBreakPreview" zoomScale="74" zoomScaleNormal="70" zoomScaleSheetLayoutView="85" workbookViewId="0">
      <selection activeCell="I9" sqref="I9"/>
    </sheetView>
  </sheetViews>
  <sheetFormatPr baseColWidth="10" defaultRowHeight="14.5" x14ac:dyDescent="0.35"/>
  <cols>
    <col min="1" max="1" width="3.81640625" customWidth="1"/>
    <col min="6" max="6" width="30.453125" bestFit="1" customWidth="1"/>
    <col min="7" max="7" width="14.1796875" customWidth="1"/>
    <col min="8" max="8" width="7.453125" hidden="1" customWidth="1"/>
  </cols>
  <sheetData>
    <row r="1" spans="2:8" x14ac:dyDescent="0.35">
      <c r="G1" s="14">
        <f>'RESUMEN GENERAL LG'!I1</f>
        <v>45944</v>
      </c>
    </row>
    <row r="2" spans="2:8" x14ac:dyDescent="0.35">
      <c r="B2" s="113" t="s">
        <v>510</v>
      </c>
      <c r="C2" s="113"/>
      <c r="D2" s="113"/>
      <c r="E2" s="113"/>
      <c r="F2" s="113"/>
      <c r="G2" s="113"/>
    </row>
    <row r="3" spans="2:8" x14ac:dyDescent="0.35">
      <c r="B3" s="2"/>
      <c r="C3" s="2"/>
      <c r="D3" s="2"/>
      <c r="E3" s="1"/>
      <c r="F3" s="2"/>
    </row>
    <row r="4" spans="2:8" x14ac:dyDescent="0.35">
      <c r="B4" s="115" t="s">
        <v>365</v>
      </c>
      <c r="C4" s="116"/>
      <c r="D4" s="116"/>
      <c r="E4" s="116"/>
      <c r="F4" s="116"/>
      <c r="G4" s="116"/>
      <c r="H4" s="116"/>
    </row>
    <row r="5" spans="2:8" x14ac:dyDescent="0.35">
      <c r="B5" s="2"/>
      <c r="C5" s="2"/>
      <c r="D5" s="2"/>
      <c r="E5" s="1"/>
      <c r="F5" s="2"/>
    </row>
    <row r="6" spans="2:8" ht="29" x14ac:dyDescent="0.35">
      <c r="B6" s="3" t="s">
        <v>363</v>
      </c>
      <c r="C6" s="3" t="s">
        <v>3</v>
      </c>
      <c r="D6" s="4" t="s">
        <v>364</v>
      </c>
      <c r="E6" s="4" t="s">
        <v>5</v>
      </c>
      <c r="F6" s="4" t="s">
        <v>4</v>
      </c>
      <c r="G6" s="4" t="s">
        <v>336</v>
      </c>
      <c r="H6" s="4" t="s">
        <v>368</v>
      </c>
    </row>
    <row r="7" spans="2:8" x14ac:dyDescent="0.35">
      <c r="B7" s="5">
        <v>2</v>
      </c>
      <c r="C7" s="5">
        <f>'RESUMEN GENERAL LG'!F3</f>
        <v>1</v>
      </c>
      <c r="D7" s="5">
        <v>0</v>
      </c>
      <c r="E7" s="6" t="s">
        <v>8</v>
      </c>
      <c r="F7" s="6" t="s">
        <v>366</v>
      </c>
      <c r="G7" s="7" t="s">
        <v>338</v>
      </c>
      <c r="H7" s="9">
        <v>45047</v>
      </c>
    </row>
    <row r="8" spans="2:8" x14ac:dyDescent="0.35">
      <c r="B8" s="5">
        <v>4</v>
      </c>
      <c r="C8" s="7">
        <f>'RESUMEN GENERAL LG'!F22</f>
        <v>17</v>
      </c>
      <c r="D8" s="8">
        <v>0</v>
      </c>
      <c r="E8" s="6" t="s">
        <v>8</v>
      </c>
      <c r="F8" s="7" t="s">
        <v>340</v>
      </c>
      <c r="G8" s="7" t="s">
        <v>337</v>
      </c>
      <c r="H8" s="9">
        <v>45047</v>
      </c>
    </row>
    <row r="9" spans="2:8" x14ac:dyDescent="0.35">
      <c r="B9" s="5">
        <v>5</v>
      </c>
      <c r="C9" s="7">
        <f>'RESUMEN GENERAL LG'!F62</f>
        <v>38</v>
      </c>
      <c r="D9" s="8">
        <v>0</v>
      </c>
      <c r="E9" s="6" t="s">
        <v>8</v>
      </c>
      <c r="F9" s="7" t="s">
        <v>367</v>
      </c>
      <c r="G9" s="7" t="s">
        <v>337</v>
      </c>
      <c r="H9" s="9">
        <v>45047</v>
      </c>
    </row>
    <row r="10" spans="2:8" x14ac:dyDescent="0.35">
      <c r="B10" s="5">
        <v>6</v>
      </c>
      <c r="C10" s="7">
        <f>'RESUMEN GENERAL LG'!F72</f>
        <v>8</v>
      </c>
      <c r="D10" s="7">
        <v>0</v>
      </c>
      <c r="E10" s="6" t="s">
        <v>8</v>
      </c>
      <c r="F10" s="7" t="s">
        <v>369</v>
      </c>
      <c r="G10" s="7" t="s">
        <v>338</v>
      </c>
      <c r="H10" s="9">
        <v>45261</v>
      </c>
    </row>
    <row r="11" spans="2:8" ht="15" thickBot="1" x14ac:dyDescent="0.4">
      <c r="B11" s="5">
        <v>7</v>
      </c>
      <c r="C11" s="7">
        <f>'RESUMEN GENERAL LG'!F101</f>
        <v>27</v>
      </c>
      <c r="D11" s="7">
        <v>0</v>
      </c>
      <c r="E11" s="6" t="s">
        <v>8</v>
      </c>
      <c r="F11" s="7" t="s">
        <v>360</v>
      </c>
      <c r="G11" s="7" t="s">
        <v>338</v>
      </c>
      <c r="H11" s="9">
        <v>45566</v>
      </c>
    </row>
    <row r="12" spans="2:8" ht="26.25" customHeight="1" thickBot="1" x14ac:dyDescent="0.4">
      <c r="B12" s="2"/>
      <c r="C12" s="12">
        <f>SUM(C7:C11)</f>
        <v>91</v>
      </c>
      <c r="D12" s="13">
        <f>SUM(D7:D11)</f>
        <v>0</v>
      </c>
      <c r="E12" s="2"/>
      <c r="F12" s="2"/>
    </row>
    <row r="13" spans="2:8" x14ac:dyDescent="0.35">
      <c r="B13" s="114" t="s">
        <v>372</v>
      </c>
      <c r="C13" s="114"/>
      <c r="D13" s="114"/>
      <c r="E13" s="114"/>
      <c r="F13" s="114"/>
      <c r="G13" s="114"/>
      <c r="H13" s="114"/>
    </row>
    <row r="14" spans="2:8" ht="29" x14ac:dyDescent="0.35">
      <c r="B14" s="3" t="s">
        <v>363</v>
      </c>
      <c r="C14" s="3" t="s">
        <v>3</v>
      </c>
      <c r="D14" s="4" t="s">
        <v>364</v>
      </c>
      <c r="E14" s="4" t="s">
        <v>5</v>
      </c>
      <c r="F14" s="4" t="s">
        <v>4</v>
      </c>
      <c r="G14" s="4" t="s">
        <v>336</v>
      </c>
      <c r="H14" s="4" t="s">
        <v>368</v>
      </c>
    </row>
    <row r="15" spans="2:8" x14ac:dyDescent="0.35">
      <c r="B15" s="5">
        <v>1</v>
      </c>
      <c r="C15" s="5">
        <f>'RESUMEN GENERAL LG'!F126</f>
        <v>23</v>
      </c>
      <c r="D15" s="5">
        <v>0</v>
      </c>
      <c r="E15" s="6" t="s">
        <v>8</v>
      </c>
      <c r="F15" s="6" t="s">
        <v>370</v>
      </c>
      <c r="G15" s="7" t="s">
        <v>349</v>
      </c>
      <c r="H15" s="9">
        <v>45444</v>
      </c>
    </row>
    <row r="16" spans="2:8" x14ac:dyDescent="0.35">
      <c r="B16" s="5">
        <v>2</v>
      </c>
      <c r="C16" s="5">
        <f>'RESUMEN GENERAL LG'!F164</f>
        <v>36</v>
      </c>
      <c r="D16" s="5">
        <v>0</v>
      </c>
      <c r="E16" s="6" t="s">
        <v>8</v>
      </c>
      <c r="F16" s="6" t="s">
        <v>361</v>
      </c>
      <c r="G16" s="7" t="s">
        <v>349</v>
      </c>
      <c r="H16" s="9">
        <v>45566</v>
      </c>
    </row>
    <row r="17" spans="2:8" x14ac:dyDescent="0.35">
      <c r="B17" s="5">
        <v>3</v>
      </c>
      <c r="C17" s="7">
        <f>'RESUMEN GENERAL LG'!F207</f>
        <v>41</v>
      </c>
      <c r="D17" s="7">
        <v>0</v>
      </c>
      <c r="E17" s="6" t="s">
        <v>8</v>
      </c>
      <c r="F17" s="7" t="s">
        <v>371</v>
      </c>
      <c r="G17" s="7" t="s">
        <v>356</v>
      </c>
      <c r="H17" s="9">
        <v>45566</v>
      </c>
    </row>
    <row r="18" spans="2:8" ht="15" thickBot="1" x14ac:dyDescent="0.4">
      <c r="B18" s="5">
        <v>4</v>
      </c>
      <c r="C18" s="7">
        <f>'RESUMEN GENERAL LG'!F237</f>
        <v>28</v>
      </c>
      <c r="D18" s="8">
        <v>0</v>
      </c>
      <c r="E18" s="6" t="s">
        <v>8</v>
      </c>
      <c r="F18" s="6" t="s">
        <v>423</v>
      </c>
      <c r="G18" s="7" t="s">
        <v>356</v>
      </c>
      <c r="H18" s="9">
        <v>45566</v>
      </c>
    </row>
    <row r="19" spans="2:8" ht="15" thickBot="1" x14ac:dyDescent="0.4">
      <c r="C19" s="10">
        <f>SUM(C15:C18)</f>
        <v>128</v>
      </c>
      <c r="D19" s="11">
        <f>SUM(D15:D18)</f>
        <v>0</v>
      </c>
    </row>
  </sheetData>
  <mergeCells count="3">
    <mergeCell ref="B2:G2"/>
    <mergeCell ref="B13:H13"/>
    <mergeCell ref="B4:H4"/>
  </mergeCells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GENERAL LG</vt:lpstr>
      <vt:lpstr>RESUMEN LG </vt:lpstr>
      <vt:lpstr>'RESUMEN GENERAL LG'!Área_de_impresión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cexterior1</dc:creator>
  <cp:lastModifiedBy>compass leader</cp:lastModifiedBy>
  <cp:lastPrinted>2025-09-29T22:07:37Z</cp:lastPrinted>
  <dcterms:created xsi:type="dcterms:W3CDTF">2025-08-04T19:24:49Z</dcterms:created>
  <dcterms:modified xsi:type="dcterms:W3CDTF">2025-11-27T23:16:57Z</dcterms:modified>
</cp:coreProperties>
</file>