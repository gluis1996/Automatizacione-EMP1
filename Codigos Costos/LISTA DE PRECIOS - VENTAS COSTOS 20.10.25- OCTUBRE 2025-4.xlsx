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onzalo PL\Desktop\Automatizaciones\Automatizacione-EMP1\Codigos Costos\"/>
    </mc:Choice>
  </mc:AlternateContent>
  <xr:revisionPtr revIDLastSave="0" documentId="8_{296B1D28-551E-4E49-877D-3FAB857B46A0}" xr6:coauthVersionLast="47" xr6:coauthVersionMax="47" xr10:uidLastSave="{00000000-0000-0000-0000-000000000000}"/>
  <bookViews>
    <workbookView xWindow="28680" yWindow="-120" windowWidth="29040" windowHeight="15720" tabRatio="804" xr2:uid="{00000000-000D-0000-FFFF-FFFF00000000}"/>
  </bookViews>
  <sheets>
    <sheet name="UNIMAC " sheetId="10" r:id="rId1"/>
    <sheet name="PRIMUS" sheetId="7" r:id="rId2"/>
    <sheet name="GMP" sheetId="14" r:id="rId3"/>
    <sheet name="SAILSTAR" sheetId="11" r:id="rId4"/>
    <sheet name="ADC" sheetId="13" r:id="rId5"/>
  </sheets>
  <definedNames>
    <definedName name="_xlnm._FilterDatabase" localSheetId="4" hidden="1">ADC!#REF!</definedName>
    <definedName name="_xlnm._FilterDatabase" localSheetId="2" hidden="1">GMP!$B$4:$L$20</definedName>
    <definedName name="_xlnm._FilterDatabase" localSheetId="1" hidden="1">PRIMUS!$B$4:$P$53</definedName>
    <definedName name="_xlnm._FilterDatabase" localSheetId="3" hidden="1">SAILSTAR!$B$4:$P$20</definedName>
    <definedName name="_xlnm.Print_Area" localSheetId="1">PRIMUS!$B$1:$P$57</definedName>
    <definedName name="_xlnm.Print_Area" localSheetId="0">'UNIMAC '!$B$1:$T$63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13" l="1"/>
  <c r="P9" i="13"/>
  <c r="P8" i="13"/>
  <c r="P7" i="13"/>
  <c r="P6" i="13"/>
  <c r="P5" i="13"/>
  <c r="R21" i="11"/>
  <c r="R20" i="11"/>
  <c r="R17" i="11"/>
  <c r="R16" i="11"/>
  <c r="R12" i="11"/>
  <c r="R11" i="11"/>
  <c r="R10" i="11"/>
  <c r="R9" i="11"/>
  <c r="R8" i="11"/>
  <c r="R7" i="11"/>
  <c r="R6" i="11"/>
  <c r="R5" i="11"/>
  <c r="N20" i="14"/>
  <c r="N19" i="14"/>
  <c r="N18" i="14"/>
  <c r="N17" i="14"/>
  <c r="N16" i="14"/>
  <c r="N15" i="14"/>
  <c r="N14" i="14"/>
  <c r="N13" i="14"/>
  <c r="N12" i="14"/>
  <c r="N11" i="14"/>
  <c r="N10" i="14"/>
  <c r="N9" i="14"/>
  <c r="N8" i="14"/>
  <c r="N7" i="14"/>
  <c r="N6" i="14"/>
  <c r="N5" i="14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27" i="7"/>
  <c r="R26" i="7"/>
  <c r="R25" i="7"/>
  <c r="R24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S62" i="10"/>
  <c r="S61" i="10"/>
  <c r="S57" i="10"/>
  <c r="S56" i="10"/>
  <c r="S55" i="10"/>
  <c r="S54" i="10"/>
  <c r="S53" i="10"/>
  <c r="S52" i="10"/>
  <c r="S51" i="10"/>
  <c r="S50" i="10"/>
  <c r="S49" i="10"/>
  <c r="S48" i="10"/>
  <c r="S47" i="10"/>
  <c r="S46" i="10"/>
  <c r="S45" i="10"/>
  <c r="S44" i="10"/>
  <c r="S43" i="10"/>
  <c r="S42" i="10"/>
  <c r="S41" i="10"/>
  <c r="S40" i="10"/>
  <c r="S39" i="10"/>
  <c r="S38" i="10"/>
  <c r="S37" i="10"/>
  <c r="S36" i="10"/>
  <c r="S35" i="10"/>
  <c r="S34" i="10"/>
  <c r="S33" i="10"/>
  <c r="S29" i="10"/>
  <c r="S28" i="10"/>
  <c r="S27" i="10"/>
  <c r="S26" i="10"/>
  <c r="S25" i="10"/>
  <c r="S24" i="10"/>
  <c r="S23" i="10"/>
  <c r="S22" i="10"/>
  <c r="S21" i="10"/>
  <c r="S20" i="10"/>
  <c r="S19" i="10"/>
  <c r="S18" i="10"/>
  <c r="S17" i="10"/>
  <c r="S16" i="10"/>
  <c r="S15" i="10"/>
  <c r="S14" i="10"/>
  <c r="S13" i="10"/>
  <c r="S12" i="10"/>
  <c r="S11" i="10"/>
  <c r="S10" i="10"/>
  <c r="S9" i="10"/>
  <c r="S8" i="10"/>
  <c r="S7" i="10"/>
  <c r="S6" i="10"/>
  <c r="S5" i="10"/>
  <c r="S4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62" i="10"/>
  <c r="U61" i="10"/>
  <c r="Q3" i="7" l="1"/>
  <c r="J21" i="14"/>
  <c r="N56" i="7" l="1"/>
  <c r="O1" i="13" l="1"/>
  <c r="S1" i="11"/>
  <c r="M3" i="14"/>
  <c r="N21" i="7"/>
  <c r="O30" i="10" l="1"/>
  <c r="O58" i="10" l="1"/>
  <c r="N28" i="7" l="1"/>
</calcChain>
</file>

<file path=xl/sharedStrings.xml><?xml version="1.0" encoding="utf-8"?>
<sst xmlns="http://schemas.openxmlformats.org/spreadsheetml/2006/main" count="1763" uniqueCount="393">
  <si>
    <t>Ítem</t>
  </si>
  <si>
    <t>Nombre comercial</t>
  </si>
  <si>
    <t>Modelo</t>
  </si>
  <si>
    <t>Marca</t>
  </si>
  <si>
    <t>Sistema</t>
  </si>
  <si>
    <t>Control</t>
  </si>
  <si>
    <t>Fuerza G</t>
  </si>
  <si>
    <t>Calentamiento</t>
  </si>
  <si>
    <t>Voltaje</t>
  </si>
  <si>
    <t>Doble rotación (secadoras)</t>
  </si>
  <si>
    <t>Panel frontal de acero inox. (todo)</t>
  </si>
  <si>
    <t>Capacidad</t>
  </si>
  <si>
    <t>PRIMUS</t>
  </si>
  <si>
    <t>OPL</t>
  </si>
  <si>
    <t>N/A</t>
  </si>
  <si>
    <t>NO</t>
  </si>
  <si>
    <t>FX280</t>
  </si>
  <si>
    <t>SI</t>
  </si>
  <si>
    <t>ELECTRICO</t>
  </si>
  <si>
    <t>17 KG</t>
  </si>
  <si>
    <t>27 KG</t>
  </si>
  <si>
    <t>25 KG</t>
  </si>
  <si>
    <t>RX280</t>
  </si>
  <si>
    <t>RX350</t>
  </si>
  <si>
    <t>34 KG</t>
  </si>
  <si>
    <t>32 KG</t>
  </si>
  <si>
    <t>LAVADORAS RIGIDAS PRIMUS</t>
  </si>
  <si>
    <t>Montaje</t>
  </si>
  <si>
    <t>Cilindro</t>
  </si>
  <si>
    <t xml:space="preserve">LAVADORA INDUSTRIAL </t>
  </si>
  <si>
    <t xml:space="preserve">RX240 </t>
  </si>
  <si>
    <t xml:space="preserve">XCONTROL </t>
  </si>
  <si>
    <t>220/60HZ/1PH</t>
  </si>
  <si>
    <t>TOTAL</t>
  </si>
  <si>
    <t>200-240V/50-60Hz/1Ph</t>
  </si>
  <si>
    <t>200-240V/50-60/1-3Ph</t>
  </si>
  <si>
    <t>LAVADORA FLOTANTE PRIMUS</t>
  </si>
  <si>
    <t>400G</t>
  </si>
  <si>
    <t xml:space="preserve">220/60HZ/3PH </t>
  </si>
  <si>
    <t>SECADORAS PRIMUS</t>
  </si>
  <si>
    <t>GAS GLP</t>
  </si>
  <si>
    <t>ELÉCTRICO</t>
  </si>
  <si>
    <t>32KG</t>
  </si>
  <si>
    <t xml:space="preserve">350G </t>
  </si>
  <si>
    <t xml:space="preserve">FX180 </t>
  </si>
  <si>
    <t xml:space="preserve">220/60HZ/1PH </t>
  </si>
  <si>
    <t>FX135</t>
  </si>
  <si>
    <t>15KG</t>
  </si>
  <si>
    <t xml:space="preserve">XCONTROL + </t>
  </si>
  <si>
    <t>LAVADORA INDUSTRIAL</t>
  </si>
  <si>
    <t>X CONTROL +</t>
  </si>
  <si>
    <t>220V/60HZ/1PH</t>
  </si>
  <si>
    <t>-</t>
  </si>
  <si>
    <t>220V/60HZ/3PH</t>
  </si>
  <si>
    <t>Fecha de llegada</t>
  </si>
  <si>
    <t>UNIMAC</t>
  </si>
  <si>
    <t xml:space="preserve">DUAL DIGITAL </t>
  </si>
  <si>
    <t>24 KG</t>
  </si>
  <si>
    <t>UNILINC</t>
  </si>
  <si>
    <t>GAS NATURAL</t>
  </si>
  <si>
    <t>5 Disp.</t>
  </si>
  <si>
    <t>45 KG</t>
  </si>
  <si>
    <t>200G</t>
  </si>
  <si>
    <t>M9</t>
  </si>
  <si>
    <t>LAVADORA</t>
  </si>
  <si>
    <t>36 KG</t>
  </si>
  <si>
    <t>100G</t>
  </si>
  <si>
    <t>18 KG</t>
  </si>
  <si>
    <t>38.5 KG</t>
  </si>
  <si>
    <t xml:space="preserve">M30 </t>
  </si>
  <si>
    <t xml:space="preserve">PREPARADO PARA VAPOR </t>
  </si>
  <si>
    <t>30 KG</t>
  </si>
  <si>
    <t>20 KG</t>
  </si>
  <si>
    <t>LAVADORAS RIGIDAS UNIMAC</t>
  </si>
  <si>
    <t>SS40</t>
  </si>
  <si>
    <t>SS17</t>
  </si>
  <si>
    <t xml:space="preserve"> A VAPOR </t>
  </si>
  <si>
    <t>40 KG</t>
  </si>
  <si>
    <t>SAILSTAR</t>
  </si>
  <si>
    <t xml:space="preserve">FLOTANTE </t>
  </si>
  <si>
    <t>100 KG</t>
  </si>
  <si>
    <t>GP50</t>
  </si>
  <si>
    <t>50 KG</t>
  </si>
  <si>
    <t>SGP100</t>
  </si>
  <si>
    <t>BW-50II</t>
  </si>
  <si>
    <t>LAVADORA BARRERA CON SISTEMA DE PESAJE</t>
  </si>
  <si>
    <t>SECADORA INDUSTRIAL</t>
  </si>
  <si>
    <t>GZZ-50DII</t>
  </si>
  <si>
    <t>GDZ-20E</t>
  </si>
  <si>
    <t>PANEL INOX.</t>
  </si>
  <si>
    <t>WET23</t>
  </si>
  <si>
    <t>SS23</t>
  </si>
  <si>
    <t>LAVADORA EXTRACTORA</t>
  </si>
  <si>
    <t xml:space="preserve">LAVADORA EXTRACTORA </t>
  </si>
  <si>
    <t>23 KG</t>
  </si>
  <si>
    <t>70 KG</t>
  </si>
  <si>
    <t>ADC</t>
  </si>
  <si>
    <t>100 G</t>
  </si>
  <si>
    <t>ADE-120i</t>
  </si>
  <si>
    <t>54 KG</t>
  </si>
  <si>
    <t>ADG-758V</t>
  </si>
  <si>
    <t>ADE-80i</t>
  </si>
  <si>
    <t>200 G</t>
  </si>
  <si>
    <t xml:space="preserve">CROMADO </t>
  </si>
  <si>
    <t>RODILLO PLANCHADOR</t>
  </si>
  <si>
    <t>GMP</t>
  </si>
  <si>
    <t>GMP120.20</t>
  </si>
  <si>
    <t>GMP120.25</t>
  </si>
  <si>
    <t>G14.25</t>
  </si>
  <si>
    <t>PULIDO</t>
  </si>
  <si>
    <t>CROMADO</t>
  </si>
  <si>
    <t>CALANDRIA DE PLANCHADO</t>
  </si>
  <si>
    <t>RODILLOS Y CALANDRIAS</t>
  </si>
  <si>
    <t>G18.35</t>
  </si>
  <si>
    <t>GMP100.20</t>
  </si>
  <si>
    <t xml:space="preserve">ELÉCTRICO </t>
  </si>
  <si>
    <t>Código</t>
  </si>
  <si>
    <t>300 G</t>
  </si>
  <si>
    <t>X (220V/60HZ/1-3PH)</t>
  </si>
  <si>
    <t>BOILER FED</t>
  </si>
  <si>
    <t>M30</t>
  </si>
  <si>
    <t>BOILER FED + PREPARADO PARA VAPOR</t>
  </si>
  <si>
    <t>PREPARADO PARA VAPOR</t>
  </si>
  <si>
    <t>Q (220V/60HZ/3PH)</t>
  </si>
  <si>
    <t>H (380V/60Hz/3PH)</t>
  </si>
  <si>
    <t>Q (220V/60Hz/3Ph)</t>
  </si>
  <si>
    <t>55KG</t>
  </si>
  <si>
    <t>X (220/60HZ/1PH)</t>
  </si>
  <si>
    <t xml:space="preserve">X CONTROL </t>
  </si>
  <si>
    <t>47.6 KG</t>
  </si>
  <si>
    <t>AÑO 22</t>
  </si>
  <si>
    <t>RX180</t>
  </si>
  <si>
    <t>28 KG</t>
  </si>
  <si>
    <t>RX135</t>
  </si>
  <si>
    <t xml:space="preserve">200 G </t>
  </si>
  <si>
    <t>400 G</t>
  </si>
  <si>
    <t>18KG</t>
  </si>
  <si>
    <t>DX24</t>
  </si>
  <si>
    <t xml:space="preserve">SECADORA INDUSTRIAL </t>
  </si>
  <si>
    <t xml:space="preserve">34 KG </t>
  </si>
  <si>
    <t xml:space="preserve">54 KG </t>
  </si>
  <si>
    <t>UCT060</t>
  </si>
  <si>
    <t>UWT130</t>
  </si>
  <si>
    <t>SECADORA INDUSTRA</t>
  </si>
  <si>
    <t>NDENXAGS543MW01</t>
  </si>
  <si>
    <t>FDE</t>
  </si>
  <si>
    <t>SECADORA SEMI INDUSTRIAL</t>
  </si>
  <si>
    <t>HEC ELECTRONIC</t>
  </si>
  <si>
    <t>QUANTUM GOLD</t>
  </si>
  <si>
    <t>QUANTUM H7S-A4</t>
  </si>
  <si>
    <t>NSE</t>
  </si>
  <si>
    <t>10.2 KG</t>
  </si>
  <si>
    <t>SECADORA SEMI INDUSTRIAL - APILABLE</t>
  </si>
  <si>
    <t>UWT105</t>
  </si>
  <si>
    <t>UCT080</t>
  </si>
  <si>
    <t>55 KG</t>
  </si>
  <si>
    <t>GP70</t>
  </si>
  <si>
    <t>A VAPOR</t>
  </si>
  <si>
    <t>X CONTROL</t>
  </si>
  <si>
    <t>PRENSA UTILITARIA</t>
  </si>
  <si>
    <t>SAU45-II</t>
  </si>
  <si>
    <t>77 KG</t>
  </si>
  <si>
    <t>UNILINC TOUCH</t>
  </si>
  <si>
    <t>SINGLE DRYER</t>
  </si>
  <si>
    <t>UNLINC TOUCH</t>
  </si>
  <si>
    <t>DUAL DIGITAL</t>
  </si>
  <si>
    <t>P(380V/60Hz/3Ph)</t>
  </si>
  <si>
    <t>Q(220/60Hz/3Ph)</t>
  </si>
  <si>
    <t>GALVANIZADO</t>
  </si>
  <si>
    <t>INOXIDABLE</t>
  </si>
  <si>
    <t>UWT065</t>
  </si>
  <si>
    <t>UCT040</t>
  </si>
  <si>
    <t>X(200-240V/60Hz/1Ph)</t>
  </si>
  <si>
    <t>UWT085</t>
  </si>
  <si>
    <t>UWG045</t>
  </si>
  <si>
    <t xml:space="preserve">UNILINC TOUCH </t>
  </si>
  <si>
    <t>Q(220V/60HZ/3PH)</t>
  </si>
  <si>
    <t xml:space="preserve">PREPARADO PAR VAPOR </t>
  </si>
  <si>
    <t xml:space="preserve"> </t>
  </si>
  <si>
    <t xml:space="preserve">INOXIDABLE </t>
  </si>
  <si>
    <t xml:space="preserve">PREPARADO A VAPOR </t>
  </si>
  <si>
    <t>X(220V/60HZ/1-3PH)</t>
  </si>
  <si>
    <t xml:space="preserve">GAS NATURAL </t>
  </si>
  <si>
    <t>UST030</t>
  </si>
  <si>
    <t>SECADORA / LAVADORA INDUSTRIAL</t>
  </si>
  <si>
    <t>UST050</t>
  </si>
  <si>
    <t>46 KG</t>
  </si>
  <si>
    <t>X(220V/60HZ/1PH)</t>
  </si>
  <si>
    <t>Q(220/60HZ/3PH)</t>
  </si>
  <si>
    <t>G26.35</t>
  </si>
  <si>
    <t>GMP 140.25</t>
  </si>
  <si>
    <t>GMP E2 140.25</t>
  </si>
  <si>
    <t>GMP E2 120.25</t>
  </si>
  <si>
    <t>UCG080</t>
  </si>
  <si>
    <t>X (220V/60Hz/1-3Ph)</t>
  </si>
  <si>
    <t>UCT100</t>
  </si>
  <si>
    <t>UWG105</t>
  </si>
  <si>
    <t>90 KG</t>
  </si>
  <si>
    <t xml:space="preserve">P. SUPERIOR, FRONTAL Y LATERAL INOX. </t>
  </si>
  <si>
    <t xml:space="preserve">PANEL INOX. </t>
  </si>
  <si>
    <t>P. FRONTAL INOX</t>
  </si>
  <si>
    <t xml:space="preserve">P. FRONTAL INOX. </t>
  </si>
  <si>
    <t xml:space="preserve">P. FRONTAL, LATERAL INOX. </t>
  </si>
  <si>
    <t>OPTISPRAY</t>
  </si>
  <si>
    <t>P. FRONTAL, LATERAL INOX.</t>
  </si>
  <si>
    <t xml:space="preserve">STOCK </t>
  </si>
  <si>
    <t xml:space="preserve">Sistema C/ ENJUAGUE </t>
  </si>
  <si>
    <t>60 KG</t>
  </si>
  <si>
    <t xml:space="preserve">P. FRONTAL, LATERAL INOX </t>
  </si>
  <si>
    <t>P. FRONTAL, LATERAL INOX</t>
  </si>
  <si>
    <t>PREPARADO A VAPOR</t>
  </si>
  <si>
    <t>X (220V/50-60HZ/3PH)</t>
  </si>
  <si>
    <t>G (220V/60Hz/3PH)</t>
  </si>
  <si>
    <t>OPTIDRY</t>
  </si>
  <si>
    <t>H (380V/60HZ/3PH)</t>
  </si>
  <si>
    <t>STOCK</t>
  </si>
  <si>
    <t>Q (220V/60HZ/1-3PH)</t>
  </si>
  <si>
    <t xml:space="preserve">GAS NATIRAL </t>
  </si>
  <si>
    <t xml:space="preserve">LISTA DE PRECIO - PRIMUS </t>
  </si>
  <si>
    <t xml:space="preserve">P. SUPERIOR INOX. </t>
  </si>
  <si>
    <t>MICROPROCESADOR</t>
  </si>
  <si>
    <t>13 KG</t>
  </si>
  <si>
    <t xml:space="preserve">SECADORA INDUSTRIAL - UNIMAC </t>
  </si>
  <si>
    <t xml:space="preserve">DOBLE CABINA SECADORA / LAVADORA APILABLE </t>
  </si>
  <si>
    <t xml:space="preserve">LISTA DE PRECIOS - UNIMAC </t>
  </si>
  <si>
    <t>220V/60HZ/1N</t>
  </si>
  <si>
    <t>380V/60HZ/3N</t>
  </si>
  <si>
    <t>TOUCH</t>
  </si>
  <si>
    <t xml:space="preserve">TOUCH </t>
  </si>
  <si>
    <t xml:space="preserve">Panel Inox. </t>
  </si>
  <si>
    <t xml:space="preserve">P. SUPERIOR, P. FRONTAL INOX. </t>
  </si>
  <si>
    <t>RIDIGA</t>
  </si>
  <si>
    <t>P. SUPERIOR, P. FRONTAL INOX.</t>
  </si>
  <si>
    <t xml:space="preserve">TODO INOX. </t>
  </si>
  <si>
    <t xml:space="preserve">P. FRONTAL, P. LATERAL INOX. </t>
  </si>
  <si>
    <t xml:space="preserve">Stock </t>
  </si>
  <si>
    <t>LISTA DE PRECIO - GMP</t>
  </si>
  <si>
    <t>LISTA DE PRECIO - SAILSTAR</t>
  </si>
  <si>
    <t>LAVADORAS INDUSTRIALES</t>
  </si>
  <si>
    <t>LISTA DE PRECIO - ADC</t>
  </si>
  <si>
    <t>15 KG</t>
  </si>
  <si>
    <t>37 KG</t>
  </si>
  <si>
    <t>Stock</t>
  </si>
  <si>
    <t>UG120E</t>
  </si>
  <si>
    <t>UG120L</t>
  </si>
  <si>
    <t>UT120L</t>
  </si>
  <si>
    <t>UT120N</t>
  </si>
  <si>
    <t>UT170N</t>
  </si>
  <si>
    <t>UT200L</t>
  </si>
  <si>
    <t>UT200N</t>
  </si>
  <si>
    <t>UT075L</t>
  </si>
  <si>
    <t>UT075N</t>
  </si>
  <si>
    <t>UT075E</t>
  </si>
  <si>
    <t>UT055N</t>
  </si>
  <si>
    <t>UG050E</t>
  </si>
  <si>
    <t xml:space="preserve">UNILINC </t>
  </si>
  <si>
    <t>Q(380V/60HZ/3PH)</t>
  </si>
  <si>
    <t xml:space="preserve">100 G </t>
  </si>
  <si>
    <t xml:space="preserve">Código </t>
  </si>
  <si>
    <t>I21451</t>
  </si>
  <si>
    <t>I22728</t>
  </si>
  <si>
    <t>I22219</t>
  </si>
  <si>
    <t>I22729</t>
  </si>
  <si>
    <t>I22730</t>
  </si>
  <si>
    <t>I21970</t>
  </si>
  <si>
    <t>I22472</t>
  </si>
  <si>
    <t>I22471</t>
  </si>
  <si>
    <t>I22724</t>
  </si>
  <si>
    <t>I22899</t>
  </si>
  <si>
    <t>I22900</t>
  </si>
  <si>
    <t>I25050</t>
  </si>
  <si>
    <t>I25051</t>
  </si>
  <si>
    <t>I25052</t>
  </si>
  <si>
    <t>I25053</t>
  </si>
  <si>
    <t>I25055</t>
  </si>
  <si>
    <t>I22895</t>
  </si>
  <si>
    <t>I22897</t>
  </si>
  <si>
    <t>I22898</t>
  </si>
  <si>
    <t>I22474</t>
  </si>
  <si>
    <t>I22475</t>
  </si>
  <si>
    <t>I22476</t>
  </si>
  <si>
    <t>I22162</t>
  </si>
  <si>
    <t>I22222</t>
  </si>
  <si>
    <t>I21975</t>
  </si>
  <si>
    <t>I22733</t>
  </si>
  <si>
    <t>I22889</t>
  </si>
  <si>
    <t>I22890</t>
  </si>
  <si>
    <t>I22154</t>
  </si>
  <si>
    <t>I22886</t>
  </si>
  <si>
    <t>I25043</t>
  </si>
  <si>
    <t>I25044</t>
  </si>
  <si>
    <t>I25045</t>
  </si>
  <si>
    <t>I25046</t>
  </si>
  <si>
    <t>I25047</t>
  </si>
  <si>
    <t>I25048</t>
  </si>
  <si>
    <t>I25049</t>
  </si>
  <si>
    <t>I21981</t>
  </si>
  <si>
    <t>I21982</t>
  </si>
  <si>
    <t>I22158</t>
  </si>
  <si>
    <t>I22159</t>
  </si>
  <si>
    <t>I22161</t>
  </si>
  <si>
    <t>I22481</t>
  </si>
  <si>
    <t>I22479</t>
  </si>
  <si>
    <t>I22891</t>
  </si>
  <si>
    <t>I22739</t>
  </si>
  <si>
    <t>I25056</t>
  </si>
  <si>
    <t>I22894</t>
  </si>
  <si>
    <t>I22901</t>
  </si>
  <si>
    <t>I22297</t>
  </si>
  <si>
    <t>I22298</t>
  </si>
  <si>
    <t>I25019</t>
  </si>
  <si>
    <t>I22563</t>
  </si>
  <si>
    <t>I22566</t>
  </si>
  <si>
    <t>I25009</t>
  </si>
  <si>
    <t>I25014</t>
  </si>
  <si>
    <t>I25015</t>
  </si>
  <si>
    <t>I25016</t>
  </si>
  <si>
    <t>I25017</t>
  </si>
  <si>
    <t>I25018</t>
  </si>
  <si>
    <t>X(220V/60Hz/1Ph)</t>
  </si>
  <si>
    <t>I22051</t>
  </si>
  <si>
    <t>I22817</t>
  </si>
  <si>
    <t>I22818</t>
  </si>
  <si>
    <t>I22819</t>
  </si>
  <si>
    <t>I21786</t>
  </si>
  <si>
    <t>I22294</t>
  </si>
  <si>
    <t>I22293</t>
  </si>
  <si>
    <t>I21383</t>
  </si>
  <si>
    <t>I22731</t>
  </si>
  <si>
    <t>I22732</t>
  </si>
  <si>
    <t>I22229</t>
  </si>
  <si>
    <t>I22482</t>
  </si>
  <si>
    <t>I22487</t>
  </si>
  <si>
    <t>I22483</t>
  </si>
  <si>
    <t>I22484</t>
  </si>
  <si>
    <t>I22486</t>
  </si>
  <si>
    <t>I22492</t>
  </si>
  <si>
    <t>I22493</t>
  </si>
  <si>
    <t>I22490</t>
  </si>
  <si>
    <t>I22491</t>
  </si>
  <si>
    <t>I22740</t>
  </si>
  <si>
    <t>I22741</t>
  </si>
  <si>
    <t>I22742</t>
  </si>
  <si>
    <t>I22743</t>
  </si>
  <si>
    <t>I22744</t>
  </si>
  <si>
    <t>I22745</t>
  </si>
  <si>
    <t>I22746</t>
  </si>
  <si>
    <t>I22747</t>
  </si>
  <si>
    <t>I22748</t>
  </si>
  <si>
    <t>I22749</t>
  </si>
  <si>
    <t>I22227</t>
  </si>
  <si>
    <t>I22228</t>
  </si>
  <si>
    <t>I22637</t>
  </si>
  <si>
    <t>I22638</t>
  </si>
  <si>
    <t>I21069</t>
  </si>
  <si>
    <t>I25024</t>
  </si>
  <si>
    <t>I22650</t>
  </si>
  <si>
    <t>I25025</t>
  </si>
  <si>
    <t>I25028</t>
  </si>
  <si>
    <t>I25029</t>
  </si>
  <si>
    <t>I25030</t>
  </si>
  <si>
    <t>I25031</t>
  </si>
  <si>
    <t>I25032</t>
  </si>
  <si>
    <t>I25033</t>
  </si>
  <si>
    <t>I25035</t>
  </si>
  <si>
    <t>I25036</t>
  </si>
  <si>
    <t xml:space="preserve">   </t>
  </si>
  <si>
    <t>I25040</t>
  </si>
  <si>
    <t>I25039</t>
  </si>
  <si>
    <t>Costo Octubre 2025</t>
  </si>
  <si>
    <t xml:space="preserve">Valor de venta oferta </t>
  </si>
  <si>
    <t>I21869</t>
  </si>
  <si>
    <t>I22175</t>
  </si>
  <si>
    <t>I22173</t>
  </si>
  <si>
    <t>I22167</t>
  </si>
  <si>
    <t>I22165</t>
  </si>
  <si>
    <t>I22573</t>
  </si>
  <si>
    <t>I22574</t>
  </si>
  <si>
    <t>I22164</t>
  </si>
  <si>
    <t>I22174</t>
  </si>
  <si>
    <t>I21020</t>
  </si>
  <si>
    <t>I21882</t>
  </si>
  <si>
    <t>I21881</t>
  </si>
  <si>
    <t>I22577</t>
  </si>
  <si>
    <t>I22578</t>
  </si>
  <si>
    <t>I22323</t>
  </si>
  <si>
    <t>I22324</t>
  </si>
  <si>
    <t>I22325</t>
  </si>
  <si>
    <t>I22322</t>
  </si>
  <si>
    <t>I22326</t>
  </si>
  <si>
    <t>I21009</t>
  </si>
  <si>
    <t>Valor sin IGV</t>
  </si>
  <si>
    <t>COSTO COMPASS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</si>
</sst>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09]* #,##0.00_ ;_-[$$-409]* \-#,##0.00\ ;_-[$$-409]* &quot;-&quot;??_ ;_-@_ "/>
    <numFmt numFmtId="165" formatCode="dd/mm/yyyy;@"/>
    <numFmt numFmtId="166" formatCode="_-[$$-540A]* #,##0.00_ ;_-[$$-540A]* \-#,##0.00\ ;_-[$$-540A]* &quot;-&quot;??_ ;_-@_ "/>
    <numFmt numFmtId="167" formatCode="[$$-409]#,##0.00"/>
  </numFmts>
  <fonts count="2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sz val="10"/>
      <color rgb="FF444444"/>
      <name val="Arial"/>
      <family val="2"/>
    </font>
    <font>
      <sz val="10"/>
      <color theme="1"/>
      <name val="Calibri"/>
      <family val="2"/>
      <scheme val="minor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444444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b/>
      <sz val="16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CC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17" fontId="2" fillId="0" borderId="1" xfId="0" applyNumberFormat="1" applyFont="1" applyBorder="1" applyAlignment="1">
      <alignment horizontal="center" vertical="center"/>
    </xf>
    <xf numFmtId="17" fontId="2" fillId="0" borderId="3" xfId="0" applyNumberFormat="1" applyFont="1" applyBorder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7" fontId="2" fillId="4" borderId="1" xfId="0" applyNumberFormat="1" applyFont="1" applyFill="1" applyBorder="1" applyAlignment="1">
      <alignment horizontal="center" vertical="center"/>
    </xf>
    <xf numFmtId="0" fontId="2" fillId="4" borderId="0" xfId="0" applyFont="1" applyFill="1"/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6" fontId="2" fillId="0" borderId="0" xfId="0" applyNumberFormat="1" applyFont="1"/>
    <xf numFmtId="0" fontId="2" fillId="0" borderId="7" xfId="0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7" fontId="2" fillId="0" borderId="14" xfId="0" applyNumberFormat="1" applyFont="1" applyBorder="1" applyAlignment="1">
      <alignment horizontal="center" vertical="center"/>
    </xf>
    <xf numFmtId="17" fontId="2" fillId="4" borderId="7" xfId="0" applyNumberFormat="1" applyFont="1" applyFill="1" applyBorder="1" applyAlignment="1">
      <alignment horizontal="center" vertical="center"/>
    </xf>
    <xf numFmtId="164" fontId="2" fillId="4" borderId="7" xfId="0" applyNumberFormat="1" applyFont="1" applyFill="1" applyBorder="1" applyAlignment="1">
      <alignment horizontal="center" vertical="center" wrapText="1"/>
    </xf>
    <xf numFmtId="17" fontId="2" fillId="4" borderId="12" xfId="0" applyNumberFormat="1" applyFont="1" applyFill="1" applyBorder="1" applyAlignment="1">
      <alignment horizontal="center" vertical="center"/>
    </xf>
    <xf numFmtId="17" fontId="2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/>
    </xf>
    <xf numFmtId="17" fontId="2" fillId="4" borderId="14" xfId="0" applyNumberFormat="1" applyFont="1" applyFill="1" applyBorder="1" applyAlignment="1">
      <alignment horizontal="center" vertical="center"/>
    </xf>
    <xf numFmtId="167" fontId="9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164" fontId="2" fillId="4" borderId="14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14" fontId="1" fillId="4" borderId="0" xfId="0" applyNumberFormat="1" applyFont="1" applyFill="1" applyAlignment="1">
      <alignment horizontal="left"/>
    </xf>
    <xf numFmtId="0" fontId="1" fillId="2" borderId="26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17" fontId="2" fillId="4" borderId="7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2" borderId="20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17" fontId="2" fillId="4" borderId="6" xfId="0" applyNumberFormat="1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 wrapText="1"/>
    </xf>
    <xf numFmtId="166" fontId="2" fillId="0" borderId="15" xfId="0" applyNumberFormat="1" applyFont="1" applyBorder="1" applyAlignment="1">
      <alignment horizontal="center" vertical="center"/>
    </xf>
    <xf numFmtId="0" fontId="19" fillId="0" borderId="0" xfId="0" applyFont="1"/>
    <xf numFmtId="0" fontId="11" fillId="4" borderId="12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164" fontId="2" fillId="4" borderId="15" xfId="0" applyNumberFormat="1" applyFont="1" applyFill="1" applyBorder="1" applyAlignment="1">
      <alignment horizontal="center" vertical="center" wrapText="1"/>
    </xf>
    <xf numFmtId="14" fontId="1" fillId="4" borderId="0" xfId="0" applyNumberFormat="1" applyFont="1" applyFill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164" fontId="2" fillId="4" borderId="8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1" fontId="2" fillId="4" borderId="9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2" fillId="4" borderId="11" xfId="0" applyNumberFormat="1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17" fontId="2" fillId="0" borderId="12" xfId="0" applyNumberFormat="1" applyFont="1" applyBorder="1" applyAlignment="1">
      <alignment horizontal="center" vertical="center"/>
    </xf>
    <xf numFmtId="164" fontId="2" fillId="4" borderId="12" xfId="0" applyNumberFormat="1" applyFont="1" applyFill="1" applyBorder="1" applyAlignment="1">
      <alignment horizontal="center" vertical="center" wrapText="1"/>
    </xf>
    <xf numFmtId="164" fontId="2" fillId="4" borderId="12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17" fontId="2" fillId="0" borderId="7" xfId="0" applyNumberFormat="1" applyFont="1" applyBorder="1" applyAlignment="1">
      <alignment horizontal="center" vertical="center"/>
    </xf>
    <xf numFmtId="164" fontId="2" fillId="4" borderId="7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166" fontId="2" fillId="0" borderId="12" xfId="0" applyNumberFormat="1" applyFont="1" applyBorder="1" applyAlignment="1">
      <alignment horizontal="center" vertical="center"/>
    </xf>
    <xf numFmtId="166" fontId="2" fillId="0" borderId="13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 wrapText="1"/>
    </xf>
    <xf numFmtId="164" fontId="2" fillId="0" borderId="0" xfId="0" applyNumberFormat="1" applyFont="1"/>
    <xf numFmtId="0" fontId="2" fillId="0" borderId="3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/>
    </xf>
    <xf numFmtId="0" fontId="19" fillId="4" borderId="1" xfId="0" applyFont="1" applyFill="1" applyBorder="1" applyAlignment="1" applyProtection="1">
      <alignment horizontal="center" vertical="center"/>
      <protection locked="0"/>
    </xf>
    <xf numFmtId="0" fontId="19" fillId="4" borderId="1" xfId="0" applyFont="1" applyFill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 applyProtection="1">
      <alignment horizontal="center" vertical="center" wrapText="1"/>
      <protection locked="0"/>
    </xf>
    <xf numFmtId="0" fontId="19" fillId="4" borderId="14" xfId="0" applyFont="1" applyFill="1" applyBorder="1" applyAlignment="1" applyProtection="1">
      <alignment horizontal="center" vertical="center"/>
      <protection locked="0"/>
    </xf>
    <xf numFmtId="164" fontId="2" fillId="0" borderId="15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center" vertical="center"/>
    </xf>
    <xf numFmtId="164" fontId="2" fillId="4" borderId="10" xfId="0" applyNumberFormat="1" applyFont="1" applyFill="1" applyBorder="1" applyAlignment="1">
      <alignment horizontal="center" vertical="center" wrapText="1"/>
    </xf>
    <xf numFmtId="0" fontId="19" fillId="4" borderId="7" xfId="0" applyFont="1" applyFill="1" applyBorder="1" applyAlignment="1" applyProtection="1">
      <alignment horizontal="center" vertical="center" wrapText="1"/>
      <protection locked="0"/>
    </xf>
    <xf numFmtId="0" fontId="19" fillId="0" borderId="7" xfId="0" applyFont="1" applyBorder="1" applyAlignment="1" applyProtection="1">
      <alignment horizontal="center" vertical="center" wrapText="1"/>
      <protection locked="0"/>
    </xf>
    <xf numFmtId="0" fontId="13" fillId="0" borderId="7" xfId="0" applyFont="1" applyBorder="1" applyAlignment="1">
      <alignment horizontal="center" vertical="center"/>
    </xf>
    <xf numFmtId="0" fontId="19" fillId="0" borderId="1" xfId="0" applyFont="1" applyBorder="1" applyAlignment="1" applyProtection="1">
      <alignment horizontal="center" vertical="center"/>
      <protection locked="0"/>
    </xf>
    <xf numFmtId="1" fontId="2" fillId="4" borderId="24" xfId="0" applyNumberFormat="1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1" fontId="2" fillId="4" borderId="32" xfId="0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19" fillId="4" borderId="7" xfId="0" applyFont="1" applyFill="1" applyBorder="1" applyAlignment="1" applyProtection="1">
      <alignment horizontal="center" vertical="center"/>
      <protection locked="0"/>
    </xf>
    <xf numFmtId="0" fontId="19" fillId="4" borderId="12" xfId="0" applyFont="1" applyFill="1" applyBorder="1" applyAlignment="1" applyProtection="1">
      <alignment horizontal="center" vertical="center"/>
      <protection locked="0"/>
    </xf>
    <xf numFmtId="164" fontId="2" fillId="0" borderId="13" xfId="0" applyNumberFormat="1" applyFont="1" applyBorder="1" applyAlignment="1">
      <alignment horizontal="center" vertical="center"/>
    </xf>
    <xf numFmtId="17" fontId="5" fillId="0" borderId="7" xfId="0" applyNumberFormat="1" applyFont="1" applyBorder="1" applyAlignment="1">
      <alignment horizontal="center" vertical="center" wrapText="1"/>
    </xf>
    <xf numFmtId="164" fontId="2" fillId="4" borderId="13" xfId="0" applyNumberFormat="1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166" fontId="2" fillId="0" borderId="28" xfId="0" applyNumberFormat="1" applyFont="1" applyBorder="1"/>
    <xf numFmtId="166" fontId="2" fillId="0" borderId="16" xfId="0" applyNumberFormat="1" applyFont="1" applyBorder="1"/>
    <xf numFmtId="166" fontId="2" fillId="0" borderId="39" xfId="0" applyNumberFormat="1" applyFont="1" applyBorder="1"/>
    <xf numFmtId="166" fontId="2" fillId="0" borderId="31" xfId="0" applyNumberFormat="1" applyFont="1" applyBorder="1"/>
    <xf numFmtId="166" fontId="2" fillId="0" borderId="25" xfId="0" applyNumberFormat="1" applyFont="1" applyBorder="1" applyAlignment="1">
      <alignment horizontal="center" vertical="center"/>
    </xf>
    <xf numFmtId="166" fontId="2" fillId="0" borderId="27" xfId="0" applyNumberFormat="1" applyFont="1" applyBorder="1"/>
    <xf numFmtId="166" fontId="2" fillId="0" borderId="19" xfId="0" applyNumberFormat="1" applyFont="1" applyBorder="1"/>
    <xf numFmtId="166" fontId="2" fillId="0" borderId="38" xfId="0" applyNumberFormat="1" applyFont="1" applyBorder="1"/>
    <xf numFmtId="14" fontId="2" fillId="0" borderId="0" xfId="0" applyNumberFormat="1" applyFont="1" applyAlignment="1">
      <alignment horizontal="center" vertical="center"/>
    </xf>
    <xf numFmtId="0" fontId="2" fillId="4" borderId="18" xfId="0" applyFont="1" applyFill="1" applyBorder="1" applyAlignment="1">
      <alignment horizontal="center" vertical="center" wrapText="1"/>
    </xf>
    <xf numFmtId="0" fontId="2" fillId="4" borderId="40" xfId="0" applyFont="1" applyFill="1" applyBorder="1" applyAlignment="1">
      <alignment horizontal="center" vertical="center" wrapText="1"/>
    </xf>
    <xf numFmtId="166" fontId="2" fillId="0" borderId="14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166" fontId="2" fillId="0" borderId="39" xfId="0" applyNumberFormat="1" applyFont="1" applyBorder="1" applyAlignment="1">
      <alignment horizontal="center" vertical="center"/>
    </xf>
    <xf numFmtId="166" fontId="2" fillId="0" borderId="17" xfId="0" applyNumberFormat="1" applyFont="1" applyBorder="1" applyAlignment="1">
      <alignment horizontal="center" vertical="center"/>
    </xf>
    <xf numFmtId="164" fontId="2" fillId="4" borderId="21" xfId="0" applyNumberFormat="1" applyFont="1" applyFill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164" fontId="2" fillId="4" borderId="8" xfId="0" applyNumberFormat="1" applyFont="1" applyFill="1" applyBorder="1" applyAlignment="1">
      <alignment horizontal="center" vertical="center"/>
    </xf>
    <xf numFmtId="164" fontId="2" fillId="4" borderId="13" xfId="0" applyNumberFormat="1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7" fontId="2" fillId="0" borderId="6" xfId="0" applyNumberFormat="1" applyFont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 wrapText="1"/>
    </xf>
    <xf numFmtId="164" fontId="2" fillId="4" borderId="14" xfId="0" applyNumberFormat="1" applyFont="1" applyFill="1" applyBorder="1" applyAlignment="1">
      <alignment horizontal="center" vertical="center"/>
    </xf>
    <xf numFmtId="0" fontId="19" fillId="4" borderId="14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9" fillId="4" borderId="12" xfId="0" applyFont="1" applyFill="1" applyBorder="1" applyAlignment="1" applyProtection="1">
      <alignment horizontal="center" vertical="center" wrapText="1"/>
      <protection locked="0"/>
    </xf>
    <xf numFmtId="0" fontId="8" fillId="4" borderId="12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167" fontId="9" fillId="4" borderId="12" xfId="0" applyNumberFormat="1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/>
    </xf>
    <xf numFmtId="17" fontId="2" fillId="4" borderId="12" xfId="0" applyNumberFormat="1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17" fontId="2" fillId="4" borderId="14" xfId="0" applyNumberFormat="1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64" fontId="2" fillId="4" borderId="43" xfId="0" applyNumberFormat="1" applyFont="1" applyFill="1" applyBorder="1" applyAlignment="1">
      <alignment horizontal="center" vertical="center" wrapText="1"/>
    </xf>
    <xf numFmtId="164" fontId="2" fillId="4" borderId="44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5" xfId="0" applyNumberFormat="1" applyFont="1" applyFill="1" applyBorder="1" applyAlignment="1">
      <alignment horizontal="center" vertical="center" wrapText="1"/>
    </xf>
    <xf numFmtId="164" fontId="2" fillId="0" borderId="44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164" fontId="2" fillId="4" borderId="45" xfId="0" applyNumberFormat="1" applyFont="1" applyFill="1" applyBorder="1" applyAlignment="1">
      <alignment horizontal="center" vertical="center"/>
    </xf>
    <xf numFmtId="164" fontId="2" fillId="4" borderId="44" xfId="0" applyNumberFormat="1" applyFont="1" applyFill="1" applyBorder="1" applyAlignment="1">
      <alignment horizontal="center" vertical="center"/>
    </xf>
    <xf numFmtId="164" fontId="2" fillId="4" borderId="43" xfId="0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166" fontId="2" fillId="0" borderId="43" xfId="0" applyNumberFormat="1" applyFont="1" applyBorder="1" applyAlignment="1">
      <alignment horizontal="center" vertical="center"/>
    </xf>
    <xf numFmtId="166" fontId="2" fillId="0" borderId="44" xfId="0" applyNumberFormat="1" applyFont="1" applyBorder="1" applyAlignment="1">
      <alignment horizontal="center" vertical="center"/>
    </xf>
    <xf numFmtId="166" fontId="2" fillId="0" borderId="45" xfId="0" applyNumberFormat="1" applyFont="1" applyBorder="1" applyAlignment="1">
      <alignment horizontal="center" vertical="center"/>
    </xf>
    <xf numFmtId="166" fontId="2" fillId="0" borderId="46" xfId="0" applyNumberFormat="1" applyFont="1" applyBorder="1" applyAlignment="1">
      <alignment horizontal="center" vertical="center"/>
    </xf>
    <xf numFmtId="0" fontId="1" fillId="6" borderId="42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7" borderId="4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/>
    </xf>
    <xf numFmtId="0" fontId="17" fillId="3" borderId="27" xfId="0" applyFont="1" applyFill="1" applyBorder="1" applyAlignment="1">
      <alignment horizontal="center" vertical="center"/>
    </xf>
    <xf numFmtId="0" fontId="17" fillId="3" borderId="19" xfId="0" applyFont="1" applyFill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18" fillId="3" borderId="27" xfId="0" applyFont="1" applyFill="1" applyBorder="1" applyAlignment="1">
      <alignment horizontal="center" vertical="center"/>
    </xf>
    <xf numFmtId="0" fontId="18" fillId="3" borderId="19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4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CC"/>
      <color rgb="FFFFCCFF"/>
      <color rgb="FFCC6600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  <pageSetUpPr fitToPage="1"/>
  </sheetPr>
  <dimension ref="A1:U62"/>
  <sheetViews>
    <sheetView tabSelected="1" topLeftCell="A42" zoomScale="70" zoomScaleNormal="70" zoomScaleSheetLayoutView="55" workbookViewId="0">
      <pane xSplit="6" topLeftCell="G1" activePane="topRight" state="frozen"/>
      <selection pane="topRight" activeCell="H66" sqref="H66"/>
    </sheetView>
  </sheetViews>
  <sheetFormatPr baseColWidth="10" defaultColWidth="11.42578125" defaultRowHeight="18" x14ac:dyDescent="0.25"/>
  <cols>
    <col min="1" max="1" width="1.42578125" style="11" customWidth="1"/>
    <col min="2" max="2" width="5.5703125" style="11" customWidth="1"/>
    <col min="3" max="3" width="13.85546875" style="11" customWidth="1"/>
    <col min="4" max="4" width="14.42578125" style="11" customWidth="1"/>
    <col min="5" max="5" width="11.140625" style="11" customWidth="1"/>
    <col min="6" max="6" width="11.42578125" style="11" customWidth="1"/>
    <col min="7" max="7" width="11.5703125" style="11" customWidth="1"/>
    <col min="8" max="8" width="21.140625" style="11" customWidth="1"/>
    <col min="9" max="9" width="9.42578125" style="11" customWidth="1"/>
    <col min="10" max="10" width="16" style="5" customWidth="1"/>
    <col min="11" max="11" width="13.140625" style="11" customWidth="1"/>
    <col min="12" max="12" width="13.42578125" style="11" customWidth="1"/>
    <col min="13" max="13" width="25.5703125" style="11" customWidth="1"/>
    <col min="14" max="14" width="9" style="11" customWidth="1"/>
    <col min="15" max="15" width="10.42578125" style="70" customWidth="1"/>
    <col min="16" max="16" width="12.5703125" style="11" customWidth="1"/>
    <col min="17" max="17" width="11.42578125" style="11" customWidth="1"/>
    <col min="18" max="18" width="17.42578125" style="90" bestFit="1" customWidth="1"/>
    <col min="19" max="19" width="17.42578125" style="90" customWidth="1"/>
    <col min="20" max="21" width="12.42578125" style="11" bestFit="1" customWidth="1"/>
    <col min="22" max="16384" width="11.42578125" style="11"/>
  </cols>
  <sheetData>
    <row r="1" spans="2:21" ht="24" thickBot="1" x14ac:dyDescent="0.3">
      <c r="B1" s="293" t="s">
        <v>224</v>
      </c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5"/>
      <c r="R1" s="11"/>
      <c r="S1" s="11"/>
    </row>
    <row r="2" spans="2:21" ht="18.75" thickBot="1" x14ac:dyDescent="0.3">
      <c r="B2" s="285" t="s">
        <v>73</v>
      </c>
      <c r="C2" s="286"/>
      <c r="D2" s="286"/>
      <c r="E2" s="286"/>
      <c r="F2" s="286"/>
      <c r="G2" s="287"/>
      <c r="R2" s="97">
        <v>45950</v>
      </c>
      <c r="S2" s="97"/>
    </row>
    <row r="3" spans="2:21" ht="36.75" thickBot="1" x14ac:dyDescent="0.3">
      <c r="B3" s="275" t="s">
        <v>0</v>
      </c>
      <c r="C3" s="276" t="s">
        <v>258</v>
      </c>
      <c r="D3" s="276" t="s">
        <v>1</v>
      </c>
      <c r="E3" s="76" t="s">
        <v>2</v>
      </c>
      <c r="F3" s="276" t="s">
        <v>5</v>
      </c>
      <c r="G3" s="276" t="s">
        <v>6</v>
      </c>
      <c r="H3" s="276" t="s">
        <v>8</v>
      </c>
      <c r="I3" s="276" t="s">
        <v>11</v>
      </c>
      <c r="J3" s="276" t="s">
        <v>89</v>
      </c>
      <c r="K3" s="276" t="s">
        <v>206</v>
      </c>
      <c r="L3" s="277" t="s">
        <v>28</v>
      </c>
      <c r="M3" s="276" t="s">
        <v>7</v>
      </c>
      <c r="N3" s="276" t="s">
        <v>60</v>
      </c>
      <c r="O3" s="281" t="s">
        <v>205</v>
      </c>
      <c r="P3" s="276" t="s">
        <v>3</v>
      </c>
      <c r="Q3" s="276" t="s">
        <v>54</v>
      </c>
      <c r="R3" s="282" t="s">
        <v>369</v>
      </c>
      <c r="S3" s="283" t="s">
        <v>392</v>
      </c>
      <c r="T3" s="284" t="s">
        <v>370</v>
      </c>
      <c r="U3" s="284" t="s">
        <v>391</v>
      </c>
    </row>
    <row r="4" spans="2:21" ht="26.25" thickBot="1" x14ac:dyDescent="0.3">
      <c r="B4" s="171">
        <v>1</v>
      </c>
      <c r="C4" s="181" t="s">
        <v>259</v>
      </c>
      <c r="D4" s="49" t="s">
        <v>29</v>
      </c>
      <c r="E4" s="76" t="s">
        <v>174</v>
      </c>
      <c r="F4" s="49" t="s">
        <v>69</v>
      </c>
      <c r="G4" s="49" t="s">
        <v>37</v>
      </c>
      <c r="H4" s="49" t="s">
        <v>34</v>
      </c>
      <c r="I4" s="49" t="s">
        <v>72</v>
      </c>
      <c r="J4" s="49" t="s">
        <v>202</v>
      </c>
      <c r="K4" s="49" t="s">
        <v>203</v>
      </c>
      <c r="L4" s="49" t="s">
        <v>169</v>
      </c>
      <c r="M4" s="49" t="s">
        <v>122</v>
      </c>
      <c r="N4" s="49" t="s">
        <v>17</v>
      </c>
      <c r="O4" s="63">
        <v>1</v>
      </c>
      <c r="P4" s="49" t="s">
        <v>55</v>
      </c>
      <c r="Q4" s="36">
        <v>44197</v>
      </c>
      <c r="R4" s="50">
        <v>9500</v>
      </c>
      <c r="S4" s="256">
        <f>+(T4-R4)/2+R4</f>
        <v>11725</v>
      </c>
      <c r="T4" s="182">
        <v>13950</v>
      </c>
      <c r="U4" s="182">
        <f t="shared" ref="U4:U57" si="0">+T4*1.1</f>
        <v>15345.000000000002</v>
      </c>
    </row>
    <row r="5" spans="2:21" ht="26.25" thickBot="1" x14ac:dyDescent="0.3">
      <c r="B5" s="171">
        <v>2</v>
      </c>
      <c r="C5" s="239" t="s">
        <v>260</v>
      </c>
      <c r="D5" s="98" t="s">
        <v>49</v>
      </c>
      <c r="E5" s="240" t="s">
        <v>170</v>
      </c>
      <c r="F5" s="218" t="s">
        <v>164</v>
      </c>
      <c r="G5" s="98" t="s">
        <v>135</v>
      </c>
      <c r="H5" s="98" t="s">
        <v>166</v>
      </c>
      <c r="I5" s="92" t="s">
        <v>71</v>
      </c>
      <c r="J5" s="98" t="s">
        <v>204</v>
      </c>
      <c r="K5" s="98" t="s">
        <v>203</v>
      </c>
      <c r="L5" s="98" t="s">
        <v>169</v>
      </c>
      <c r="M5" s="49" t="s">
        <v>122</v>
      </c>
      <c r="N5" s="218" t="s">
        <v>17</v>
      </c>
      <c r="O5" s="241">
        <v>1</v>
      </c>
      <c r="P5" s="43" t="s">
        <v>55</v>
      </c>
      <c r="Q5" s="36">
        <v>45444</v>
      </c>
      <c r="R5" s="50">
        <v>14950</v>
      </c>
      <c r="S5" s="256">
        <f t="shared" ref="S5:S29" si="1">+(T5-R5)/2+R5</f>
        <v>16925</v>
      </c>
      <c r="T5" s="182">
        <v>18900</v>
      </c>
      <c r="U5" s="182">
        <f t="shared" si="0"/>
        <v>20790</v>
      </c>
    </row>
    <row r="6" spans="2:21" ht="25.5" x14ac:dyDescent="0.25">
      <c r="B6" s="136">
        <v>3</v>
      </c>
      <c r="C6" s="147" t="s">
        <v>261</v>
      </c>
      <c r="D6" s="31" t="s">
        <v>29</v>
      </c>
      <c r="E6" s="31" t="s">
        <v>173</v>
      </c>
      <c r="F6" s="31" t="s">
        <v>120</v>
      </c>
      <c r="G6" s="112" t="s">
        <v>102</v>
      </c>
      <c r="H6" s="31" t="s">
        <v>123</v>
      </c>
      <c r="I6" s="31" t="s">
        <v>68</v>
      </c>
      <c r="J6" s="31" t="s">
        <v>204</v>
      </c>
      <c r="K6" s="31" t="s">
        <v>15</v>
      </c>
      <c r="L6" s="31" t="s">
        <v>169</v>
      </c>
      <c r="M6" s="123" t="s">
        <v>122</v>
      </c>
      <c r="N6" s="186" t="s">
        <v>17</v>
      </c>
      <c r="O6" s="111">
        <v>1</v>
      </c>
      <c r="P6" s="112" t="s">
        <v>55</v>
      </c>
      <c r="Q6" s="127" t="s">
        <v>130</v>
      </c>
      <c r="R6" s="38">
        <v>21500</v>
      </c>
      <c r="S6" s="257">
        <f t="shared" si="1"/>
        <v>23200</v>
      </c>
      <c r="T6" s="183">
        <v>24900</v>
      </c>
      <c r="U6" s="183">
        <f t="shared" si="0"/>
        <v>27390.000000000004</v>
      </c>
    </row>
    <row r="7" spans="2:21" ht="25.5" x14ac:dyDescent="0.25">
      <c r="B7" s="60">
        <v>4</v>
      </c>
      <c r="C7" s="141" t="s">
        <v>262</v>
      </c>
      <c r="D7" s="2" t="s">
        <v>49</v>
      </c>
      <c r="E7" s="12" t="s">
        <v>173</v>
      </c>
      <c r="F7" s="2" t="s">
        <v>164</v>
      </c>
      <c r="G7" s="6" t="s">
        <v>117</v>
      </c>
      <c r="H7" s="2" t="s">
        <v>166</v>
      </c>
      <c r="I7" s="2" t="s">
        <v>68</v>
      </c>
      <c r="J7" s="6" t="s">
        <v>204</v>
      </c>
      <c r="K7" s="6" t="s">
        <v>203</v>
      </c>
      <c r="L7" s="2" t="s">
        <v>169</v>
      </c>
      <c r="M7" s="29" t="s">
        <v>122</v>
      </c>
      <c r="N7" s="28" t="s">
        <v>17</v>
      </c>
      <c r="O7" s="65">
        <v>1</v>
      </c>
      <c r="P7" s="22" t="s">
        <v>55</v>
      </c>
      <c r="Q7" s="19">
        <v>45444</v>
      </c>
      <c r="R7" s="15">
        <v>22500</v>
      </c>
      <c r="S7" s="258">
        <f t="shared" si="1"/>
        <v>24500</v>
      </c>
      <c r="T7" s="187">
        <v>26500</v>
      </c>
      <c r="U7" s="187">
        <f t="shared" si="0"/>
        <v>29150.000000000004</v>
      </c>
    </row>
    <row r="8" spans="2:21" ht="26.25" thickBot="1" x14ac:dyDescent="0.3">
      <c r="B8" s="61">
        <v>5</v>
      </c>
      <c r="C8" s="151" t="s">
        <v>263</v>
      </c>
      <c r="D8" s="35" t="s">
        <v>49</v>
      </c>
      <c r="E8" s="131" t="s">
        <v>173</v>
      </c>
      <c r="F8" s="35" t="s">
        <v>164</v>
      </c>
      <c r="G8" s="129" t="s">
        <v>117</v>
      </c>
      <c r="H8" s="35" t="s">
        <v>166</v>
      </c>
      <c r="I8" s="35" t="s">
        <v>68</v>
      </c>
      <c r="J8" s="129" t="s">
        <v>204</v>
      </c>
      <c r="K8" s="129" t="s">
        <v>203</v>
      </c>
      <c r="L8" s="35" t="s">
        <v>169</v>
      </c>
      <c r="M8" s="133" t="s">
        <v>122</v>
      </c>
      <c r="N8" s="184" t="s">
        <v>17</v>
      </c>
      <c r="O8" s="152">
        <v>1</v>
      </c>
      <c r="P8" s="22" t="s">
        <v>55</v>
      </c>
      <c r="Q8" s="118">
        <v>45444</v>
      </c>
      <c r="R8" s="119">
        <v>22500</v>
      </c>
      <c r="S8" s="259">
        <f t="shared" si="1"/>
        <v>24500</v>
      </c>
      <c r="T8" s="199">
        <v>26500</v>
      </c>
      <c r="U8" s="199">
        <f t="shared" si="0"/>
        <v>29150.000000000004</v>
      </c>
    </row>
    <row r="9" spans="2:21" ht="38.25" x14ac:dyDescent="0.25">
      <c r="B9" s="136">
        <v>6</v>
      </c>
      <c r="C9" s="156" t="s">
        <v>264</v>
      </c>
      <c r="D9" s="31" t="s">
        <v>29</v>
      </c>
      <c r="E9" s="31" t="s">
        <v>196</v>
      </c>
      <c r="F9" s="31" t="s">
        <v>120</v>
      </c>
      <c r="G9" s="31" t="s">
        <v>102</v>
      </c>
      <c r="H9" s="31" t="s">
        <v>123</v>
      </c>
      <c r="I9" s="31" t="s">
        <v>129</v>
      </c>
      <c r="J9" s="123" t="s">
        <v>204</v>
      </c>
      <c r="K9" s="31" t="s">
        <v>15</v>
      </c>
      <c r="L9" s="31" t="s">
        <v>169</v>
      </c>
      <c r="M9" s="123" t="s">
        <v>121</v>
      </c>
      <c r="N9" s="123" t="s">
        <v>17</v>
      </c>
      <c r="O9" s="111">
        <v>1</v>
      </c>
      <c r="P9" s="112" t="s">
        <v>55</v>
      </c>
      <c r="Q9" s="127">
        <v>44682</v>
      </c>
      <c r="R9" s="38">
        <v>22500</v>
      </c>
      <c r="S9" s="257">
        <f t="shared" si="1"/>
        <v>24700</v>
      </c>
      <c r="T9" s="183">
        <v>26900</v>
      </c>
      <c r="U9" s="183">
        <f t="shared" si="0"/>
        <v>29590.000000000004</v>
      </c>
    </row>
    <row r="10" spans="2:21" ht="26.25" thickBot="1" x14ac:dyDescent="0.3">
      <c r="B10" s="61">
        <v>7</v>
      </c>
      <c r="C10" s="160" t="s">
        <v>265</v>
      </c>
      <c r="D10" s="35" t="s">
        <v>29</v>
      </c>
      <c r="E10" s="35" t="s">
        <v>153</v>
      </c>
      <c r="F10" s="35" t="s">
        <v>175</v>
      </c>
      <c r="G10" s="35" t="s">
        <v>117</v>
      </c>
      <c r="H10" s="35" t="s">
        <v>123</v>
      </c>
      <c r="I10" s="35" t="s">
        <v>129</v>
      </c>
      <c r="J10" s="35" t="s">
        <v>204</v>
      </c>
      <c r="K10" s="35" t="s">
        <v>203</v>
      </c>
      <c r="L10" s="35" t="s">
        <v>169</v>
      </c>
      <c r="M10" s="131" t="s">
        <v>70</v>
      </c>
      <c r="N10" s="131" t="s">
        <v>17</v>
      </c>
      <c r="O10" s="152">
        <v>1</v>
      </c>
      <c r="P10" s="134" t="s">
        <v>55</v>
      </c>
      <c r="Q10" s="118">
        <v>45017</v>
      </c>
      <c r="R10" s="119">
        <v>24500</v>
      </c>
      <c r="S10" s="259">
        <f t="shared" si="1"/>
        <v>28000</v>
      </c>
      <c r="T10" s="199">
        <v>31500</v>
      </c>
      <c r="U10" s="199">
        <f t="shared" si="0"/>
        <v>34650</v>
      </c>
    </row>
    <row r="11" spans="2:21" ht="25.5" x14ac:dyDescent="0.25">
      <c r="B11" s="136">
        <v>8</v>
      </c>
      <c r="C11" s="156" t="s">
        <v>266</v>
      </c>
      <c r="D11" s="33" t="s">
        <v>29</v>
      </c>
      <c r="E11" s="33" t="s">
        <v>142</v>
      </c>
      <c r="F11" s="33" t="s">
        <v>175</v>
      </c>
      <c r="G11" s="31" t="s">
        <v>117</v>
      </c>
      <c r="H11" s="33" t="s">
        <v>176</v>
      </c>
      <c r="I11" s="33" t="s">
        <v>207</v>
      </c>
      <c r="J11" s="33" t="s">
        <v>204</v>
      </c>
      <c r="K11" s="33" t="s">
        <v>203</v>
      </c>
      <c r="L11" s="33" t="s">
        <v>169</v>
      </c>
      <c r="M11" s="103" t="s">
        <v>177</v>
      </c>
      <c r="N11" s="103" t="s">
        <v>17</v>
      </c>
      <c r="O11" s="72">
        <v>1</v>
      </c>
      <c r="P11" s="112" t="s">
        <v>55</v>
      </c>
      <c r="Q11" s="127">
        <v>45017</v>
      </c>
      <c r="R11" s="38">
        <v>27500</v>
      </c>
      <c r="S11" s="257">
        <f t="shared" si="1"/>
        <v>30750</v>
      </c>
      <c r="T11" s="105">
        <v>34000</v>
      </c>
      <c r="U11" s="105">
        <f t="shared" si="0"/>
        <v>37400</v>
      </c>
    </row>
    <row r="12" spans="2:21" ht="26.25" thickBot="1" x14ac:dyDescent="0.3">
      <c r="B12" s="61">
        <v>9</v>
      </c>
      <c r="C12" s="35" t="s">
        <v>52</v>
      </c>
      <c r="D12" s="34" t="s">
        <v>29</v>
      </c>
      <c r="E12" s="34" t="s">
        <v>142</v>
      </c>
      <c r="F12" s="34" t="s">
        <v>175</v>
      </c>
      <c r="G12" s="35" t="s">
        <v>117</v>
      </c>
      <c r="H12" s="34" t="s">
        <v>176</v>
      </c>
      <c r="I12" s="34" t="s">
        <v>207</v>
      </c>
      <c r="J12" s="34" t="s">
        <v>204</v>
      </c>
      <c r="K12" s="34" t="s">
        <v>203</v>
      </c>
      <c r="L12" s="34" t="s">
        <v>169</v>
      </c>
      <c r="M12" s="173" t="s">
        <v>177</v>
      </c>
      <c r="N12" s="173" t="s">
        <v>17</v>
      </c>
      <c r="O12" s="242" t="s">
        <v>52</v>
      </c>
      <c r="P12" s="132" t="s">
        <v>55</v>
      </c>
      <c r="Q12" s="39">
        <v>45757</v>
      </c>
      <c r="R12" s="119">
        <v>29000</v>
      </c>
      <c r="S12" s="259">
        <f t="shared" si="1"/>
        <v>32500</v>
      </c>
      <c r="T12" s="201">
        <v>36000</v>
      </c>
      <c r="U12" s="201">
        <f t="shared" si="0"/>
        <v>39600</v>
      </c>
    </row>
    <row r="13" spans="2:21" ht="25.5" x14ac:dyDescent="0.25">
      <c r="B13" s="136">
        <v>10</v>
      </c>
      <c r="C13" s="189" t="s">
        <v>267</v>
      </c>
      <c r="D13" s="121" t="s">
        <v>49</v>
      </c>
      <c r="E13" s="112" t="s">
        <v>171</v>
      </c>
      <c r="F13" s="123" t="s">
        <v>63</v>
      </c>
      <c r="G13" s="121" t="s">
        <v>66</v>
      </c>
      <c r="H13" s="121" t="s">
        <v>118</v>
      </c>
      <c r="I13" s="121" t="s">
        <v>67</v>
      </c>
      <c r="J13" s="121" t="s">
        <v>209</v>
      </c>
      <c r="K13" s="121" t="s">
        <v>15</v>
      </c>
      <c r="L13" s="121" t="s">
        <v>179</v>
      </c>
      <c r="M13" s="125" t="s">
        <v>119</v>
      </c>
      <c r="N13" s="112" t="s">
        <v>14</v>
      </c>
      <c r="O13" s="126">
        <v>1</v>
      </c>
      <c r="P13" s="33" t="s">
        <v>55</v>
      </c>
      <c r="Q13" s="127">
        <v>45444</v>
      </c>
      <c r="R13" s="38">
        <v>8500</v>
      </c>
      <c r="S13" s="257">
        <f t="shared" si="1"/>
        <v>10700</v>
      </c>
      <c r="T13" s="183">
        <v>12900</v>
      </c>
      <c r="U13" s="183">
        <f t="shared" si="0"/>
        <v>14190.000000000002</v>
      </c>
    </row>
    <row r="14" spans="2:21" ht="25.5" x14ac:dyDescent="0.25">
      <c r="B14" s="60">
        <v>11</v>
      </c>
      <c r="C14" s="179" t="s">
        <v>269</v>
      </c>
      <c r="D14" s="6" t="s">
        <v>49</v>
      </c>
      <c r="E14" s="1" t="s">
        <v>171</v>
      </c>
      <c r="F14" s="12" t="s">
        <v>120</v>
      </c>
      <c r="G14" s="6" t="s">
        <v>62</v>
      </c>
      <c r="H14" s="6" t="s">
        <v>118</v>
      </c>
      <c r="I14" s="6" t="s">
        <v>67</v>
      </c>
      <c r="J14" s="6" t="s">
        <v>208</v>
      </c>
      <c r="K14" s="23" t="s">
        <v>15</v>
      </c>
      <c r="L14" s="23" t="s">
        <v>179</v>
      </c>
      <c r="M14" s="29" t="s">
        <v>70</v>
      </c>
      <c r="N14" s="1" t="s">
        <v>14</v>
      </c>
      <c r="O14" s="64">
        <v>1</v>
      </c>
      <c r="P14" s="22" t="s">
        <v>55</v>
      </c>
      <c r="Q14" s="24">
        <v>45757</v>
      </c>
      <c r="R14" s="15">
        <v>9800</v>
      </c>
      <c r="S14" s="258">
        <f t="shared" si="1"/>
        <v>11850</v>
      </c>
      <c r="T14" s="187">
        <v>13900</v>
      </c>
      <c r="U14" s="187">
        <f t="shared" si="0"/>
        <v>15290.000000000002</v>
      </c>
    </row>
    <row r="15" spans="2:21" ht="26.25" thickBot="1" x14ac:dyDescent="0.3">
      <c r="B15" s="61">
        <v>12</v>
      </c>
      <c r="C15" s="243" t="s">
        <v>268</v>
      </c>
      <c r="D15" s="117" t="s">
        <v>49</v>
      </c>
      <c r="E15" s="132" t="s">
        <v>171</v>
      </c>
      <c r="F15" s="173" t="s">
        <v>63</v>
      </c>
      <c r="G15" s="117" t="s">
        <v>66</v>
      </c>
      <c r="H15" s="117" t="s">
        <v>118</v>
      </c>
      <c r="I15" s="117" t="s">
        <v>67</v>
      </c>
      <c r="J15" s="117" t="s">
        <v>208</v>
      </c>
      <c r="K15" s="117" t="s">
        <v>15</v>
      </c>
      <c r="L15" s="117" t="s">
        <v>179</v>
      </c>
      <c r="M15" s="244" t="s">
        <v>122</v>
      </c>
      <c r="N15" s="132" t="s">
        <v>14</v>
      </c>
      <c r="O15" s="245">
        <v>1</v>
      </c>
      <c r="P15" s="34" t="s">
        <v>55</v>
      </c>
      <c r="Q15" s="39">
        <v>45757</v>
      </c>
      <c r="R15" s="119">
        <v>9100</v>
      </c>
      <c r="S15" s="259">
        <f t="shared" si="1"/>
        <v>11000</v>
      </c>
      <c r="T15" s="199">
        <v>12900</v>
      </c>
      <c r="U15" s="199">
        <f t="shared" si="0"/>
        <v>14190.000000000002</v>
      </c>
    </row>
    <row r="16" spans="2:21" ht="25.5" x14ac:dyDescent="0.25">
      <c r="B16" s="136">
        <v>13</v>
      </c>
      <c r="C16" s="190" t="s">
        <v>270</v>
      </c>
      <c r="D16" s="121" t="s">
        <v>49</v>
      </c>
      <c r="E16" s="112" t="s">
        <v>141</v>
      </c>
      <c r="F16" s="123" t="s">
        <v>63</v>
      </c>
      <c r="G16" s="101" t="s">
        <v>97</v>
      </c>
      <c r="H16" s="121" t="s">
        <v>118</v>
      </c>
      <c r="I16" s="112" t="s">
        <v>20</v>
      </c>
      <c r="J16" s="121" t="s">
        <v>209</v>
      </c>
      <c r="K16" s="121" t="s">
        <v>15</v>
      </c>
      <c r="L16" s="121" t="s">
        <v>169</v>
      </c>
      <c r="M16" s="125" t="s">
        <v>210</v>
      </c>
      <c r="N16" s="31" t="s">
        <v>14</v>
      </c>
      <c r="O16" s="126">
        <v>1</v>
      </c>
      <c r="P16" s="33" t="s">
        <v>55</v>
      </c>
      <c r="Q16" s="37">
        <v>45757</v>
      </c>
      <c r="R16" s="38">
        <v>10500</v>
      </c>
      <c r="S16" s="257">
        <f t="shared" si="1"/>
        <v>13000</v>
      </c>
      <c r="T16" s="183">
        <v>15500</v>
      </c>
      <c r="U16" s="183">
        <f t="shared" si="0"/>
        <v>17050</v>
      </c>
    </row>
    <row r="17" spans="2:21" ht="25.5" x14ac:dyDescent="0.25">
      <c r="B17" s="60">
        <v>14</v>
      </c>
      <c r="C17" s="180" t="s">
        <v>271</v>
      </c>
      <c r="D17" s="6" t="s">
        <v>49</v>
      </c>
      <c r="E17" s="1" t="s">
        <v>141</v>
      </c>
      <c r="F17" s="12" t="s">
        <v>63</v>
      </c>
      <c r="G17" s="23" t="s">
        <v>97</v>
      </c>
      <c r="H17" s="6" t="s">
        <v>118</v>
      </c>
      <c r="I17" s="1" t="s">
        <v>20</v>
      </c>
      <c r="J17" s="6" t="s">
        <v>209</v>
      </c>
      <c r="K17" s="6" t="s">
        <v>15</v>
      </c>
      <c r="L17" s="6" t="s">
        <v>169</v>
      </c>
      <c r="M17" s="29" t="s">
        <v>210</v>
      </c>
      <c r="N17" s="2" t="s">
        <v>14</v>
      </c>
      <c r="O17" s="64">
        <v>1</v>
      </c>
      <c r="P17" s="22" t="s">
        <v>55</v>
      </c>
      <c r="Q17" s="24">
        <v>45757</v>
      </c>
      <c r="R17" s="15">
        <v>10500</v>
      </c>
      <c r="S17" s="258">
        <f t="shared" si="1"/>
        <v>13000</v>
      </c>
      <c r="T17" s="187">
        <v>15500</v>
      </c>
      <c r="U17" s="187">
        <f t="shared" si="0"/>
        <v>17050</v>
      </c>
    </row>
    <row r="18" spans="2:21" ht="25.5" x14ac:dyDescent="0.25">
      <c r="B18" s="60">
        <v>15</v>
      </c>
      <c r="C18" s="180" t="s">
        <v>272</v>
      </c>
      <c r="D18" s="6" t="s">
        <v>49</v>
      </c>
      <c r="E18" s="1" t="s">
        <v>141</v>
      </c>
      <c r="F18" s="12" t="s">
        <v>63</v>
      </c>
      <c r="G18" s="23" t="s">
        <v>97</v>
      </c>
      <c r="H18" s="6" t="s">
        <v>118</v>
      </c>
      <c r="I18" s="1" t="s">
        <v>20</v>
      </c>
      <c r="J18" s="6" t="s">
        <v>209</v>
      </c>
      <c r="K18" s="6" t="s">
        <v>15</v>
      </c>
      <c r="L18" s="6" t="s">
        <v>169</v>
      </c>
      <c r="M18" s="29" t="s">
        <v>210</v>
      </c>
      <c r="N18" s="2" t="s">
        <v>14</v>
      </c>
      <c r="O18" s="64">
        <v>1</v>
      </c>
      <c r="P18" s="22" t="s">
        <v>55</v>
      </c>
      <c r="Q18" s="24">
        <v>45757</v>
      </c>
      <c r="R18" s="15">
        <v>10500</v>
      </c>
      <c r="S18" s="258">
        <f t="shared" si="1"/>
        <v>13000</v>
      </c>
      <c r="T18" s="187">
        <v>15500</v>
      </c>
      <c r="U18" s="187">
        <f t="shared" si="0"/>
        <v>17050</v>
      </c>
    </row>
    <row r="19" spans="2:21" ht="25.5" x14ac:dyDescent="0.25">
      <c r="B19" s="60">
        <v>16</v>
      </c>
      <c r="C19" s="180" t="s">
        <v>273</v>
      </c>
      <c r="D19" s="6" t="s">
        <v>49</v>
      </c>
      <c r="E19" s="1" t="s">
        <v>141</v>
      </c>
      <c r="F19" s="12" t="s">
        <v>63</v>
      </c>
      <c r="G19" s="23" t="s">
        <v>97</v>
      </c>
      <c r="H19" s="6" t="s">
        <v>118</v>
      </c>
      <c r="I19" s="1" t="s">
        <v>20</v>
      </c>
      <c r="J19" s="6" t="s">
        <v>209</v>
      </c>
      <c r="K19" s="6" t="s">
        <v>15</v>
      </c>
      <c r="L19" s="6" t="s">
        <v>169</v>
      </c>
      <c r="M19" s="29" t="s">
        <v>210</v>
      </c>
      <c r="N19" s="2" t="s">
        <v>14</v>
      </c>
      <c r="O19" s="64">
        <v>1</v>
      </c>
      <c r="P19" s="22" t="s">
        <v>55</v>
      </c>
      <c r="Q19" s="24">
        <v>45757</v>
      </c>
      <c r="R19" s="15">
        <v>10500</v>
      </c>
      <c r="S19" s="258">
        <f t="shared" si="1"/>
        <v>13000</v>
      </c>
      <c r="T19" s="187">
        <v>15500</v>
      </c>
      <c r="U19" s="187">
        <f t="shared" si="0"/>
        <v>17050</v>
      </c>
    </row>
    <row r="20" spans="2:21" ht="25.5" x14ac:dyDescent="0.25">
      <c r="B20" s="60">
        <v>17</v>
      </c>
      <c r="C20" s="180" t="s">
        <v>274</v>
      </c>
      <c r="D20" s="6" t="s">
        <v>49</v>
      </c>
      <c r="E20" s="1" t="s">
        <v>141</v>
      </c>
      <c r="F20" s="12" t="s">
        <v>63</v>
      </c>
      <c r="G20" s="23" t="s">
        <v>97</v>
      </c>
      <c r="H20" s="6" t="s">
        <v>118</v>
      </c>
      <c r="I20" s="1" t="s">
        <v>20</v>
      </c>
      <c r="J20" s="6" t="s">
        <v>209</v>
      </c>
      <c r="K20" s="6" t="s">
        <v>15</v>
      </c>
      <c r="L20" s="6" t="s">
        <v>169</v>
      </c>
      <c r="M20" s="29" t="s">
        <v>210</v>
      </c>
      <c r="N20" s="2" t="s">
        <v>14</v>
      </c>
      <c r="O20" s="64">
        <v>1</v>
      </c>
      <c r="P20" s="22" t="s">
        <v>55</v>
      </c>
      <c r="Q20" s="24">
        <v>45757</v>
      </c>
      <c r="R20" s="15">
        <v>10500</v>
      </c>
      <c r="S20" s="258">
        <f t="shared" si="1"/>
        <v>13000</v>
      </c>
      <c r="T20" s="187">
        <v>15500</v>
      </c>
      <c r="U20" s="187">
        <f t="shared" si="0"/>
        <v>17050</v>
      </c>
    </row>
    <row r="21" spans="2:21" ht="25.5" x14ac:dyDescent="0.25">
      <c r="B21" s="60">
        <v>18</v>
      </c>
      <c r="C21" s="179" t="s">
        <v>275</v>
      </c>
      <c r="D21" s="23" t="s">
        <v>49</v>
      </c>
      <c r="E21" s="26" t="s">
        <v>141</v>
      </c>
      <c r="F21" s="41" t="s">
        <v>120</v>
      </c>
      <c r="G21" s="23" t="s">
        <v>102</v>
      </c>
      <c r="H21" s="46" t="s">
        <v>118</v>
      </c>
      <c r="I21" s="26" t="s">
        <v>20</v>
      </c>
      <c r="J21" s="23" t="s">
        <v>209</v>
      </c>
      <c r="K21" s="23" t="s">
        <v>15</v>
      </c>
      <c r="L21" s="23" t="s">
        <v>169</v>
      </c>
      <c r="M21" s="42" t="s">
        <v>180</v>
      </c>
      <c r="N21" s="22" t="s">
        <v>14</v>
      </c>
      <c r="O21" s="67" t="s">
        <v>52</v>
      </c>
      <c r="P21" s="22" t="s">
        <v>55</v>
      </c>
      <c r="Q21" s="24">
        <v>45757</v>
      </c>
      <c r="R21" s="15">
        <v>11650</v>
      </c>
      <c r="S21" s="258">
        <f t="shared" si="1"/>
        <v>14075</v>
      </c>
      <c r="T21" s="187">
        <v>16500</v>
      </c>
      <c r="U21" s="187">
        <f t="shared" si="0"/>
        <v>18150</v>
      </c>
    </row>
    <row r="22" spans="2:21" ht="25.5" x14ac:dyDescent="0.25">
      <c r="B22" s="60">
        <v>19</v>
      </c>
      <c r="C22" s="179" t="s">
        <v>276</v>
      </c>
      <c r="D22" s="23" t="s">
        <v>49</v>
      </c>
      <c r="E22" s="26" t="s">
        <v>141</v>
      </c>
      <c r="F22" s="41" t="s">
        <v>120</v>
      </c>
      <c r="G22" s="23" t="s">
        <v>102</v>
      </c>
      <c r="H22" s="46" t="s">
        <v>118</v>
      </c>
      <c r="I22" s="26" t="s">
        <v>20</v>
      </c>
      <c r="J22" s="23" t="s">
        <v>209</v>
      </c>
      <c r="K22" s="23" t="s">
        <v>15</v>
      </c>
      <c r="L22" s="23" t="s">
        <v>169</v>
      </c>
      <c r="M22" s="42" t="s">
        <v>180</v>
      </c>
      <c r="N22" s="22" t="s">
        <v>14</v>
      </c>
      <c r="O22" s="67">
        <v>1</v>
      </c>
      <c r="P22" s="22" t="s">
        <v>55</v>
      </c>
      <c r="Q22" s="24">
        <v>45757</v>
      </c>
      <c r="R22" s="15">
        <v>11650</v>
      </c>
      <c r="S22" s="258">
        <f t="shared" si="1"/>
        <v>14075</v>
      </c>
      <c r="T22" s="187">
        <v>16500</v>
      </c>
      <c r="U22" s="187">
        <f t="shared" si="0"/>
        <v>18150</v>
      </c>
    </row>
    <row r="23" spans="2:21" ht="26.25" thickBot="1" x14ac:dyDescent="0.3">
      <c r="B23" s="61">
        <v>20</v>
      </c>
      <c r="C23" s="243" t="s">
        <v>277</v>
      </c>
      <c r="D23" s="117" t="s">
        <v>49</v>
      </c>
      <c r="E23" s="132" t="s">
        <v>141</v>
      </c>
      <c r="F23" s="173" t="s">
        <v>120</v>
      </c>
      <c r="G23" s="117" t="s">
        <v>102</v>
      </c>
      <c r="H23" s="246" t="s">
        <v>118</v>
      </c>
      <c r="I23" s="132" t="s">
        <v>20</v>
      </c>
      <c r="J23" s="117" t="s">
        <v>209</v>
      </c>
      <c r="K23" s="117" t="s">
        <v>15</v>
      </c>
      <c r="L23" s="117" t="s">
        <v>169</v>
      </c>
      <c r="M23" s="244" t="s">
        <v>180</v>
      </c>
      <c r="N23" s="34" t="s">
        <v>14</v>
      </c>
      <c r="O23" s="245">
        <v>1</v>
      </c>
      <c r="P23" s="34" t="s">
        <v>55</v>
      </c>
      <c r="Q23" s="39">
        <v>45757</v>
      </c>
      <c r="R23" s="119">
        <v>11650</v>
      </c>
      <c r="S23" s="259">
        <f t="shared" si="1"/>
        <v>14075</v>
      </c>
      <c r="T23" s="199">
        <v>16500</v>
      </c>
      <c r="U23" s="199">
        <f t="shared" si="0"/>
        <v>18150</v>
      </c>
    </row>
    <row r="24" spans="2:21" ht="25.5" x14ac:dyDescent="0.25">
      <c r="B24" s="136">
        <v>21</v>
      </c>
      <c r="C24" s="255" t="s">
        <v>371</v>
      </c>
      <c r="D24" s="121" t="s">
        <v>29</v>
      </c>
      <c r="E24" s="31" t="s">
        <v>193</v>
      </c>
      <c r="F24" s="121" t="s">
        <v>63</v>
      </c>
      <c r="G24" s="121" t="s">
        <v>62</v>
      </c>
      <c r="H24" s="121" t="s">
        <v>194</v>
      </c>
      <c r="I24" s="121" t="s">
        <v>65</v>
      </c>
      <c r="J24" s="31" t="s">
        <v>209</v>
      </c>
      <c r="K24" s="31" t="s">
        <v>15</v>
      </c>
      <c r="L24" s="31" t="s">
        <v>169</v>
      </c>
      <c r="M24" s="31" t="s">
        <v>180</v>
      </c>
      <c r="N24" s="31" t="s">
        <v>14</v>
      </c>
      <c r="O24" s="191">
        <v>1</v>
      </c>
      <c r="P24" s="31" t="s">
        <v>55</v>
      </c>
      <c r="Q24" s="127">
        <v>44532</v>
      </c>
      <c r="R24" s="38">
        <v>13800</v>
      </c>
      <c r="S24" s="257">
        <f t="shared" si="1"/>
        <v>16150</v>
      </c>
      <c r="T24" s="183">
        <v>18500</v>
      </c>
      <c r="U24" s="183">
        <f t="shared" si="0"/>
        <v>20350</v>
      </c>
    </row>
    <row r="25" spans="2:21" ht="25.5" x14ac:dyDescent="0.25">
      <c r="B25" s="60">
        <v>22</v>
      </c>
      <c r="C25" s="179" t="s">
        <v>278</v>
      </c>
      <c r="D25" s="6" t="s">
        <v>29</v>
      </c>
      <c r="E25" s="2" t="s">
        <v>154</v>
      </c>
      <c r="F25" s="6" t="s">
        <v>63</v>
      </c>
      <c r="G25" s="6" t="s">
        <v>97</v>
      </c>
      <c r="H25" s="6" t="s">
        <v>194</v>
      </c>
      <c r="I25" s="6" t="s">
        <v>65</v>
      </c>
      <c r="J25" s="22" t="s">
        <v>209</v>
      </c>
      <c r="K25" s="2" t="s">
        <v>15</v>
      </c>
      <c r="L25" s="2" t="s">
        <v>169</v>
      </c>
      <c r="M25" s="2" t="s">
        <v>180</v>
      </c>
      <c r="N25" s="2" t="s">
        <v>14</v>
      </c>
      <c r="O25" s="68">
        <v>1</v>
      </c>
      <c r="P25" s="2" t="s">
        <v>55</v>
      </c>
      <c r="Q25" s="19">
        <v>45017</v>
      </c>
      <c r="R25" s="15">
        <v>16500</v>
      </c>
      <c r="S25" s="258">
        <f t="shared" si="1"/>
        <v>19000</v>
      </c>
      <c r="T25" s="187">
        <v>21500</v>
      </c>
      <c r="U25" s="187">
        <f t="shared" si="0"/>
        <v>23650.000000000004</v>
      </c>
    </row>
    <row r="26" spans="2:21" ht="25.5" x14ac:dyDescent="0.25">
      <c r="B26" s="60">
        <v>23</v>
      </c>
      <c r="C26" s="179" t="s">
        <v>279</v>
      </c>
      <c r="D26" s="6" t="s">
        <v>29</v>
      </c>
      <c r="E26" s="2" t="s">
        <v>154</v>
      </c>
      <c r="F26" s="6" t="s">
        <v>63</v>
      </c>
      <c r="G26" s="6" t="s">
        <v>97</v>
      </c>
      <c r="H26" s="6" t="s">
        <v>194</v>
      </c>
      <c r="I26" s="6" t="s">
        <v>65</v>
      </c>
      <c r="J26" s="22" t="s">
        <v>209</v>
      </c>
      <c r="K26" s="2" t="s">
        <v>15</v>
      </c>
      <c r="L26" s="2" t="s">
        <v>169</v>
      </c>
      <c r="M26" s="2" t="s">
        <v>180</v>
      </c>
      <c r="N26" s="2" t="s">
        <v>14</v>
      </c>
      <c r="O26" s="68">
        <v>1</v>
      </c>
      <c r="P26" s="2" t="s">
        <v>55</v>
      </c>
      <c r="Q26" s="19">
        <v>45017</v>
      </c>
      <c r="R26" s="15">
        <v>16500</v>
      </c>
      <c r="S26" s="258">
        <f t="shared" si="1"/>
        <v>19000</v>
      </c>
      <c r="T26" s="187">
        <v>21500</v>
      </c>
      <c r="U26" s="187">
        <f t="shared" si="0"/>
        <v>23650.000000000004</v>
      </c>
    </row>
    <row r="27" spans="2:21" ht="26.25" thickBot="1" x14ac:dyDescent="0.3">
      <c r="B27" s="61">
        <v>24</v>
      </c>
      <c r="C27" s="243" t="s">
        <v>280</v>
      </c>
      <c r="D27" s="129" t="s">
        <v>29</v>
      </c>
      <c r="E27" s="35" t="s">
        <v>154</v>
      </c>
      <c r="F27" s="129" t="s">
        <v>63</v>
      </c>
      <c r="G27" s="129" t="s">
        <v>97</v>
      </c>
      <c r="H27" s="129" t="s">
        <v>194</v>
      </c>
      <c r="I27" s="129" t="s">
        <v>65</v>
      </c>
      <c r="J27" s="34" t="s">
        <v>209</v>
      </c>
      <c r="K27" s="35" t="s">
        <v>15</v>
      </c>
      <c r="L27" s="35" t="s">
        <v>169</v>
      </c>
      <c r="M27" s="35" t="s">
        <v>180</v>
      </c>
      <c r="N27" s="35" t="s">
        <v>14</v>
      </c>
      <c r="O27" s="247">
        <v>1</v>
      </c>
      <c r="P27" s="35" t="s">
        <v>55</v>
      </c>
      <c r="Q27" s="118">
        <v>45017</v>
      </c>
      <c r="R27" s="119">
        <v>16500</v>
      </c>
      <c r="S27" s="259">
        <f t="shared" si="1"/>
        <v>19000</v>
      </c>
      <c r="T27" s="199">
        <v>21500</v>
      </c>
      <c r="U27" s="199">
        <f t="shared" si="0"/>
        <v>23650.000000000004</v>
      </c>
    </row>
    <row r="28" spans="2:21" ht="25.5" x14ac:dyDescent="0.25">
      <c r="B28" s="136">
        <v>25</v>
      </c>
      <c r="C28" s="189" t="s">
        <v>281</v>
      </c>
      <c r="D28" s="121" t="s">
        <v>64</v>
      </c>
      <c r="E28" s="31" t="s">
        <v>195</v>
      </c>
      <c r="F28" s="121" t="s">
        <v>63</v>
      </c>
      <c r="G28" s="31" t="s">
        <v>66</v>
      </c>
      <c r="H28" s="31" t="s">
        <v>35</v>
      </c>
      <c r="I28" s="31" t="s">
        <v>61</v>
      </c>
      <c r="J28" s="31" t="s">
        <v>209</v>
      </c>
      <c r="K28" s="31" t="s">
        <v>15</v>
      </c>
      <c r="L28" s="31" t="s">
        <v>169</v>
      </c>
      <c r="M28" s="31" t="s">
        <v>180</v>
      </c>
      <c r="N28" s="31" t="s">
        <v>14</v>
      </c>
      <c r="O28" s="157">
        <v>1</v>
      </c>
      <c r="P28" s="112" t="s">
        <v>55</v>
      </c>
      <c r="Q28" s="127">
        <v>44896</v>
      </c>
      <c r="R28" s="38">
        <v>19500</v>
      </c>
      <c r="S28" s="257">
        <f t="shared" si="1"/>
        <v>22500</v>
      </c>
      <c r="T28" s="183">
        <v>25500</v>
      </c>
      <c r="U28" s="183">
        <f t="shared" si="0"/>
        <v>28050.000000000004</v>
      </c>
    </row>
    <row r="29" spans="2:21" ht="26.25" thickBot="1" x14ac:dyDescent="0.3">
      <c r="B29" s="61">
        <v>26</v>
      </c>
      <c r="C29" s="243" t="s">
        <v>282</v>
      </c>
      <c r="D29" s="129" t="s">
        <v>64</v>
      </c>
      <c r="E29" s="35" t="s">
        <v>195</v>
      </c>
      <c r="F29" s="129" t="s">
        <v>63</v>
      </c>
      <c r="G29" s="35" t="s">
        <v>62</v>
      </c>
      <c r="H29" s="35" t="s">
        <v>35</v>
      </c>
      <c r="I29" s="35" t="s">
        <v>61</v>
      </c>
      <c r="J29" s="35" t="s">
        <v>209</v>
      </c>
      <c r="K29" s="35" t="s">
        <v>15</v>
      </c>
      <c r="L29" s="35" t="s">
        <v>169</v>
      </c>
      <c r="M29" s="35" t="s">
        <v>180</v>
      </c>
      <c r="N29" s="35" t="s">
        <v>14</v>
      </c>
      <c r="O29" s="161">
        <v>1</v>
      </c>
      <c r="P29" s="134" t="s">
        <v>55</v>
      </c>
      <c r="Q29" s="118">
        <v>44896</v>
      </c>
      <c r="R29" s="119">
        <v>20500</v>
      </c>
      <c r="S29" s="259">
        <f t="shared" si="1"/>
        <v>23500</v>
      </c>
      <c r="T29" s="199">
        <v>26500</v>
      </c>
      <c r="U29" s="199">
        <f t="shared" si="0"/>
        <v>29150.000000000004</v>
      </c>
    </row>
    <row r="30" spans="2:21" ht="18.75" thickBot="1" x14ac:dyDescent="0.3">
      <c r="B30" s="8"/>
      <c r="C30" s="5"/>
      <c r="D30" s="5"/>
      <c r="E30" s="73"/>
      <c r="F30" s="74"/>
      <c r="G30" s="73"/>
      <c r="H30" s="73"/>
      <c r="I30" s="73"/>
      <c r="J30" s="73"/>
      <c r="K30" s="73"/>
      <c r="L30" s="73"/>
      <c r="M30" s="291"/>
      <c r="N30" s="292"/>
      <c r="O30" s="177">
        <f>SUM(O4:O29)</f>
        <v>24</v>
      </c>
      <c r="Q30" s="21"/>
      <c r="R30" s="75"/>
      <c r="S30" s="75"/>
      <c r="U30" s="11">
        <f t="shared" si="0"/>
        <v>0</v>
      </c>
    </row>
    <row r="31" spans="2:21" ht="21" thickBot="1" x14ac:dyDescent="0.3">
      <c r="B31" s="288" t="s">
        <v>222</v>
      </c>
      <c r="C31" s="289"/>
      <c r="D31" s="289"/>
      <c r="E31" s="289"/>
      <c r="F31" s="289"/>
      <c r="G31" s="289"/>
      <c r="H31" s="290"/>
      <c r="U31" s="11">
        <f t="shared" si="0"/>
        <v>0</v>
      </c>
    </row>
    <row r="32" spans="2:21" ht="36.75" thickBot="1" x14ac:dyDescent="0.3">
      <c r="B32" s="275" t="s">
        <v>0</v>
      </c>
      <c r="C32" s="276" t="s">
        <v>258</v>
      </c>
      <c r="D32" s="276" t="s">
        <v>1</v>
      </c>
      <c r="E32" s="76" t="s">
        <v>2</v>
      </c>
      <c r="F32" s="276" t="s">
        <v>5</v>
      </c>
      <c r="G32" s="276" t="s">
        <v>6</v>
      </c>
      <c r="H32" s="276" t="s">
        <v>8</v>
      </c>
      <c r="I32" s="276" t="s">
        <v>11</v>
      </c>
      <c r="J32" s="276" t="s">
        <v>89</v>
      </c>
      <c r="K32" s="276" t="s">
        <v>206</v>
      </c>
      <c r="L32" s="277" t="s">
        <v>28</v>
      </c>
      <c r="M32" s="276" t="s">
        <v>7</v>
      </c>
      <c r="N32" s="276" t="s">
        <v>60</v>
      </c>
      <c r="O32" s="281" t="s">
        <v>205</v>
      </c>
      <c r="P32" s="276" t="s">
        <v>3</v>
      </c>
      <c r="Q32" s="276" t="s">
        <v>54</v>
      </c>
      <c r="R32" s="282" t="s">
        <v>369</v>
      </c>
      <c r="S32" s="283" t="s">
        <v>392</v>
      </c>
      <c r="T32" s="284" t="s">
        <v>370</v>
      </c>
      <c r="U32" s="284" t="s">
        <v>391</v>
      </c>
    </row>
    <row r="33" spans="2:21" ht="26.25" thickBot="1" x14ac:dyDescent="0.3">
      <c r="B33" s="193">
        <v>1</v>
      </c>
      <c r="C33" s="194" t="s">
        <v>283</v>
      </c>
      <c r="D33" s="49" t="s">
        <v>86</v>
      </c>
      <c r="E33" s="49" t="s">
        <v>254</v>
      </c>
      <c r="F33" s="98" t="s">
        <v>56</v>
      </c>
      <c r="G33" s="49" t="s">
        <v>14</v>
      </c>
      <c r="H33" s="98" t="s">
        <v>124</v>
      </c>
      <c r="I33" s="98" t="s">
        <v>21</v>
      </c>
      <c r="J33" s="49" t="s">
        <v>15</v>
      </c>
      <c r="K33" s="98" t="s">
        <v>15</v>
      </c>
      <c r="L33" s="43" t="s">
        <v>168</v>
      </c>
      <c r="M33" s="98" t="s">
        <v>18</v>
      </c>
      <c r="N33" s="98" t="s">
        <v>14</v>
      </c>
      <c r="O33" s="99">
        <v>1</v>
      </c>
      <c r="P33" s="100" t="s">
        <v>55</v>
      </c>
      <c r="Q33" s="36">
        <v>44682</v>
      </c>
      <c r="R33" s="50">
        <v>5900</v>
      </c>
      <c r="S33" s="256">
        <f t="shared" ref="S33:S57" si="2">+(T33-R33)/2+R33</f>
        <v>6949.5</v>
      </c>
      <c r="T33" s="182">
        <v>7999</v>
      </c>
      <c r="U33" s="182">
        <f t="shared" si="0"/>
        <v>8798.9000000000015</v>
      </c>
    </row>
    <row r="34" spans="2:21" ht="26.25" thickBot="1" x14ac:dyDescent="0.3">
      <c r="B34" s="193">
        <v>2</v>
      </c>
      <c r="C34" s="194" t="s">
        <v>284</v>
      </c>
      <c r="D34" s="237" t="s">
        <v>86</v>
      </c>
      <c r="E34" s="236" t="s">
        <v>253</v>
      </c>
      <c r="F34" s="95" t="s">
        <v>56</v>
      </c>
      <c r="G34" s="237" t="s">
        <v>14</v>
      </c>
      <c r="H34" s="237" t="s">
        <v>211</v>
      </c>
      <c r="I34" s="237" t="s">
        <v>57</v>
      </c>
      <c r="J34" s="237" t="s">
        <v>15</v>
      </c>
      <c r="K34" s="248" t="s">
        <v>17</v>
      </c>
      <c r="L34" s="237" t="s">
        <v>168</v>
      </c>
      <c r="M34" s="237" t="s">
        <v>59</v>
      </c>
      <c r="N34" s="43" t="s">
        <v>14</v>
      </c>
      <c r="O34" s="249" t="s">
        <v>52</v>
      </c>
      <c r="P34" s="43" t="s">
        <v>55</v>
      </c>
      <c r="Q34" s="45">
        <v>45444</v>
      </c>
      <c r="R34" s="50">
        <v>6150</v>
      </c>
      <c r="S34" s="256">
        <f t="shared" si="2"/>
        <v>7050</v>
      </c>
      <c r="T34" s="182">
        <v>7950</v>
      </c>
      <c r="U34" s="182">
        <f t="shared" si="0"/>
        <v>8745</v>
      </c>
    </row>
    <row r="35" spans="2:21" ht="25.5" x14ac:dyDescent="0.25">
      <c r="B35" s="195">
        <v>3</v>
      </c>
      <c r="C35" s="33" t="s">
        <v>287</v>
      </c>
      <c r="D35" s="31" t="s">
        <v>86</v>
      </c>
      <c r="E35" s="31" t="s">
        <v>252</v>
      </c>
      <c r="F35" s="121" t="s">
        <v>56</v>
      </c>
      <c r="G35" s="31" t="s">
        <v>14</v>
      </c>
      <c r="H35" s="121" t="s">
        <v>212</v>
      </c>
      <c r="I35" s="121" t="s">
        <v>24</v>
      </c>
      <c r="J35" s="31" t="s">
        <v>15</v>
      </c>
      <c r="K35" s="121" t="s">
        <v>15</v>
      </c>
      <c r="L35" s="31" t="s">
        <v>168</v>
      </c>
      <c r="M35" s="121" t="s">
        <v>18</v>
      </c>
      <c r="N35" s="31" t="s">
        <v>14</v>
      </c>
      <c r="O35" s="111">
        <v>1</v>
      </c>
      <c r="P35" s="139" t="s">
        <v>55</v>
      </c>
      <c r="Q35" s="127">
        <v>44805</v>
      </c>
      <c r="R35" s="38">
        <v>7350</v>
      </c>
      <c r="S35" s="257">
        <f t="shared" si="2"/>
        <v>8625</v>
      </c>
      <c r="T35" s="183">
        <v>9900</v>
      </c>
      <c r="U35" s="183">
        <f t="shared" si="0"/>
        <v>10890</v>
      </c>
    </row>
    <row r="36" spans="2:21" ht="25.5" x14ac:dyDescent="0.25">
      <c r="B36" s="113">
        <v>4</v>
      </c>
      <c r="C36" s="22">
        <v>122737</v>
      </c>
      <c r="D36" s="2" t="s">
        <v>143</v>
      </c>
      <c r="E36" s="2" t="s">
        <v>250</v>
      </c>
      <c r="F36" s="6" t="s">
        <v>56</v>
      </c>
      <c r="G36" s="2" t="s">
        <v>14</v>
      </c>
      <c r="H36" s="6" t="s">
        <v>214</v>
      </c>
      <c r="I36" s="6" t="s">
        <v>24</v>
      </c>
      <c r="J36" s="2" t="s">
        <v>15</v>
      </c>
      <c r="K36" s="6" t="s">
        <v>17</v>
      </c>
      <c r="L36" s="2" t="s">
        <v>168</v>
      </c>
      <c r="M36" s="6" t="s">
        <v>40</v>
      </c>
      <c r="N36" s="2" t="s">
        <v>14</v>
      </c>
      <c r="O36" s="65">
        <v>1</v>
      </c>
      <c r="P36" s="7" t="s">
        <v>55</v>
      </c>
      <c r="Q36" s="19">
        <v>44896</v>
      </c>
      <c r="R36" s="15">
        <v>6750</v>
      </c>
      <c r="S36" s="258">
        <f t="shared" si="2"/>
        <v>8050</v>
      </c>
      <c r="T36" s="187">
        <v>9350</v>
      </c>
      <c r="U36" s="187">
        <f t="shared" si="0"/>
        <v>10285</v>
      </c>
    </row>
    <row r="37" spans="2:21" ht="25.5" x14ac:dyDescent="0.25">
      <c r="B37" s="113">
        <v>5</v>
      </c>
      <c r="C37" s="22" t="s">
        <v>288</v>
      </c>
      <c r="D37" s="23" t="s">
        <v>86</v>
      </c>
      <c r="E37" s="26" t="s">
        <v>251</v>
      </c>
      <c r="F37" s="41" t="s">
        <v>165</v>
      </c>
      <c r="G37" s="23" t="s">
        <v>14</v>
      </c>
      <c r="H37" s="23" t="s">
        <v>181</v>
      </c>
      <c r="I37" s="26" t="s">
        <v>24</v>
      </c>
      <c r="J37" s="23" t="s">
        <v>15</v>
      </c>
      <c r="K37" s="23" t="s">
        <v>15</v>
      </c>
      <c r="L37" s="23" t="s">
        <v>168</v>
      </c>
      <c r="M37" s="41" t="s">
        <v>182</v>
      </c>
      <c r="N37" s="22" t="s">
        <v>14</v>
      </c>
      <c r="O37" s="67">
        <v>1</v>
      </c>
      <c r="P37" s="22" t="s">
        <v>55</v>
      </c>
      <c r="Q37" s="24">
        <v>45757</v>
      </c>
      <c r="R37" s="15">
        <v>5520</v>
      </c>
      <c r="S37" s="258">
        <f t="shared" si="2"/>
        <v>6435</v>
      </c>
      <c r="T37" s="187">
        <v>7350</v>
      </c>
      <c r="U37" s="187">
        <f t="shared" si="0"/>
        <v>8085.0000000000009</v>
      </c>
    </row>
    <row r="38" spans="2:21" ht="25.5" x14ac:dyDescent="0.25">
      <c r="B38" s="113">
        <v>6</v>
      </c>
      <c r="C38" s="22" t="s">
        <v>285</v>
      </c>
      <c r="D38" s="23" t="s">
        <v>86</v>
      </c>
      <c r="E38" s="26" t="s">
        <v>251</v>
      </c>
      <c r="F38" s="41" t="s">
        <v>164</v>
      </c>
      <c r="G38" s="23" t="s">
        <v>213</v>
      </c>
      <c r="H38" s="23" t="s">
        <v>181</v>
      </c>
      <c r="I38" s="26" t="s">
        <v>24</v>
      </c>
      <c r="J38" s="23" t="s">
        <v>200</v>
      </c>
      <c r="K38" s="47" t="s">
        <v>17</v>
      </c>
      <c r="L38" s="23" t="s">
        <v>169</v>
      </c>
      <c r="M38" s="41" t="s">
        <v>182</v>
      </c>
      <c r="N38" s="22" t="s">
        <v>14</v>
      </c>
      <c r="O38" s="67">
        <v>1</v>
      </c>
      <c r="P38" s="22" t="s">
        <v>55</v>
      </c>
      <c r="Q38" s="24">
        <v>45757</v>
      </c>
      <c r="R38" s="15">
        <v>8300</v>
      </c>
      <c r="S38" s="258">
        <f t="shared" si="2"/>
        <v>10025</v>
      </c>
      <c r="T38" s="187">
        <v>11750</v>
      </c>
      <c r="U38" s="187">
        <f t="shared" si="0"/>
        <v>12925.000000000002</v>
      </c>
    </row>
    <row r="39" spans="2:21" ht="25.5" x14ac:dyDescent="0.25">
      <c r="B39" s="113">
        <v>7</v>
      </c>
      <c r="C39" s="22" t="s">
        <v>286</v>
      </c>
      <c r="D39" s="23" t="s">
        <v>86</v>
      </c>
      <c r="E39" s="26" t="s">
        <v>251</v>
      </c>
      <c r="F39" s="41" t="s">
        <v>164</v>
      </c>
      <c r="G39" s="23" t="s">
        <v>213</v>
      </c>
      <c r="H39" s="23" t="s">
        <v>181</v>
      </c>
      <c r="I39" s="26" t="s">
        <v>24</v>
      </c>
      <c r="J39" s="23" t="s">
        <v>200</v>
      </c>
      <c r="K39" s="47" t="s">
        <v>17</v>
      </c>
      <c r="L39" s="23" t="s">
        <v>169</v>
      </c>
      <c r="M39" s="41" t="s">
        <v>182</v>
      </c>
      <c r="N39" s="22" t="s">
        <v>14</v>
      </c>
      <c r="O39" s="67">
        <v>1</v>
      </c>
      <c r="P39" s="22" t="s">
        <v>55</v>
      </c>
      <c r="Q39" s="24">
        <v>45757</v>
      </c>
      <c r="R39" s="15">
        <v>8300</v>
      </c>
      <c r="S39" s="258">
        <f t="shared" si="2"/>
        <v>10025</v>
      </c>
      <c r="T39" s="187">
        <v>11750</v>
      </c>
      <c r="U39" s="187">
        <f t="shared" si="0"/>
        <v>12925.000000000002</v>
      </c>
    </row>
    <row r="40" spans="2:21" ht="25.5" x14ac:dyDescent="0.25">
      <c r="B40" s="113">
        <v>8</v>
      </c>
      <c r="C40" s="22" t="s">
        <v>289</v>
      </c>
      <c r="D40" s="23" t="s">
        <v>86</v>
      </c>
      <c r="E40" s="26" t="s">
        <v>251</v>
      </c>
      <c r="F40" s="41" t="s">
        <v>165</v>
      </c>
      <c r="G40" s="23" t="s">
        <v>14</v>
      </c>
      <c r="H40" s="23" t="s">
        <v>181</v>
      </c>
      <c r="I40" s="26" t="s">
        <v>24</v>
      </c>
      <c r="J40" s="23" t="s">
        <v>15</v>
      </c>
      <c r="K40" s="47" t="s">
        <v>15</v>
      </c>
      <c r="L40" s="23" t="s">
        <v>168</v>
      </c>
      <c r="M40" s="41" t="s">
        <v>182</v>
      </c>
      <c r="N40" s="22" t="s">
        <v>14</v>
      </c>
      <c r="O40" s="67">
        <v>1</v>
      </c>
      <c r="P40" s="22" t="s">
        <v>55</v>
      </c>
      <c r="Q40" s="24">
        <v>45757</v>
      </c>
      <c r="R40" s="15">
        <v>5500</v>
      </c>
      <c r="S40" s="258">
        <f t="shared" si="2"/>
        <v>6425</v>
      </c>
      <c r="T40" s="187">
        <v>7350</v>
      </c>
      <c r="U40" s="187">
        <f t="shared" si="0"/>
        <v>8085.0000000000009</v>
      </c>
    </row>
    <row r="41" spans="2:21" ht="25.5" x14ac:dyDescent="0.25">
      <c r="B41" s="113">
        <v>9</v>
      </c>
      <c r="C41" s="22" t="s">
        <v>290</v>
      </c>
      <c r="D41" s="23" t="s">
        <v>86</v>
      </c>
      <c r="E41" s="26" t="s">
        <v>251</v>
      </c>
      <c r="F41" s="41" t="s">
        <v>165</v>
      </c>
      <c r="G41" s="23" t="s">
        <v>14</v>
      </c>
      <c r="H41" s="23" t="s">
        <v>181</v>
      </c>
      <c r="I41" s="26" t="s">
        <v>24</v>
      </c>
      <c r="J41" s="23" t="s">
        <v>15</v>
      </c>
      <c r="K41" s="47" t="s">
        <v>15</v>
      </c>
      <c r="L41" s="23" t="s">
        <v>168</v>
      </c>
      <c r="M41" s="41" t="s">
        <v>182</v>
      </c>
      <c r="N41" s="22" t="s">
        <v>14</v>
      </c>
      <c r="O41" s="67">
        <v>1</v>
      </c>
      <c r="P41" s="22" t="s">
        <v>55</v>
      </c>
      <c r="Q41" s="24">
        <v>45757</v>
      </c>
      <c r="R41" s="15">
        <v>5500</v>
      </c>
      <c r="S41" s="258">
        <f t="shared" si="2"/>
        <v>6425</v>
      </c>
      <c r="T41" s="187">
        <v>7350</v>
      </c>
      <c r="U41" s="187">
        <f t="shared" si="0"/>
        <v>8085.0000000000009</v>
      </c>
    </row>
    <row r="42" spans="2:21" ht="25.5" x14ac:dyDescent="0.25">
      <c r="B42" s="113">
        <v>10</v>
      </c>
      <c r="C42" s="22" t="s">
        <v>291</v>
      </c>
      <c r="D42" s="23" t="s">
        <v>86</v>
      </c>
      <c r="E42" s="26" t="s">
        <v>251</v>
      </c>
      <c r="F42" s="41" t="s">
        <v>165</v>
      </c>
      <c r="G42" s="23" t="s">
        <v>14</v>
      </c>
      <c r="H42" s="23" t="s">
        <v>181</v>
      </c>
      <c r="I42" s="26" t="s">
        <v>24</v>
      </c>
      <c r="J42" s="23" t="s">
        <v>15</v>
      </c>
      <c r="K42" s="47" t="s">
        <v>15</v>
      </c>
      <c r="L42" s="23" t="s">
        <v>168</v>
      </c>
      <c r="M42" s="41" t="s">
        <v>182</v>
      </c>
      <c r="N42" s="22" t="s">
        <v>14</v>
      </c>
      <c r="O42" s="67">
        <v>1</v>
      </c>
      <c r="P42" s="22" t="s">
        <v>55</v>
      </c>
      <c r="Q42" s="24">
        <v>45757</v>
      </c>
      <c r="R42" s="15">
        <v>5500</v>
      </c>
      <c r="S42" s="258">
        <f t="shared" si="2"/>
        <v>6425</v>
      </c>
      <c r="T42" s="187">
        <v>7350</v>
      </c>
      <c r="U42" s="187">
        <f t="shared" si="0"/>
        <v>8085.0000000000009</v>
      </c>
    </row>
    <row r="43" spans="2:21" ht="25.5" x14ac:dyDescent="0.25">
      <c r="B43" s="113">
        <v>11</v>
      </c>
      <c r="C43" s="22" t="s">
        <v>292</v>
      </c>
      <c r="D43" s="23" t="s">
        <v>86</v>
      </c>
      <c r="E43" s="109" t="s">
        <v>251</v>
      </c>
      <c r="F43" s="41" t="s">
        <v>56</v>
      </c>
      <c r="G43" s="23" t="s">
        <v>14</v>
      </c>
      <c r="H43" s="23" t="s">
        <v>181</v>
      </c>
      <c r="I43" s="26" t="s">
        <v>24</v>
      </c>
      <c r="J43" s="23" t="s">
        <v>15</v>
      </c>
      <c r="K43" s="47" t="s">
        <v>17</v>
      </c>
      <c r="L43" s="23" t="s">
        <v>168</v>
      </c>
      <c r="M43" s="41" t="s">
        <v>59</v>
      </c>
      <c r="N43" s="22" t="s">
        <v>14</v>
      </c>
      <c r="O43" s="67">
        <v>1</v>
      </c>
      <c r="P43" s="22" t="s">
        <v>55</v>
      </c>
      <c r="Q43" s="24">
        <v>45784</v>
      </c>
      <c r="R43" s="15">
        <v>6500</v>
      </c>
      <c r="S43" s="258">
        <f t="shared" si="2"/>
        <v>7625</v>
      </c>
      <c r="T43" s="187">
        <v>8750</v>
      </c>
      <c r="U43" s="187">
        <f t="shared" si="0"/>
        <v>9625</v>
      </c>
    </row>
    <row r="44" spans="2:21" ht="25.5" x14ac:dyDescent="0.25">
      <c r="B44" s="113">
        <v>12</v>
      </c>
      <c r="C44" s="22" t="s">
        <v>293</v>
      </c>
      <c r="D44" s="23" t="s">
        <v>86</v>
      </c>
      <c r="E44" s="109" t="s">
        <v>251</v>
      </c>
      <c r="F44" s="41" t="s">
        <v>56</v>
      </c>
      <c r="G44" s="23" t="s">
        <v>14</v>
      </c>
      <c r="H44" s="23" t="s">
        <v>181</v>
      </c>
      <c r="I44" s="26" t="s">
        <v>24</v>
      </c>
      <c r="J44" s="23" t="s">
        <v>15</v>
      </c>
      <c r="K44" s="47" t="s">
        <v>17</v>
      </c>
      <c r="L44" s="23" t="s">
        <v>168</v>
      </c>
      <c r="M44" s="41" t="s">
        <v>59</v>
      </c>
      <c r="N44" s="22" t="s">
        <v>14</v>
      </c>
      <c r="O44" s="67">
        <v>1</v>
      </c>
      <c r="P44" s="22" t="s">
        <v>55</v>
      </c>
      <c r="Q44" s="24">
        <v>45784</v>
      </c>
      <c r="R44" s="15">
        <v>6500</v>
      </c>
      <c r="S44" s="258">
        <f t="shared" si="2"/>
        <v>7625</v>
      </c>
      <c r="T44" s="187">
        <v>8750</v>
      </c>
      <c r="U44" s="187">
        <f t="shared" si="0"/>
        <v>9625</v>
      </c>
    </row>
    <row r="45" spans="2:21" ht="25.5" x14ac:dyDescent="0.25">
      <c r="B45" s="113">
        <v>13</v>
      </c>
      <c r="C45" s="22" t="s">
        <v>52</v>
      </c>
      <c r="D45" s="47" t="s">
        <v>86</v>
      </c>
      <c r="E45" s="110" t="s">
        <v>251</v>
      </c>
      <c r="F45" s="48" t="s">
        <v>56</v>
      </c>
      <c r="G45" s="47" t="s">
        <v>14</v>
      </c>
      <c r="H45" s="47" t="s">
        <v>181</v>
      </c>
      <c r="I45" s="107" t="s">
        <v>24</v>
      </c>
      <c r="J45" s="47" t="s">
        <v>15</v>
      </c>
      <c r="K45" s="47" t="s">
        <v>17</v>
      </c>
      <c r="L45" s="47" t="s">
        <v>168</v>
      </c>
      <c r="M45" s="48" t="s">
        <v>182</v>
      </c>
      <c r="N45" s="51" t="s">
        <v>14</v>
      </c>
      <c r="O45" s="108" t="s">
        <v>52</v>
      </c>
      <c r="P45" s="51" t="s">
        <v>55</v>
      </c>
      <c r="Q45" s="24">
        <v>45901</v>
      </c>
      <c r="R45" s="15">
        <v>6500</v>
      </c>
      <c r="S45" s="258">
        <f t="shared" si="2"/>
        <v>7625</v>
      </c>
      <c r="T45" s="187">
        <v>8750</v>
      </c>
      <c r="U45" s="187">
        <f t="shared" si="0"/>
        <v>9625</v>
      </c>
    </row>
    <row r="46" spans="2:21" ht="25.5" x14ac:dyDescent="0.25">
      <c r="B46" s="113">
        <v>14</v>
      </c>
      <c r="C46" s="22" t="s">
        <v>294</v>
      </c>
      <c r="D46" s="23" t="s">
        <v>86</v>
      </c>
      <c r="E46" s="109" t="s">
        <v>250</v>
      </c>
      <c r="F46" s="41" t="s">
        <v>56</v>
      </c>
      <c r="G46" s="23" t="s">
        <v>14</v>
      </c>
      <c r="H46" s="23" t="s">
        <v>181</v>
      </c>
      <c r="I46" s="26" t="s">
        <v>24</v>
      </c>
      <c r="J46" s="23" t="s">
        <v>15</v>
      </c>
      <c r="K46" s="47" t="s">
        <v>17</v>
      </c>
      <c r="L46" s="23" t="s">
        <v>168</v>
      </c>
      <c r="M46" s="41" t="s">
        <v>40</v>
      </c>
      <c r="N46" s="22" t="s">
        <v>14</v>
      </c>
      <c r="O46" s="67">
        <v>1</v>
      </c>
      <c r="P46" s="22" t="s">
        <v>55</v>
      </c>
      <c r="Q46" s="24">
        <v>45784</v>
      </c>
      <c r="R46" s="15">
        <v>6500</v>
      </c>
      <c r="S46" s="258">
        <f t="shared" si="2"/>
        <v>7625</v>
      </c>
      <c r="T46" s="187">
        <v>8750</v>
      </c>
      <c r="U46" s="187">
        <f t="shared" si="0"/>
        <v>9625</v>
      </c>
    </row>
    <row r="47" spans="2:21" ht="26.25" thickBot="1" x14ac:dyDescent="0.3">
      <c r="B47" s="116">
        <v>15</v>
      </c>
      <c r="C47" s="34" t="s">
        <v>295</v>
      </c>
      <c r="D47" s="117" t="s">
        <v>86</v>
      </c>
      <c r="E47" s="250" t="s">
        <v>250</v>
      </c>
      <c r="F47" s="173" t="s">
        <v>56</v>
      </c>
      <c r="G47" s="117" t="s">
        <v>14</v>
      </c>
      <c r="H47" s="117" t="s">
        <v>181</v>
      </c>
      <c r="I47" s="132" t="s">
        <v>24</v>
      </c>
      <c r="J47" s="117" t="s">
        <v>15</v>
      </c>
      <c r="K47" s="52" t="s">
        <v>17</v>
      </c>
      <c r="L47" s="117" t="s">
        <v>168</v>
      </c>
      <c r="M47" s="173" t="s">
        <v>40</v>
      </c>
      <c r="N47" s="34" t="s">
        <v>14</v>
      </c>
      <c r="O47" s="245">
        <v>1</v>
      </c>
      <c r="P47" s="34" t="s">
        <v>55</v>
      </c>
      <c r="Q47" s="39">
        <v>45784</v>
      </c>
      <c r="R47" s="119">
        <v>6500</v>
      </c>
      <c r="S47" s="259">
        <f t="shared" si="2"/>
        <v>7625</v>
      </c>
      <c r="T47" s="199">
        <v>8750</v>
      </c>
      <c r="U47" s="199">
        <f t="shared" si="0"/>
        <v>9625</v>
      </c>
    </row>
    <row r="48" spans="2:21" ht="25.5" x14ac:dyDescent="0.25">
      <c r="B48" s="195">
        <v>16</v>
      </c>
      <c r="C48" s="156" t="s">
        <v>297</v>
      </c>
      <c r="D48" s="31" t="s">
        <v>86</v>
      </c>
      <c r="E48" s="31" t="s">
        <v>244</v>
      </c>
      <c r="F48" s="31" t="s">
        <v>255</v>
      </c>
      <c r="G48" s="31" t="s">
        <v>213</v>
      </c>
      <c r="H48" s="31" t="s">
        <v>125</v>
      </c>
      <c r="I48" s="31" t="s">
        <v>126</v>
      </c>
      <c r="J48" s="31" t="s">
        <v>15</v>
      </c>
      <c r="K48" s="31" t="s">
        <v>17</v>
      </c>
      <c r="L48" s="31" t="s">
        <v>179</v>
      </c>
      <c r="M48" s="31" t="s">
        <v>40</v>
      </c>
      <c r="N48" s="31" t="s">
        <v>14</v>
      </c>
      <c r="O48" s="111" t="s">
        <v>52</v>
      </c>
      <c r="P48" s="112" t="s">
        <v>55</v>
      </c>
      <c r="Q48" s="200">
        <v>44317</v>
      </c>
      <c r="R48" s="32">
        <v>13800</v>
      </c>
      <c r="S48" s="260">
        <f t="shared" si="2"/>
        <v>15650</v>
      </c>
      <c r="T48" s="183">
        <v>17500</v>
      </c>
      <c r="U48" s="183">
        <f t="shared" si="0"/>
        <v>19250</v>
      </c>
    </row>
    <row r="49" spans="1:21" ht="25.5" x14ac:dyDescent="0.25">
      <c r="B49" s="113">
        <v>17</v>
      </c>
      <c r="C49" s="142" t="s">
        <v>296</v>
      </c>
      <c r="D49" s="2" t="s">
        <v>86</v>
      </c>
      <c r="E49" s="2" t="s">
        <v>243</v>
      </c>
      <c r="F49" s="6" t="s">
        <v>56</v>
      </c>
      <c r="G49" s="2" t="s">
        <v>14</v>
      </c>
      <c r="H49" s="6" t="s">
        <v>212</v>
      </c>
      <c r="I49" s="6" t="s">
        <v>126</v>
      </c>
      <c r="J49" s="2" t="s">
        <v>15</v>
      </c>
      <c r="K49" s="6" t="s">
        <v>15</v>
      </c>
      <c r="L49" s="2" t="s">
        <v>168</v>
      </c>
      <c r="M49" s="6" t="s">
        <v>18</v>
      </c>
      <c r="N49" s="6" t="s">
        <v>14</v>
      </c>
      <c r="O49" s="65">
        <v>1</v>
      </c>
      <c r="P49" s="7" t="s">
        <v>55</v>
      </c>
      <c r="Q49" s="19">
        <v>44682</v>
      </c>
      <c r="R49" s="9">
        <v>15000</v>
      </c>
      <c r="S49" s="261">
        <f t="shared" si="2"/>
        <v>18250</v>
      </c>
      <c r="T49" s="187">
        <v>21500</v>
      </c>
      <c r="U49" s="187">
        <f t="shared" si="0"/>
        <v>23650.000000000004</v>
      </c>
    </row>
    <row r="50" spans="1:21" ht="25.5" x14ac:dyDescent="0.25">
      <c r="B50" s="113">
        <v>18</v>
      </c>
      <c r="C50" s="192" t="s">
        <v>298</v>
      </c>
      <c r="D50" s="3" t="s">
        <v>86</v>
      </c>
      <c r="E50" s="3" t="s">
        <v>245</v>
      </c>
      <c r="F50" s="3" t="s">
        <v>255</v>
      </c>
      <c r="G50" s="3" t="s">
        <v>213</v>
      </c>
      <c r="H50" s="3" t="s">
        <v>125</v>
      </c>
      <c r="I50" s="3" t="s">
        <v>126</v>
      </c>
      <c r="J50" s="3" t="s">
        <v>15</v>
      </c>
      <c r="K50" s="3" t="s">
        <v>17</v>
      </c>
      <c r="L50" s="3" t="s">
        <v>179</v>
      </c>
      <c r="M50" s="3" t="s">
        <v>40</v>
      </c>
      <c r="N50" s="3" t="s">
        <v>14</v>
      </c>
      <c r="O50" s="106" t="s">
        <v>52</v>
      </c>
      <c r="P50" s="114" t="s">
        <v>55</v>
      </c>
      <c r="Q50" s="10">
        <v>44682</v>
      </c>
      <c r="R50" s="15">
        <v>13000</v>
      </c>
      <c r="S50" s="258">
        <f t="shared" si="2"/>
        <v>15950</v>
      </c>
      <c r="T50" s="187">
        <v>18900</v>
      </c>
      <c r="U50" s="187">
        <f t="shared" si="0"/>
        <v>20790</v>
      </c>
    </row>
    <row r="51" spans="1:21" ht="25.5" x14ac:dyDescent="0.25">
      <c r="B51" s="113">
        <v>19</v>
      </c>
      <c r="C51" s="192" t="s">
        <v>299</v>
      </c>
      <c r="D51" s="3" t="s">
        <v>86</v>
      </c>
      <c r="E51" s="114" t="s">
        <v>245</v>
      </c>
      <c r="F51" s="114" t="s">
        <v>58</v>
      </c>
      <c r="G51" s="114" t="s">
        <v>14</v>
      </c>
      <c r="H51" s="3" t="s">
        <v>176</v>
      </c>
      <c r="I51" s="114" t="s">
        <v>126</v>
      </c>
      <c r="J51" s="3" t="s">
        <v>15</v>
      </c>
      <c r="K51" s="3" t="s">
        <v>17</v>
      </c>
      <c r="L51" s="3" t="s">
        <v>169</v>
      </c>
      <c r="M51" s="114" t="s">
        <v>40</v>
      </c>
      <c r="N51" s="114" t="s">
        <v>14</v>
      </c>
      <c r="O51" s="115" t="s">
        <v>52</v>
      </c>
      <c r="P51" s="114" t="s">
        <v>55</v>
      </c>
      <c r="Q51" s="19">
        <v>44805</v>
      </c>
      <c r="R51" s="15">
        <v>13200</v>
      </c>
      <c r="S51" s="258">
        <f t="shared" si="2"/>
        <v>16050</v>
      </c>
      <c r="T51" s="187">
        <v>18900</v>
      </c>
      <c r="U51" s="187">
        <f t="shared" si="0"/>
        <v>20790</v>
      </c>
    </row>
    <row r="52" spans="1:21" ht="25.5" x14ac:dyDescent="0.25">
      <c r="A52" s="11" t="s">
        <v>178</v>
      </c>
      <c r="B52" s="113">
        <v>20</v>
      </c>
      <c r="C52" s="178" t="s">
        <v>300</v>
      </c>
      <c r="D52" s="3" t="s">
        <v>86</v>
      </c>
      <c r="E52" s="114" t="s">
        <v>245</v>
      </c>
      <c r="F52" s="114" t="s">
        <v>58</v>
      </c>
      <c r="G52" s="114" t="s">
        <v>213</v>
      </c>
      <c r="H52" s="3" t="s">
        <v>256</v>
      </c>
      <c r="I52" s="114" t="s">
        <v>126</v>
      </c>
      <c r="J52" s="3" t="s">
        <v>15</v>
      </c>
      <c r="K52" s="3" t="s">
        <v>17</v>
      </c>
      <c r="L52" s="3" t="s">
        <v>169</v>
      </c>
      <c r="M52" s="114" t="s">
        <v>40</v>
      </c>
      <c r="N52" s="114" t="s">
        <v>14</v>
      </c>
      <c r="O52" s="115">
        <v>1</v>
      </c>
      <c r="P52" s="114" t="s">
        <v>55</v>
      </c>
      <c r="Q52" s="19">
        <v>44805</v>
      </c>
      <c r="R52" s="15">
        <v>13200</v>
      </c>
      <c r="S52" s="258">
        <f t="shared" si="2"/>
        <v>16050</v>
      </c>
      <c r="T52" s="187">
        <v>18900</v>
      </c>
      <c r="U52" s="187">
        <f t="shared" si="0"/>
        <v>20790</v>
      </c>
    </row>
    <row r="53" spans="1:21" ht="26.25" thickBot="1" x14ac:dyDescent="0.3">
      <c r="B53" s="116">
        <v>21</v>
      </c>
      <c r="C53" s="243" t="s">
        <v>301</v>
      </c>
      <c r="D53" s="35" t="s">
        <v>86</v>
      </c>
      <c r="E53" s="134" t="s">
        <v>246</v>
      </c>
      <c r="F53" s="129" t="s">
        <v>162</v>
      </c>
      <c r="G53" s="134" t="s">
        <v>213</v>
      </c>
      <c r="H53" s="35" t="s">
        <v>125</v>
      </c>
      <c r="I53" s="134" t="s">
        <v>155</v>
      </c>
      <c r="J53" s="117" t="s">
        <v>15</v>
      </c>
      <c r="K53" s="35" t="s">
        <v>17</v>
      </c>
      <c r="L53" s="35" t="s">
        <v>169</v>
      </c>
      <c r="M53" s="134" t="s">
        <v>59</v>
      </c>
      <c r="N53" s="134" t="s">
        <v>14</v>
      </c>
      <c r="O53" s="161">
        <v>1</v>
      </c>
      <c r="P53" s="134" t="s">
        <v>55</v>
      </c>
      <c r="Q53" s="118">
        <v>45017</v>
      </c>
      <c r="R53" s="120">
        <v>13600</v>
      </c>
      <c r="S53" s="262">
        <f t="shared" si="2"/>
        <v>16550</v>
      </c>
      <c r="T53" s="199">
        <v>19500</v>
      </c>
      <c r="U53" s="199">
        <f t="shared" si="0"/>
        <v>21450</v>
      </c>
    </row>
    <row r="54" spans="1:21" ht="25.5" x14ac:dyDescent="0.25">
      <c r="B54" s="195">
        <v>22</v>
      </c>
      <c r="C54" s="197" t="s">
        <v>302</v>
      </c>
      <c r="D54" s="31" t="s">
        <v>86</v>
      </c>
      <c r="E54" s="112" t="s">
        <v>247</v>
      </c>
      <c r="F54" s="121" t="s">
        <v>162</v>
      </c>
      <c r="G54" s="112" t="s">
        <v>213</v>
      </c>
      <c r="H54" s="31" t="s">
        <v>216</v>
      </c>
      <c r="I54" s="112" t="s">
        <v>161</v>
      </c>
      <c r="J54" s="101" t="s">
        <v>15</v>
      </c>
      <c r="K54" s="31" t="s">
        <v>17</v>
      </c>
      <c r="L54" s="31" t="s">
        <v>168</v>
      </c>
      <c r="M54" s="112" t="s">
        <v>59</v>
      </c>
      <c r="N54" s="112" t="s">
        <v>14</v>
      </c>
      <c r="O54" s="157">
        <v>1</v>
      </c>
      <c r="P54" s="112" t="s">
        <v>55</v>
      </c>
      <c r="Q54" s="127">
        <v>45017</v>
      </c>
      <c r="R54" s="128">
        <v>16750</v>
      </c>
      <c r="S54" s="263">
        <f t="shared" si="2"/>
        <v>19625</v>
      </c>
      <c r="T54" s="183">
        <v>22500</v>
      </c>
      <c r="U54" s="183">
        <f t="shared" si="0"/>
        <v>24750.000000000004</v>
      </c>
    </row>
    <row r="55" spans="1:21" ht="26.25" thickBot="1" x14ac:dyDescent="0.3">
      <c r="B55" s="116">
        <v>23</v>
      </c>
      <c r="C55" s="198" t="s">
        <v>303</v>
      </c>
      <c r="D55" s="34" t="s">
        <v>86</v>
      </c>
      <c r="E55" s="250" t="s">
        <v>247</v>
      </c>
      <c r="F55" s="117" t="s">
        <v>162</v>
      </c>
      <c r="G55" s="132" t="s">
        <v>213</v>
      </c>
      <c r="H55" s="34" t="s">
        <v>216</v>
      </c>
      <c r="I55" s="132" t="s">
        <v>161</v>
      </c>
      <c r="J55" s="117" t="s">
        <v>15</v>
      </c>
      <c r="K55" s="34" t="s">
        <v>17</v>
      </c>
      <c r="L55" s="34" t="s">
        <v>168</v>
      </c>
      <c r="M55" s="132" t="s">
        <v>59</v>
      </c>
      <c r="N55" s="132" t="s">
        <v>14</v>
      </c>
      <c r="O55" s="86">
        <v>1</v>
      </c>
      <c r="P55" s="132" t="s">
        <v>55</v>
      </c>
      <c r="Q55" s="39">
        <v>45757</v>
      </c>
      <c r="R55" s="120">
        <v>16750</v>
      </c>
      <c r="S55" s="262">
        <f t="shared" si="2"/>
        <v>19625</v>
      </c>
      <c r="T55" s="199">
        <v>22500</v>
      </c>
      <c r="U55" s="199">
        <f t="shared" si="0"/>
        <v>24750.000000000004</v>
      </c>
    </row>
    <row r="56" spans="1:21" ht="25.5" x14ac:dyDescent="0.25">
      <c r="B56" s="195">
        <v>24</v>
      </c>
      <c r="C56" s="197" t="s">
        <v>304</v>
      </c>
      <c r="D56" s="121" t="s">
        <v>86</v>
      </c>
      <c r="E56" s="122" t="s">
        <v>248</v>
      </c>
      <c r="F56" s="123" t="s">
        <v>164</v>
      </c>
      <c r="G56" s="121" t="s">
        <v>213</v>
      </c>
      <c r="H56" s="121" t="s">
        <v>216</v>
      </c>
      <c r="I56" s="124" t="s">
        <v>197</v>
      </c>
      <c r="J56" s="101" t="s">
        <v>15</v>
      </c>
      <c r="K56" s="121" t="s">
        <v>17</v>
      </c>
      <c r="L56" s="121" t="s">
        <v>169</v>
      </c>
      <c r="M56" s="125" t="s">
        <v>40</v>
      </c>
      <c r="N56" s="112" t="s">
        <v>14</v>
      </c>
      <c r="O56" s="126">
        <v>1</v>
      </c>
      <c r="P56" s="33" t="s">
        <v>55</v>
      </c>
      <c r="Q56" s="127">
        <v>45444</v>
      </c>
      <c r="R56" s="128">
        <v>21500</v>
      </c>
      <c r="S56" s="263">
        <f t="shared" si="2"/>
        <v>24000</v>
      </c>
      <c r="T56" s="183">
        <v>26500</v>
      </c>
      <c r="U56" s="183">
        <f t="shared" si="0"/>
        <v>29150.000000000004</v>
      </c>
    </row>
    <row r="57" spans="1:21" ht="26.25" thickBot="1" x14ac:dyDescent="0.3">
      <c r="B57" s="116">
        <v>25</v>
      </c>
      <c r="C57" s="198" t="s">
        <v>305</v>
      </c>
      <c r="D57" s="129" t="s">
        <v>86</v>
      </c>
      <c r="E57" s="130" t="s">
        <v>249</v>
      </c>
      <c r="F57" s="131" t="s">
        <v>164</v>
      </c>
      <c r="G57" s="129" t="s">
        <v>213</v>
      </c>
      <c r="H57" s="129" t="s">
        <v>216</v>
      </c>
      <c r="I57" s="132" t="s">
        <v>197</v>
      </c>
      <c r="J57" s="117" t="s">
        <v>15</v>
      </c>
      <c r="K57" s="129" t="s">
        <v>17</v>
      </c>
      <c r="L57" s="129" t="s">
        <v>169</v>
      </c>
      <c r="M57" s="133" t="s">
        <v>217</v>
      </c>
      <c r="N57" s="134" t="s">
        <v>14</v>
      </c>
      <c r="O57" s="135">
        <v>1</v>
      </c>
      <c r="P57" s="34" t="s">
        <v>55</v>
      </c>
      <c r="Q57" s="39">
        <v>45784</v>
      </c>
      <c r="R57" s="120">
        <v>21500</v>
      </c>
      <c r="S57" s="262">
        <f t="shared" si="2"/>
        <v>24000</v>
      </c>
      <c r="T57" s="199">
        <v>26500</v>
      </c>
      <c r="U57" s="199">
        <f t="shared" si="0"/>
        <v>29150.000000000004</v>
      </c>
    </row>
    <row r="58" spans="1:21" ht="18.75" thickBot="1" x14ac:dyDescent="0.3">
      <c r="F58" s="77"/>
      <c r="H58" s="5"/>
      <c r="J58" s="78"/>
      <c r="K58" s="5"/>
      <c r="L58" s="5" t="s">
        <v>178</v>
      </c>
      <c r="O58" s="177">
        <f>SUM(O33:O57)</f>
        <v>20</v>
      </c>
      <c r="Q58" s="21"/>
      <c r="R58" s="79"/>
      <c r="S58" s="79"/>
    </row>
    <row r="59" spans="1:21" ht="21" thickBot="1" x14ac:dyDescent="0.3">
      <c r="B59" s="288" t="s">
        <v>223</v>
      </c>
      <c r="C59" s="289"/>
      <c r="D59" s="289"/>
      <c r="E59" s="289"/>
      <c r="F59" s="289"/>
      <c r="G59" s="289"/>
      <c r="H59" s="290"/>
    </row>
    <row r="60" spans="1:21" ht="36.75" thickBot="1" x14ac:dyDescent="0.3">
      <c r="B60" s="275" t="s">
        <v>0</v>
      </c>
      <c r="C60" s="276" t="s">
        <v>258</v>
      </c>
      <c r="D60" s="276" t="s">
        <v>1</v>
      </c>
      <c r="E60" s="76" t="s">
        <v>2</v>
      </c>
      <c r="F60" s="276" t="s">
        <v>5</v>
      </c>
      <c r="G60" s="276" t="s">
        <v>6</v>
      </c>
      <c r="H60" s="276" t="s">
        <v>8</v>
      </c>
      <c r="I60" s="276" t="s">
        <v>11</v>
      </c>
      <c r="J60" s="276" t="s">
        <v>89</v>
      </c>
      <c r="K60" s="276" t="s">
        <v>206</v>
      </c>
      <c r="L60" s="277" t="s">
        <v>28</v>
      </c>
      <c r="M60" s="276" t="s">
        <v>7</v>
      </c>
      <c r="N60" s="276" t="s">
        <v>60</v>
      </c>
      <c r="O60" s="281" t="s">
        <v>205</v>
      </c>
      <c r="P60" s="276" t="s">
        <v>3</v>
      </c>
      <c r="Q60" s="276" t="s">
        <v>54</v>
      </c>
      <c r="R60" s="282" t="s">
        <v>369</v>
      </c>
      <c r="S60" s="283" t="s">
        <v>392</v>
      </c>
      <c r="T60" s="284" t="s">
        <v>370</v>
      </c>
      <c r="U60" s="284" t="s">
        <v>391</v>
      </c>
    </row>
    <row r="61" spans="1:21" ht="39" thickBot="1" x14ac:dyDescent="0.3">
      <c r="B61" s="146">
        <v>1</v>
      </c>
      <c r="C61" s="33" t="s">
        <v>306</v>
      </c>
      <c r="D61" s="33" t="s">
        <v>184</v>
      </c>
      <c r="E61" s="102" t="s">
        <v>183</v>
      </c>
      <c r="F61" s="101" t="s">
        <v>162</v>
      </c>
      <c r="G61" s="124" t="s">
        <v>14</v>
      </c>
      <c r="H61" s="33" t="s">
        <v>181</v>
      </c>
      <c r="I61" s="124" t="s">
        <v>132</v>
      </c>
      <c r="J61" s="33" t="s">
        <v>201</v>
      </c>
      <c r="K61" s="33" t="s">
        <v>17</v>
      </c>
      <c r="L61" s="33" t="s">
        <v>169</v>
      </c>
      <c r="M61" s="124" t="s">
        <v>59</v>
      </c>
      <c r="N61" s="124" t="s">
        <v>14</v>
      </c>
      <c r="O61" s="87">
        <v>1</v>
      </c>
      <c r="P61" s="124" t="s">
        <v>55</v>
      </c>
      <c r="Q61" s="37">
        <v>45757</v>
      </c>
      <c r="R61" s="128">
        <v>10500</v>
      </c>
      <c r="S61" s="263">
        <f t="shared" ref="S61:S62" si="3">+(T61-R61)/2+R61</f>
        <v>13000</v>
      </c>
      <c r="T61" s="183">
        <v>15500</v>
      </c>
      <c r="U61" s="183">
        <f>+T61*1.1</f>
        <v>17050</v>
      </c>
    </row>
    <row r="62" spans="1:21" ht="39" thickBot="1" x14ac:dyDescent="0.3">
      <c r="B62" s="83">
        <v>2</v>
      </c>
      <c r="C62" s="43" t="s">
        <v>307</v>
      </c>
      <c r="D62" s="43" t="s">
        <v>184</v>
      </c>
      <c r="E62" s="236" t="s">
        <v>185</v>
      </c>
      <c r="F62" s="237" t="s">
        <v>162</v>
      </c>
      <c r="G62" s="44" t="s">
        <v>14</v>
      </c>
      <c r="H62" s="43" t="s">
        <v>181</v>
      </c>
      <c r="I62" s="44" t="s">
        <v>186</v>
      </c>
      <c r="J62" s="43" t="s">
        <v>201</v>
      </c>
      <c r="K62" s="43" t="s">
        <v>17</v>
      </c>
      <c r="L62" s="43" t="s">
        <v>169</v>
      </c>
      <c r="M62" s="44" t="s">
        <v>59</v>
      </c>
      <c r="N62" s="44" t="s">
        <v>14</v>
      </c>
      <c r="O62" s="89">
        <v>1</v>
      </c>
      <c r="P62" s="44" t="s">
        <v>55</v>
      </c>
      <c r="Q62" s="45">
        <v>45757</v>
      </c>
      <c r="R62" s="238">
        <v>15500</v>
      </c>
      <c r="S62" s="264">
        <f t="shared" si="3"/>
        <v>18500</v>
      </c>
      <c r="T62" s="182">
        <v>21500</v>
      </c>
      <c r="U62" s="182">
        <f>+T62*1.1</f>
        <v>23650.000000000004</v>
      </c>
    </row>
  </sheetData>
  <mergeCells count="5">
    <mergeCell ref="B2:G2"/>
    <mergeCell ref="B31:H31"/>
    <mergeCell ref="B59:H59"/>
    <mergeCell ref="M30:N30"/>
    <mergeCell ref="B1:Q1"/>
  </mergeCells>
  <phoneticPr fontId="7" type="noConversion"/>
  <pageMargins left="0.25" right="0.25" top="0.75" bottom="0.75" header="0.3" footer="0.3"/>
  <pageSetup paperSize="9" scale="50" fitToHeight="0" orientation="landscape" r:id="rId1"/>
  <rowBreaks count="2" manualBreakCount="2">
    <brk id="23" min="1" max="25" man="1"/>
    <brk id="47" min="1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  <pageSetUpPr fitToPage="1"/>
  </sheetPr>
  <dimension ref="B1:T60"/>
  <sheetViews>
    <sheetView topLeftCell="A13" zoomScale="70" zoomScaleNormal="70" zoomScaleSheetLayoutView="113" workbookViewId="0">
      <selection activeCell="M31" sqref="M31"/>
    </sheetView>
  </sheetViews>
  <sheetFormatPr baseColWidth="10" defaultColWidth="11.42578125" defaultRowHeight="18" x14ac:dyDescent="0.2"/>
  <cols>
    <col min="1" max="1" width="2.85546875" style="18" customWidth="1"/>
    <col min="2" max="2" width="6.85546875" style="11" customWidth="1"/>
    <col min="3" max="3" width="15.5703125" style="11" bestFit="1" customWidth="1"/>
    <col min="4" max="4" width="23.5703125" style="11" bestFit="1" customWidth="1"/>
    <col min="5" max="5" width="20.42578125" style="11" bestFit="1" customWidth="1"/>
    <col min="6" max="6" width="22" style="11" bestFit="1" customWidth="1"/>
    <col min="7" max="8" width="17.42578125" style="11" bestFit="1" customWidth="1"/>
    <col min="9" max="9" width="16" style="11" bestFit="1" customWidth="1"/>
    <col min="10" max="10" width="24.5703125" style="11" bestFit="1" customWidth="1"/>
    <col min="11" max="11" width="26" style="11" bestFit="1" customWidth="1"/>
    <col min="12" max="12" width="18.85546875" style="11" bestFit="1" customWidth="1"/>
    <col min="13" max="13" width="25.28515625" style="11" bestFit="1" customWidth="1"/>
    <col min="14" max="14" width="18.28515625" style="70" bestFit="1" customWidth="1"/>
    <col min="15" max="15" width="16.5703125" style="11" bestFit="1" customWidth="1"/>
    <col min="16" max="16" width="19.5703125" style="11" bestFit="1" customWidth="1"/>
    <col min="17" max="19" width="12.42578125" style="18" bestFit="1" customWidth="1"/>
    <col min="20" max="16384" width="11.42578125" style="18"/>
  </cols>
  <sheetData>
    <row r="1" spans="2:20" ht="6" customHeight="1" thickBot="1" x14ac:dyDescent="0.25"/>
    <row r="2" spans="2:20" ht="21" thickBot="1" x14ac:dyDescent="0.25">
      <c r="B2" s="305" t="s">
        <v>218</v>
      </c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7"/>
    </row>
    <row r="3" spans="2:20" ht="18.75" thickBot="1" x14ac:dyDescent="0.25">
      <c r="B3" s="302" t="s">
        <v>26</v>
      </c>
      <c r="C3" s="303"/>
      <c r="D3" s="303"/>
      <c r="E3" s="303"/>
      <c r="F3" s="304"/>
      <c r="Q3" s="213">
        <f>'UNIMAC '!R2</f>
        <v>45950</v>
      </c>
      <c r="R3" s="213"/>
    </row>
    <row r="4" spans="2:20" ht="39" thickBot="1" x14ac:dyDescent="0.25">
      <c r="B4" s="275" t="s">
        <v>0</v>
      </c>
      <c r="C4" s="276" t="s">
        <v>116</v>
      </c>
      <c r="D4" s="276" t="s">
        <v>1</v>
      </c>
      <c r="E4" s="276" t="s">
        <v>2</v>
      </c>
      <c r="F4" s="276" t="s">
        <v>5</v>
      </c>
      <c r="G4" s="276" t="s">
        <v>6</v>
      </c>
      <c r="H4" s="276" t="s">
        <v>8</v>
      </c>
      <c r="I4" s="276" t="s">
        <v>11</v>
      </c>
      <c r="J4" s="276" t="s">
        <v>199</v>
      </c>
      <c r="K4" s="276" t="s">
        <v>9</v>
      </c>
      <c r="L4" s="277" t="s">
        <v>28</v>
      </c>
      <c r="M4" s="276" t="s">
        <v>7</v>
      </c>
      <c r="N4" s="281" t="s">
        <v>215</v>
      </c>
      <c r="O4" s="276" t="s">
        <v>3</v>
      </c>
      <c r="P4" s="276" t="s">
        <v>54</v>
      </c>
      <c r="Q4" s="278" t="s">
        <v>369</v>
      </c>
      <c r="R4" s="279" t="s">
        <v>392</v>
      </c>
      <c r="S4" s="280" t="s">
        <v>370</v>
      </c>
    </row>
    <row r="5" spans="2:20" x14ac:dyDescent="0.2">
      <c r="B5" s="136">
        <v>1</v>
      </c>
      <c r="C5" s="31" t="s">
        <v>308</v>
      </c>
      <c r="D5" s="33" t="s">
        <v>29</v>
      </c>
      <c r="E5" s="33" t="s">
        <v>133</v>
      </c>
      <c r="F5" s="33" t="s">
        <v>128</v>
      </c>
      <c r="G5" s="33" t="s">
        <v>134</v>
      </c>
      <c r="H5" s="33" t="s">
        <v>51</v>
      </c>
      <c r="I5" s="33" t="s">
        <v>240</v>
      </c>
      <c r="J5" s="33" t="s">
        <v>219</v>
      </c>
      <c r="K5" s="33" t="s">
        <v>14</v>
      </c>
      <c r="L5" s="33" t="s">
        <v>169</v>
      </c>
      <c r="M5" s="33" t="s">
        <v>119</v>
      </c>
      <c r="N5" s="72">
        <v>1</v>
      </c>
      <c r="O5" s="33" t="s">
        <v>12</v>
      </c>
      <c r="P5" s="57" t="s">
        <v>130</v>
      </c>
      <c r="Q5" s="38">
        <v>6900</v>
      </c>
      <c r="R5" s="257">
        <f t="shared" ref="R5:R20" si="0">+(S5-Q5)/2+Q5</f>
        <v>7925</v>
      </c>
      <c r="S5" s="105">
        <v>8950</v>
      </c>
    </row>
    <row r="6" spans="2:20" ht="26.25" thickBot="1" x14ac:dyDescent="0.25">
      <c r="B6" s="61">
        <v>3</v>
      </c>
      <c r="C6" s="160" t="s">
        <v>309</v>
      </c>
      <c r="D6" s="34" t="s">
        <v>29</v>
      </c>
      <c r="E6" s="34" t="s">
        <v>133</v>
      </c>
      <c r="F6" s="34" t="s">
        <v>50</v>
      </c>
      <c r="G6" s="34" t="s">
        <v>97</v>
      </c>
      <c r="H6" s="34" t="s">
        <v>51</v>
      </c>
      <c r="I6" s="34" t="s">
        <v>240</v>
      </c>
      <c r="J6" s="34" t="s">
        <v>198</v>
      </c>
      <c r="K6" s="34" t="s">
        <v>14</v>
      </c>
      <c r="L6" s="34" t="s">
        <v>169</v>
      </c>
      <c r="M6" s="34" t="s">
        <v>119</v>
      </c>
      <c r="N6" s="242">
        <v>1</v>
      </c>
      <c r="O6" s="34" t="s">
        <v>12</v>
      </c>
      <c r="P6" s="251" t="s">
        <v>130</v>
      </c>
      <c r="Q6" s="119">
        <v>7900</v>
      </c>
      <c r="R6" s="259">
        <f t="shared" si="0"/>
        <v>8925</v>
      </c>
      <c r="S6" s="201">
        <v>9950</v>
      </c>
      <c r="T6" s="174"/>
    </row>
    <row r="7" spans="2:20" ht="18.75" thickBot="1" x14ac:dyDescent="0.25">
      <c r="B7" s="171">
        <v>5</v>
      </c>
      <c r="C7" s="239" t="s">
        <v>310</v>
      </c>
      <c r="D7" s="43" t="s">
        <v>49</v>
      </c>
      <c r="E7" s="43" t="s">
        <v>131</v>
      </c>
      <c r="F7" s="43" t="s">
        <v>128</v>
      </c>
      <c r="G7" s="43" t="s">
        <v>97</v>
      </c>
      <c r="H7" s="43" t="s">
        <v>187</v>
      </c>
      <c r="I7" s="43" t="s">
        <v>72</v>
      </c>
      <c r="J7" s="43" t="s">
        <v>219</v>
      </c>
      <c r="K7" s="43" t="s">
        <v>14</v>
      </c>
      <c r="L7" s="43" t="s">
        <v>169</v>
      </c>
      <c r="M7" s="43" t="s">
        <v>119</v>
      </c>
      <c r="N7" s="252">
        <v>1</v>
      </c>
      <c r="O7" s="43" t="s">
        <v>12</v>
      </c>
      <c r="P7" s="253">
        <v>45811</v>
      </c>
      <c r="Q7" s="50">
        <v>6200</v>
      </c>
      <c r="R7" s="256">
        <f t="shared" si="0"/>
        <v>8850</v>
      </c>
      <c r="S7" s="96">
        <v>11500</v>
      </c>
    </row>
    <row r="8" spans="2:20" ht="38.25" x14ac:dyDescent="0.2">
      <c r="B8" s="136">
        <v>7</v>
      </c>
      <c r="C8" s="156">
        <v>122560</v>
      </c>
      <c r="D8" s="33" t="s">
        <v>49</v>
      </c>
      <c r="E8" s="33" t="s">
        <v>30</v>
      </c>
      <c r="F8" s="33" t="s">
        <v>50</v>
      </c>
      <c r="G8" s="33" t="s">
        <v>97</v>
      </c>
      <c r="H8" s="33" t="s">
        <v>127</v>
      </c>
      <c r="I8" s="33" t="s">
        <v>20</v>
      </c>
      <c r="J8" s="31" t="s">
        <v>198</v>
      </c>
      <c r="K8" s="33" t="s">
        <v>14</v>
      </c>
      <c r="L8" s="33" t="s">
        <v>169</v>
      </c>
      <c r="M8" s="33" t="s">
        <v>121</v>
      </c>
      <c r="N8" s="72">
        <v>1</v>
      </c>
      <c r="O8" s="33" t="s">
        <v>12</v>
      </c>
      <c r="P8" s="57">
        <v>45143</v>
      </c>
      <c r="Q8" s="38">
        <v>10800</v>
      </c>
      <c r="R8" s="257">
        <f t="shared" si="0"/>
        <v>12150</v>
      </c>
      <c r="S8" s="105">
        <v>13500</v>
      </c>
    </row>
    <row r="9" spans="2:20" ht="38.25" x14ac:dyDescent="0.2">
      <c r="B9" s="60">
        <v>8</v>
      </c>
      <c r="C9" s="142" t="s">
        <v>311</v>
      </c>
      <c r="D9" s="22" t="s">
        <v>49</v>
      </c>
      <c r="E9" s="22" t="s">
        <v>30</v>
      </c>
      <c r="F9" s="22" t="s">
        <v>50</v>
      </c>
      <c r="G9" s="22" t="s">
        <v>97</v>
      </c>
      <c r="H9" s="22" t="s">
        <v>127</v>
      </c>
      <c r="I9" s="22" t="s">
        <v>20</v>
      </c>
      <c r="J9" s="2" t="s">
        <v>198</v>
      </c>
      <c r="K9" s="22" t="s">
        <v>14</v>
      </c>
      <c r="L9" s="22" t="s">
        <v>169</v>
      </c>
      <c r="M9" s="22" t="s">
        <v>121</v>
      </c>
      <c r="N9" s="66">
        <v>1</v>
      </c>
      <c r="O9" s="22" t="s">
        <v>12</v>
      </c>
      <c r="P9" s="40">
        <v>45143</v>
      </c>
      <c r="Q9" s="15">
        <v>10800</v>
      </c>
      <c r="R9" s="258">
        <f t="shared" si="0"/>
        <v>12150</v>
      </c>
      <c r="S9" s="188">
        <v>13500</v>
      </c>
    </row>
    <row r="10" spans="2:20" ht="38.25" x14ac:dyDescent="0.2">
      <c r="B10" s="60">
        <v>10</v>
      </c>
      <c r="C10" s="142" t="s">
        <v>312</v>
      </c>
      <c r="D10" s="22" t="s">
        <v>49</v>
      </c>
      <c r="E10" s="22" t="s">
        <v>30</v>
      </c>
      <c r="F10" s="22" t="s">
        <v>158</v>
      </c>
      <c r="G10" s="22" t="s">
        <v>102</v>
      </c>
      <c r="H10" s="22" t="s">
        <v>127</v>
      </c>
      <c r="I10" s="22" t="s">
        <v>20</v>
      </c>
      <c r="J10" s="2" t="s">
        <v>219</v>
      </c>
      <c r="K10" s="22" t="s">
        <v>14</v>
      </c>
      <c r="L10" s="22" t="s">
        <v>169</v>
      </c>
      <c r="M10" s="22" t="s">
        <v>121</v>
      </c>
      <c r="N10" s="66">
        <v>1</v>
      </c>
      <c r="O10" s="22" t="s">
        <v>12</v>
      </c>
      <c r="P10" s="40">
        <v>45143</v>
      </c>
      <c r="Q10" s="15">
        <v>10500</v>
      </c>
      <c r="R10" s="258">
        <f t="shared" si="0"/>
        <v>12500</v>
      </c>
      <c r="S10" s="188">
        <v>14500</v>
      </c>
    </row>
    <row r="11" spans="2:20" ht="18.75" thickBot="1" x14ac:dyDescent="0.25">
      <c r="B11" s="61">
        <v>11</v>
      </c>
      <c r="C11" s="160" t="s">
        <v>313</v>
      </c>
      <c r="D11" s="34" t="s">
        <v>49</v>
      </c>
      <c r="E11" s="34" t="s">
        <v>30</v>
      </c>
      <c r="F11" s="34" t="s">
        <v>158</v>
      </c>
      <c r="G11" s="34" t="s">
        <v>257</v>
      </c>
      <c r="H11" s="34" t="s">
        <v>187</v>
      </c>
      <c r="I11" s="34" t="s">
        <v>20</v>
      </c>
      <c r="J11" s="34" t="s">
        <v>219</v>
      </c>
      <c r="K11" s="34" t="s">
        <v>14</v>
      </c>
      <c r="L11" s="34" t="s">
        <v>169</v>
      </c>
      <c r="M11" s="34" t="s">
        <v>119</v>
      </c>
      <c r="N11" s="242">
        <v>1</v>
      </c>
      <c r="O11" s="34" t="s">
        <v>12</v>
      </c>
      <c r="P11" s="251">
        <v>45811</v>
      </c>
      <c r="Q11" s="119">
        <v>7500</v>
      </c>
      <c r="R11" s="259">
        <f t="shared" si="0"/>
        <v>10000</v>
      </c>
      <c r="S11" s="201">
        <v>12500</v>
      </c>
    </row>
    <row r="12" spans="2:20" ht="38.25" x14ac:dyDescent="0.2">
      <c r="B12" s="136">
        <v>13</v>
      </c>
      <c r="C12" s="156" t="s">
        <v>314</v>
      </c>
      <c r="D12" s="33" t="s">
        <v>49</v>
      </c>
      <c r="E12" s="33" t="s">
        <v>22</v>
      </c>
      <c r="F12" s="33" t="s">
        <v>50</v>
      </c>
      <c r="G12" s="33" t="s">
        <v>97</v>
      </c>
      <c r="H12" s="33" t="s">
        <v>166</v>
      </c>
      <c r="I12" s="33" t="s">
        <v>25</v>
      </c>
      <c r="J12" s="33" t="s">
        <v>198</v>
      </c>
      <c r="K12" s="33" t="s">
        <v>14</v>
      </c>
      <c r="L12" s="33" t="s">
        <v>169</v>
      </c>
      <c r="M12" s="33" t="s">
        <v>121</v>
      </c>
      <c r="N12" s="72">
        <v>1</v>
      </c>
      <c r="O12" s="33" t="s">
        <v>12</v>
      </c>
      <c r="P12" s="57">
        <v>45811</v>
      </c>
      <c r="Q12" s="38">
        <v>9100</v>
      </c>
      <c r="R12" s="257">
        <f t="shared" si="0"/>
        <v>11725</v>
      </c>
      <c r="S12" s="105">
        <v>14350</v>
      </c>
    </row>
    <row r="13" spans="2:20" ht="38.25" x14ac:dyDescent="0.2">
      <c r="B13" s="60">
        <v>15</v>
      </c>
      <c r="C13" s="142" t="s">
        <v>315</v>
      </c>
      <c r="D13" s="22" t="s">
        <v>49</v>
      </c>
      <c r="E13" s="22" t="s">
        <v>22</v>
      </c>
      <c r="F13" s="22" t="s">
        <v>50</v>
      </c>
      <c r="G13" s="22" t="s">
        <v>97</v>
      </c>
      <c r="H13" s="22" t="s">
        <v>188</v>
      </c>
      <c r="I13" s="22" t="s">
        <v>25</v>
      </c>
      <c r="J13" s="22" t="s">
        <v>198</v>
      </c>
      <c r="K13" s="22" t="s">
        <v>14</v>
      </c>
      <c r="L13" s="22" t="s">
        <v>169</v>
      </c>
      <c r="M13" s="22" t="s">
        <v>121</v>
      </c>
      <c r="N13" s="66">
        <v>1</v>
      </c>
      <c r="O13" s="22" t="s">
        <v>12</v>
      </c>
      <c r="P13" s="40">
        <v>45811</v>
      </c>
      <c r="Q13" s="15">
        <v>9500</v>
      </c>
      <c r="R13" s="258">
        <f t="shared" si="0"/>
        <v>12200</v>
      </c>
      <c r="S13" s="188">
        <v>14900</v>
      </c>
    </row>
    <row r="14" spans="2:20" ht="38.25" x14ac:dyDescent="0.2">
      <c r="B14" s="60">
        <v>16</v>
      </c>
      <c r="C14" s="142" t="s">
        <v>316</v>
      </c>
      <c r="D14" s="22" t="s">
        <v>49</v>
      </c>
      <c r="E14" s="22" t="s">
        <v>22</v>
      </c>
      <c r="F14" s="22" t="s">
        <v>50</v>
      </c>
      <c r="G14" s="22" t="s">
        <v>97</v>
      </c>
      <c r="H14" s="22" t="s">
        <v>188</v>
      </c>
      <c r="I14" s="22" t="s">
        <v>25</v>
      </c>
      <c r="J14" s="22" t="s">
        <v>198</v>
      </c>
      <c r="K14" s="22" t="s">
        <v>14</v>
      </c>
      <c r="L14" s="22" t="s">
        <v>169</v>
      </c>
      <c r="M14" s="22" t="s">
        <v>121</v>
      </c>
      <c r="N14" s="66">
        <v>1</v>
      </c>
      <c r="O14" s="22" t="s">
        <v>12</v>
      </c>
      <c r="P14" s="40">
        <v>45811</v>
      </c>
      <c r="Q14" s="15">
        <v>9500</v>
      </c>
      <c r="R14" s="258">
        <f t="shared" si="0"/>
        <v>12200</v>
      </c>
      <c r="S14" s="188">
        <v>14900</v>
      </c>
    </row>
    <row r="15" spans="2:20" ht="38.25" x14ac:dyDescent="0.2">
      <c r="B15" s="60">
        <v>17</v>
      </c>
      <c r="C15" s="142" t="s">
        <v>317</v>
      </c>
      <c r="D15" s="22" t="s">
        <v>49</v>
      </c>
      <c r="E15" s="22" t="s">
        <v>22</v>
      </c>
      <c r="F15" s="22" t="s">
        <v>50</v>
      </c>
      <c r="G15" s="22" t="s">
        <v>97</v>
      </c>
      <c r="H15" s="22" t="s">
        <v>188</v>
      </c>
      <c r="I15" s="22" t="s">
        <v>25</v>
      </c>
      <c r="J15" s="22" t="s">
        <v>198</v>
      </c>
      <c r="K15" s="22" t="s">
        <v>14</v>
      </c>
      <c r="L15" s="22" t="s">
        <v>169</v>
      </c>
      <c r="M15" s="22" t="s">
        <v>121</v>
      </c>
      <c r="N15" s="66">
        <v>1</v>
      </c>
      <c r="O15" s="22" t="s">
        <v>12</v>
      </c>
      <c r="P15" s="40">
        <v>45811</v>
      </c>
      <c r="Q15" s="15">
        <v>9500</v>
      </c>
      <c r="R15" s="258">
        <f t="shared" si="0"/>
        <v>12200</v>
      </c>
      <c r="S15" s="188">
        <v>14900</v>
      </c>
    </row>
    <row r="16" spans="2:20" ht="39" thickBot="1" x14ac:dyDescent="0.25">
      <c r="B16" s="61">
        <v>18</v>
      </c>
      <c r="C16" s="160" t="s">
        <v>318</v>
      </c>
      <c r="D16" s="34" t="s">
        <v>49</v>
      </c>
      <c r="E16" s="34" t="s">
        <v>22</v>
      </c>
      <c r="F16" s="34" t="s">
        <v>50</v>
      </c>
      <c r="G16" s="34" t="s">
        <v>97</v>
      </c>
      <c r="H16" s="34" t="s">
        <v>188</v>
      </c>
      <c r="I16" s="34" t="s">
        <v>25</v>
      </c>
      <c r="J16" s="34" t="s">
        <v>198</v>
      </c>
      <c r="K16" s="34" t="s">
        <v>14</v>
      </c>
      <c r="L16" s="34" t="s">
        <v>169</v>
      </c>
      <c r="M16" s="34" t="s">
        <v>121</v>
      </c>
      <c r="N16" s="242">
        <v>1</v>
      </c>
      <c r="O16" s="34" t="s">
        <v>12</v>
      </c>
      <c r="P16" s="251">
        <v>45811</v>
      </c>
      <c r="Q16" s="119">
        <v>9500</v>
      </c>
      <c r="R16" s="259">
        <f t="shared" si="0"/>
        <v>12200</v>
      </c>
      <c r="S16" s="201">
        <v>14900</v>
      </c>
    </row>
    <row r="17" spans="2:19" ht="38.25" x14ac:dyDescent="0.2">
      <c r="B17" s="136">
        <v>20</v>
      </c>
      <c r="C17" s="147" t="s">
        <v>320</v>
      </c>
      <c r="D17" s="101" t="s">
        <v>49</v>
      </c>
      <c r="E17" s="33" t="s">
        <v>23</v>
      </c>
      <c r="F17" s="103" t="s">
        <v>128</v>
      </c>
      <c r="G17" s="101">
        <v>150</v>
      </c>
      <c r="H17" s="101" t="s">
        <v>319</v>
      </c>
      <c r="I17" s="33" t="s">
        <v>241</v>
      </c>
      <c r="J17" s="33" t="s">
        <v>198</v>
      </c>
      <c r="K17" s="33" t="s">
        <v>14</v>
      </c>
      <c r="L17" s="33" t="s">
        <v>169</v>
      </c>
      <c r="M17" s="103" t="s">
        <v>121</v>
      </c>
      <c r="N17" s="104">
        <v>1</v>
      </c>
      <c r="O17" s="33" t="s">
        <v>12</v>
      </c>
      <c r="P17" s="37">
        <v>45474</v>
      </c>
      <c r="Q17" s="38">
        <v>15150</v>
      </c>
      <c r="R17" s="257">
        <f t="shared" si="0"/>
        <v>17325</v>
      </c>
      <c r="S17" s="105">
        <v>19500</v>
      </c>
    </row>
    <row r="18" spans="2:19" ht="38.25" x14ac:dyDescent="0.2">
      <c r="B18" s="60">
        <v>22</v>
      </c>
      <c r="C18" s="141" t="s">
        <v>321</v>
      </c>
      <c r="D18" s="23" t="s">
        <v>49</v>
      </c>
      <c r="E18" s="22" t="s">
        <v>23</v>
      </c>
      <c r="F18" s="41" t="s">
        <v>50</v>
      </c>
      <c r="G18" s="23">
        <v>100</v>
      </c>
      <c r="H18" s="23" t="s">
        <v>166</v>
      </c>
      <c r="I18" s="22" t="s">
        <v>241</v>
      </c>
      <c r="J18" s="22" t="s">
        <v>198</v>
      </c>
      <c r="K18" s="22" t="s">
        <v>14</v>
      </c>
      <c r="L18" s="22" t="s">
        <v>169</v>
      </c>
      <c r="M18" s="41" t="s">
        <v>121</v>
      </c>
      <c r="N18" s="67">
        <v>1</v>
      </c>
      <c r="O18" s="22" t="s">
        <v>12</v>
      </c>
      <c r="P18" s="24">
        <v>45474</v>
      </c>
      <c r="Q18" s="15">
        <v>14600</v>
      </c>
      <c r="R18" s="258">
        <f t="shared" si="0"/>
        <v>17050</v>
      </c>
      <c r="S18" s="188">
        <v>19500</v>
      </c>
    </row>
    <row r="19" spans="2:19" ht="38.25" x14ac:dyDescent="0.2">
      <c r="B19" s="60">
        <v>23</v>
      </c>
      <c r="C19" s="141" t="s">
        <v>322</v>
      </c>
      <c r="D19" s="23" t="s">
        <v>49</v>
      </c>
      <c r="E19" s="22" t="s">
        <v>23</v>
      </c>
      <c r="F19" s="41" t="s">
        <v>50</v>
      </c>
      <c r="G19" s="23">
        <v>100</v>
      </c>
      <c r="H19" s="23" t="s">
        <v>166</v>
      </c>
      <c r="I19" s="22" t="s">
        <v>241</v>
      </c>
      <c r="J19" s="22" t="s">
        <v>198</v>
      </c>
      <c r="K19" s="22" t="s">
        <v>14</v>
      </c>
      <c r="L19" s="22" t="s">
        <v>169</v>
      </c>
      <c r="M19" s="41" t="s">
        <v>121</v>
      </c>
      <c r="N19" s="67">
        <v>1</v>
      </c>
      <c r="O19" s="22" t="s">
        <v>12</v>
      </c>
      <c r="P19" s="24">
        <v>45474</v>
      </c>
      <c r="Q19" s="15">
        <v>14600</v>
      </c>
      <c r="R19" s="258">
        <f t="shared" si="0"/>
        <v>17050</v>
      </c>
      <c r="S19" s="188">
        <v>19500</v>
      </c>
    </row>
    <row r="20" spans="2:19" ht="39" thickBot="1" x14ac:dyDescent="0.25">
      <c r="B20" s="61">
        <v>25</v>
      </c>
      <c r="C20" s="151" t="s">
        <v>323</v>
      </c>
      <c r="D20" s="117" t="s">
        <v>49</v>
      </c>
      <c r="E20" s="34" t="s">
        <v>23</v>
      </c>
      <c r="F20" s="173" t="s">
        <v>158</v>
      </c>
      <c r="G20" s="117">
        <v>200</v>
      </c>
      <c r="H20" s="117" t="s">
        <v>172</v>
      </c>
      <c r="I20" s="34" t="s">
        <v>241</v>
      </c>
      <c r="J20" s="34" t="s">
        <v>198</v>
      </c>
      <c r="K20" s="34" t="s">
        <v>14</v>
      </c>
      <c r="L20" s="34" t="s">
        <v>169</v>
      </c>
      <c r="M20" s="173" t="s">
        <v>121</v>
      </c>
      <c r="N20" s="254">
        <v>1</v>
      </c>
      <c r="O20" s="117" t="s">
        <v>12</v>
      </c>
      <c r="P20" s="39">
        <v>45474</v>
      </c>
      <c r="Q20" s="119">
        <v>13900</v>
      </c>
      <c r="R20" s="259">
        <f t="shared" si="0"/>
        <v>16325</v>
      </c>
      <c r="S20" s="201">
        <v>18750</v>
      </c>
    </row>
    <row r="21" spans="2:19" ht="18.75" thickBot="1" x14ac:dyDescent="0.25">
      <c r="M21" s="202" t="s">
        <v>33</v>
      </c>
      <c r="N21" s="140">
        <f>SUM(N7:N20)</f>
        <v>14</v>
      </c>
    </row>
    <row r="22" spans="2:19" ht="18.75" thickBot="1" x14ac:dyDescent="0.25">
      <c r="B22" s="299" t="s">
        <v>36</v>
      </c>
      <c r="C22" s="300"/>
      <c r="D22" s="300"/>
      <c r="E22" s="300"/>
      <c r="F22" s="301"/>
    </row>
    <row r="23" spans="2:19" ht="39" thickBot="1" x14ac:dyDescent="0.25">
      <c r="B23" s="54" t="s">
        <v>0</v>
      </c>
      <c r="C23" s="138"/>
      <c r="D23" s="55" t="s">
        <v>1</v>
      </c>
      <c r="E23" s="55" t="s">
        <v>2</v>
      </c>
      <c r="F23" s="55" t="s">
        <v>5</v>
      </c>
      <c r="G23" s="55" t="s">
        <v>6</v>
      </c>
      <c r="H23" s="55" t="s">
        <v>8</v>
      </c>
      <c r="I23" s="55" t="s">
        <v>11</v>
      </c>
      <c r="J23" s="55" t="s">
        <v>10</v>
      </c>
      <c r="K23" s="55" t="s">
        <v>9</v>
      </c>
      <c r="L23" s="56" t="s">
        <v>28</v>
      </c>
      <c r="M23" s="55" t="s">
        <v>7</v>
      </c>
      <c r="N23" s="71" t="s">
        <v>215</v>
      </c>
      <c r="O23" s="55" t="s">
        <v>3</v>
      </c>
      <c r="P23" s="55" t="s">
        <v>54</v>
      </c>
      <c r="Q23" s="4" t="s">
        <v>369</v>
      </c>
      <c r="R23" s="265" t="s">
        <v>392</v>
      </c>
      <c r="S23" s="4" t="s">
        <v>370</v>
      </c>
    </row>
    <row r="24" spans="2:19" ht="26.25" thickBot="1" x14ac:dyDescent="0.25">
      <c r="B24" s="136">
        <v>1</v>
      </c>
      <c r="C24" s="197" t="s">
        <v>324</v>
      </c>
      <c r="D24" s="31" t="s">
        <v>29</v>
      </c>
      <c r="E24" s="31" t="s">
        <v>46</v>
      </c>
      <c r="F24" s="31" t="s">
        <v>50</v>
      </c>
      <c r="G24" s="31" t="s">
        <v>37</v>
      </c>
      <c r="H24" s="31" t="s">
        <v>32</v>
      </c>
      <c r="I24" s="31" t="s">
        <v>47</v>
      </c>
      <c r="J24" s="31" t="s">
        <v>198</v>
      </c>
      <c r="K24" s="31" t="s">
        <v>14</v>
      </c>
      <c r="L24" s="31" t="s">
        <v>169</v>
      </c>
      <c r="M24" s="31" t="s">
        <v>14</v>
      </c>
      <c r="N24" s="157">
        <v>1</v>
      </c>
      <c r="O24" s="31" t="s">
        <v>12</v>
      </c>
      <c r="P24" s="127">
        <v>44467</v>
      </c>
      <c r="Q24" s="38">
        <v>8900</v>
      </c>
      <c r="R24" s="257">
        <f t="shared" ref="R24:R27" si="1">+(S24-Q24)/2+Q24</f>
        <v>10700</v>
      </c>
      <c r="S24" s="105">
        <v>12500</v>
      </c>
    </row>
    <row r="25" spans="2:19" ht="25.5" x14ac:dyDescent="0.2">
      <c r="B25" s="136">
        <v>3</v>
      </c>
      <c r="C25" s="197" t="s">
        <v>325</v>
      </c>
      <c r="D25" s="31" t="s">
        <v>29</v>
      </c>
      <c r="E25" s="31" t="s">
        <v>44</v>
      </c>
      <c r="F25" s="31" t="s">
        <v>48</v>
      </c>
      <c r="G25" s="31" t="s">
        <v>135</v>
      </c>
      <c r="H25" s="31" t="s">
        <v>51</v>
      </c>
      <c r="I25" s="31" t="s">
        <v>136</v>
      </c>
      <c r="J25" s="31" t="s">
        <v>198</v>
      </c>
      <c r="K25" s="31" t="s">
        <v>14</v>
      </c>
      <c r="L25" s="31" t="s">
        <v>169</v>
      </c>
      <c r="M25" s="31" t="s">
        <v>119</v>
      </c>
      <c r="N25" s="157">
        <v>1</v>
      </c>
      <c r="O25" s="31" t="s">
        <v>12</v>
      </c>
      <c r="P25" s="127" t="s">
        <v>130</v>
      </c>
      <c r="Q25" s="38">
        <v>11200</v>
      </c>
      <c r="R25" s="257">
        <f t="shared" si="1"/>
        <v>12850</v>
      </c>
      <c r="S25" s="105">
        <v>14500</v>
      </c>
    </row>
    <row r="26" spans="2:19" ht="26.25" thickBot="1" x14ac:dyDescent="0.25">
      <c r="B26" s="60">
        <v>4</v>
      </c>
      <c r="C26" s="178" t="s">
        <v>326</v>
      </c>
      <c r="D26" s="2" t="s">
        <v>29</v>
      </c>
      <c r="E26" s="2" t="s">
        <v>44</v>
      </c>
      <c r="F26" s="2" t="s">
        <v>48</v>
      </c>
      <c r="G26" s="2" t="s">
        <v>135</v>
      </c>
      <c r="H26" s="2" t="s">
        <v>51</v>
      </c>
      <c r="I26" s="2" t="s">
        <v>136</v>
      </c>
      <c r="J26" s="2" t="s">
        <v>198</v>
      </c>
      <c r="K26" s="2" t="s">
        <v>14</v>
      </c>
      <c r="L26" s="2" t="s">
        <v>169</v>
      </c>
      <c r="M26" s="2" t="s">
        <v>119</v>
      </c>
      <c r="N26" s="69">
        <v>1</v>
      </c>
      <c r="O26" s="2" t="s">
        <v>12</v>
      </c>
      <c r="P26" s="19" t="s">
        <v>130</v>
      </c>
      <c r="Q26" s="15">
        <v>11200</v>
      </c>
      <c r="R26" s="258">
        <f t="shared" si="1"/>
        <v>12850</v>
      </c>
      <c r="S26" s="188">
        <v>14500</v>
      </c>
    </row>
    <row r="27" spans="2:19" ht="18.75" thickBot="1" x14ac:dyDescent="0.25">
      <c r="B27" s="171">
        <v>6</v>
      </c>
      <c r="C27" s="181" t="s">
        <v>327</v>
      </c>
      <c r="D27" s="49" t="s">
        <v>29</v>
      </c>
      <c r="E27" s="49" t="s">
        <v>16</v>
      </c>
      <c r="F27" s="49" t="s">
        <v>31</v>
      </c>
      <c r="G27" s="49" t="s">
        <v>43</v>
      </c>
      <c r="H27" s="49" t="s">
        <v>38</v>
      </c>
      <c r="I27" s="49" t="s">
        <v>42</v>
      </c>
      <c r="J27" s="49" t="s">
        <v>219</v>
      </c>
      <c r="K27" s="49" t="s">
        <v>14</v>
      </c>
      <c r="L27" s="49" t="s">
        <v>169</v>
      </c>
      <c r="M27" s="49" t="s">
        <v>119</v>
      </c>
      <c r="N27" s="63">
        <v>1</v>
      </c>
      <c r="O27" s="49" t="s">
        <v>12</v>
      </c>
      <c r="P27" s="36">
        <v>44503</v>
      </c>
      <c r="Q27" s="50">
        <v>14287.702075892917</v>
      </c>
      <c r="R27" s="256">
        <f t="shared" si="1"/>
        <v>17893.851037946457</v>
      </c>
      <c r="S27" s="96">
        <v>21500</v>
      </c>
    </row>
    <row r="28" spans="2:19" ht="18.75" thickBot="1" x14ac:dyDescent="0.25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202" t="s">
        <v>33</v>
      </c>
      <c r="N28" s="140">
        <f>SUM(N24:N27)</f>
        <v>4</v>
      </c>
      <c r="O28" s="5"/>
      <c r="P28" s="21"/>
    </row>
    <row r="29" spans="2:19" ht="18.75" thickBot="1" x14ac:dyDescent="0.25">
      <c r="B29" s="296" t="s">
        <v>39</v>
      </c>
      <c r="C29" s="297"/>
      <c r="D29" s="297"/>
      <c r="E29" s="297"/>
      <c r="F29" s="298"/>
    </row>
    <row r="30" spans="2:19" ht="39" thickBot="1" x14ac:dyDescent="0.25">
      <c r="B30" s="54" t="s">
        <v>0</v>
      </c>
      <c r="C30" s="138"/>
      <c r="D30" s="55" t="s">
        <v>1</v>
      </c>
      <c r="E30" s="56" t="s">
        <v>2</v>
      </c>
      <c r="F30" s="55" t="s">
        <v>5</v>
      </c>
      <c r="G30" s="55" t="s">
        <v>6</v>
      </c>
      <c r="H30" s="55" t="s">
        <v>8</v>
      </c>
      <c r="I30" s="55" t="s">
        <v>11</v>
      </c>
      <c r="J30" s="55" t="s">
        <v>10</v>
      </c>
      <c r="K30" s="55" t="s">
        <v>9</v>
      </c>
      <c r="L30" s="56" t="s">
        <v>28</v>
      </c>
      <c r="M30" s="55" t="s">
        <v>7</v>
      </c>
      <c r="N30" s="71" t="s">
        <v>242</v>
      </c>
      <c r="O30" s="55" t="s">
        <v>3</v>
      </c>
      <c r="P30" s="55" t="s">
        <v>54</v>
      </c>
      <c r="Q30" s="4" t="s">
        <v>369</v>
      </c>
      <c r="R30" s="265" t="s">
        <v>392</v>
      </c>
      <c r="S30" s="4" t="s">
        <v>370</v>
      </c>
    </row>
    <row r="31" spans="2:19" x14ac:dyDescent="0.2">
      <c r="B31" s="146">
        <v>1</v>
      </c>
      <c r="C31" s="147" t="s">
        <v>328</v>
      </c>
      <c r="D31" s="31" t="s">
        <v>86</v>
      </c>
      <c r="E31" s="112" t="s">
        <v>137</v>
      </c>
      <c r="F31" s="31" t="s">
        <v>220</v>
      </c>
      <c r="G31" s="31" t="s">
        <v>14</v>
      </c>
      <c r="H31" s="31" t="s">
        <v>167</v>
      </c>
      <c r="I31" s="31" t="s">
        <v>57</v>
      </c>
      <c r="J31" s="33" t="s">
        <v>219</v>
      </c>
      <c r="K31" s="121" t="s">
        <v>17</v>
      </c>
      <c r="L31" s="31" t="s">
        <v>168</v>
      </c>
      <c r="M31" s="125" t="s">
        <v>59</v>
      </c>
      <c r="N31" s="111">
        <v>1</v>
      </c>
      <c r="O31" s="33" t="s">
        <v>55</v>
      </c>
      <c r="P31" s="127">
        <v>45444</v>
      </c>
      <c r="Q31" s="38">
        <v>6050</v>
      </c>
      <c r="R31" s="257">
        <f t="shared" ref="R31:R55" si="2">+(S31-Q31)/2+Q31</f>
        <v>6775</v>
      </c>
      <c r="S31" s="105">
        <v>7500</v>
      </c>
    </row>
    <row r="32" spans="2:19" ht="18.75" thickBot="1" x14ac:dyDescent="0.25">
      <c r="B32" s="150">
        <v>2</v>
      </c>
      <c r="C32" s="151" t="s">
        <v>329</v>
      </c>
      <c r="D32" s="35" t="s">
        <v>86</v>
      </c>
      <c r="E32" s="134" t="s">
        <v>137</v>
      </c>
      <c r="F32" s="35" t="s">
        <v>220</v>
      </c>
      <c r="G32" s="35" t="s">
        <v>14</v>
      </c>
      <c r="H32" s="35" t="s">
        <v>167</v>
      </c>
      <c r="I32" s="35" t="s">
        <v>57</v>
      </c>
      <c r="J32" s="34" t="s">
        <v>219</v>
      </c>
      <c r="K32" s="129" t="s">
        <v>17</v>
      </c>
      <c r="L32" s="35" t="s">
        <v>168</v>
      </c>
      <c r="M32" s="133" t="s">
        <v>59</v>
      </c>
      <c r="N32" s="152">
        <v>1</v>
      </c>
      <c r="O32" s="34" t="s">
        <v>55</v>
      </c>
      <c r="P32" s="118">
        <v>45444</v>
      </c>
      <c r="Q32" s="119">
        <v>6050</v>
      </c>
      <c r="R32" s="259">
        <f t="shared" si="2"/>
        <v>6775</v>
      </c>
      <c r="S32" s="201">
        <v>7500</v>
      </c>
    </row>
    <row r="33" spans="2:20" ht="25.5" x14ac:dyDescent="0.2">
      <c r="B33" s="155">
        <v>3</v>
      </c>
      <c r="C33" s="156" t="s">
        <v>330</v>
      </c>
      <c r="D33" s="31" t="s">
        <v>146</v>
      </c>
      <c r="E33" s="112" t="s">
        <v>145</v>
      </c>
      <c r="F33" s="112" t="s">
        <v>147</v>
      </c>
      <c r="G33" s="31" t="s">
        <v>14</v>
      </c>
      <c r="H33" s="112" t="s">
        <v>45</v>
      </c>
      <c r="I33" s="112" t="s">
        <v>151</v>
      </c>
      <c r="J33" s="31" t="s">
        <v>15</v>
      </c>
      <c r="K33" s="31" t="s">
        <v>15</v>
      </c>
      <c r="L33" s="31" t="s">
        <v>168</v>
      </c>
      <c r="M33" s="31" t="s">
        <v>41</v>
      </c>
      <c r="N33" s="157">
        <v>1</v>
      </c>
      <c r="O33" s="31" t="s">
        <v>12</v>
      </c>
      <c r="P33" s="127">
        <v>45017</v>
      </c>
      <c r="Q33" s="38">
        <v>1250</v>
      </c>
      <c r="R33" s="257">
        <f t="shared" si="2"/>
        <v>1624.5</v>
      </c>
      <c r="S33" s="105">
        <v>1999</v>
      </c>
      <c r="T33" s="174"/>
    </row>
    <row r="34" spans="2:20" ht="25.5" x14ac:dyDescent="0.2">
      <c r="B34" s="158">
        <v>4</v>
      </c>
      <c r="C34" s="142" t="s">
        <v>331</v>
      </c>
      <c r="D34" s="2" t="s">
        <v>146</v>
      </c>
      <c r="E34" s="1" t="s">
        <v>145</v>
      </c>
      <c r="F34" s="1" t="s">
        <v>147</v>
      </c>
      <c r="G34" s="2" t="s">
        <v>14</v>
      </c>
      <c r="H34" s="1" t="s">
        <v>45</v>
      </c>
      <c r="I34" s="1" t="s">
        <v>151</v>
      </c>
      <c r="J34" s="2" t="s">
        <v>15</v>
      </c>
      <c r="K34" s="2" t="s">
        <v>15</v>
      </c>
      <c r="L34" s="2" t="s">
        <v>168</v>
      </c>
      <c r="M34" s="2" t="s">
        <v>41</v>
      </c>
      <c r="N34" s="69">
        <v>1</v>
      </c>
      <c r="O34" s="2" t="s">
        <v>12</v>
      </c>
      <c r="P34" s="19">
        <v>45017</v>
      </c>
      <c r="Q34" s="15">
        <v>1250</v>
      </c>
      <c r="R34" s="258">
        <f t="shared" si="2"/>
        <v>1624.5</v>
      </c>
      <c r="S34" s="188">
        <v>1999</v>
      </c>
    </row>
    <row r="35" spans="2:20" ht="25.5" x14ac:dyDescent="0.2">
      <c r="B35" s="158">
        <v>5</v>
      </c>
      <c r="C35" s="142" t="s">
        <v>332</v>
      </c>
      <c r="D35" s="2" t="s">
        <v>146</v>
      </c>
      <c r="E35" s="1" t="s">
        <v>145</v>
      </c>
      <c r="F35" s="1" t="s">
        <v>147</v>
      </c>
      <c r="G35" s="2" t="s">
        <v>14</v>
      </c>
      <c r="H35" s="1" t="s">
        <v>45</v>
      </c>
      <c r="I35" s="1" t="s">
        <v>151</v>
      </c>
      <c r="J35" s="2" t="s">
        <v>15</v>
      </c>
      <c r="K35" s="2" t="s">
        <v>15</v>
      </c>
      <c r="L35" s="2" t="s">
        <v>168</v>
      </c>
      <c r="M35" s="2" t="s">
        <v>41</v>
      </c>
      <c r="N35" s="69">
        <v>1</v>
      </c>
      <c r="O35" s="2" t="s">
        <v>12</v>
      </c>
      <c r="P35" s="19">
        <v>45017</v>
      </c>
      <c r="Q35" s="15">
        <v>1250</v>
      </c>
      <c r="R35" s="258">
        <f t="shared" si="2"/>
        <v>1624.5</v>
      </c>
      <c r="S35" s="188">
        <v>1999</v>
      </c>
    </row>
    <row r="36" spans="2:20" ht="25.5" x14ac:dyDescent="0.2">
      <c r="B36" s="91">
        <v>6</v>
      </c>
      <c r="C36" s="142" t="s">
        <v>333</v>
      </c>
      <c r="D36" s="2" t="s">
        <v>146</v>
      </c>
      <c r="E36" s="1" t="s">
        <v>145</v>
      </c>
      <c r="F36" s="1" t="s">
        <v>147</v>
      </c>
      <c r="G36" s="2" t="s">
        <v>14</v>
      </c>
      <c r="H36" s="1" t="s">
        <v>45</v>
      </c>
      <c r="I36" s="1" t="s">
        <v>151</v>
      </c>
      <c r="J36" s="2" t="s">
        <v>15</v>
      </c>
      <c r="K36" s="2" t="s">
        <v>15</v>
      </c>
      <c r="L36" s="2" t="s">
        <v>168</v>
      </c>
      <c r="M36" s="2" t="s">
        <v>41</v>
      </c>
      <c r="N36" s="69">
        <v>1</v>
      </c>
      <c r="O36" s="2" t="s">
        <v>12</v>
      </c>
      <c r="P36" s="19">
        <v>45017</v>
      </c>
      <c r="Q36" s="15">
        <v>1250</v>
      </c>
      <c r="R36" s="258">
        <f t="shared" si="2"/>
        <v>1624.5</v>
      </c>
      <c r="S36" s="188">
        <v>1999</v>
      </c>
    </row>
    <row r="37" spans="2:20" ht="25.5" x14ac:dyDescent="0.2">
      <c r="B37" s="91">
        <v>7</v>
      </c>
      <c r="C37" s="142" t="s">
        <v>334</v>
      </c>
      <c r="D37" s="2" t="s">
        <v>146</v>
      </c>
      <c r="E37" s="1" t="s">
        <v>145</v>
      </c>
      <c r="F37" s="1" t="s">
        <v>147</v>
      </c>
      <c r="G37" s="2" t="s">
        <v>14</v>
      </c>
      <c r="H37" s="1" t="s">
        <v>45</v>
      </c>
      <c r="I37" s="1" t="s">
        <v>151</v>
      </c>
      <c r="J37" s="2" t="s">
        <v>15</v>
      </c>
      <c r="K37" s="2" t="s">
        <v>15</v>
      </c>
      <c r="L37" s="2" t="s">
        <v>168</v>
      </c>
      <c r="M37" s="2" t="s">
        <v>41</v>
      </c>
      <c r="N37" s="69">
        <v>1</v>
      </c>
      <c r="O37" s="2" t="s">
        <v>12</v>
      </c>
      <c r="P37" s="19">
        <v>45017</v>
      </c>
      <c r="Q37" s="15">
        <v>1250</v>
      </c>
      <c r="R37" s="258">
        <f t="shared" si="2"/>
        <v>1624.5</v>
      </c>
      <c r="S37" s="188">
        <v>1999</v>
      </c>
    </row>
    <row r="38" spans="2:20" ht="25.5" x14ac:dyDescent="0.2">
      <c r="B38" s="158">
        <v>8</v>
      </c>
      <c r="C38" s="142" t="s">
        <v>335</v>
      </c>
      <c r="D38" s="2" t="s">
        <v>146</v>
      </c>
      <c r="E38" s="1" t="s">
        <v>145</v>
      </c>
      <c r="F38" s="1" t="s">
        <v>147</v>
      </c>
      <c r="G38" s="2" t="s">
        <v>14</v>
      </c>
      <c r="H38" s="1" t="s">
        <v>45</v>
      </c>
      <c r="I38" s="1" t="s">
        <v>151</v>
      </c>
      <c r="J38" s="2" t="s">
        <v>15</v>
      </c>
      <c r="K38" s="2" t="s">
        <v>15</v>
      </c>
      <c r="L38" s="2" t="s">
        <v>168</v>
      </c>
      <c r="M38" s="2" t="s">
        <v>41</v>
      </c>
      <c r="N38" s="69">
        <v>1</v>
      </c>
      <c r="O38" s="2" t="s">
        <v>12</v>
      </c>
      <c r="P38" s="19">
        <v>45017</v>
      </c>
      <c r="Q38" s="15">
        <v>1250</v>
      </c>
      <c r="R38" s="258">
        <f t="shared" si="2"/>
        <v>1624.5</v>
      </c>
      <c r="S38" s="188">
        <v>1999</v>
      </c>
    </row>
    <row r="39" spans="2:20" ht="25.5" x14ac:dyDescent="0.2">
      <c r="B39" s="158">
        <v>9</v>
      </c>
      <c r="C39" s="142" t="s">
        <v>336</v>
      </c>
      <c r="D39" s="2" t="s">
        <v>146</v>
      </c>
      <c r="E39" s="1" t="s">
        <v>145</v>
      </c>
      <c r="F39" s="1" t="s">
        <v>147</v>
      </c>
      <c r="G39" s="2" t="s">
        <v>14</v>
      </c>
      <c r="H39" s="1" t="s">
        <v>45</v>
      </c>
      <c r="I39" s="1" t="s">
        <v>151</v>
      </c>
      <c r="J39" s="2" t="s">
        <v>15</v>
      </c>
      <c r="K39" s="2" t="s">
        <v>15</v>
      </c>
      <c r="L39" s="2" t="s">
        <v>168</v>
      </c>
      <c r="M39" s="2" t="s">
        <v>41</v>
      </c>
      <c r="N39" s="69">
        <v>1</v>
      </c>
      <c r="O39" s="2" t="s">
        <v>12</v>
      </c>
      <c r="P39" s="19">
        <v>45017</v>
      </c>
      <c r="Q39" s="15">
        <v>1250</v>
      </c>
      <c r="R39" s="258">
        <f t="shared" si="2"/>
        <v>1624.5</v>
      </c>
      <c r="S39" s="188">
        <v>1999</v>
      </c>
    </row>
    <row r="40" spans="2:20" ht="25.5" x14ac:dyDescent="0.2">
      <c r="B40" s="158">
        <v>10</v>
      </c>
      <c r="C40" s="142" t="s">
        <v>337</v>
      </c>
      <c r="D40" s="2" t="s">
        <v>146</v>
      </c>
      <c r="E40" s="1" t="s">
        <v>145</v>
      </c>
      <c r="F40" s="1" t="s">
        <v>147</v>
      </c>
      <c r="G40" s="2" t="s">
        <v>14</v>
      </c>
      <c r="H40" s="1" t="s">
        <v>45</v>
      </c>
      <c r="I40" s="1" t="s">
        <v>151</v>
      </c>
      <c r="J40" s="2" t="s">
        <v>15</v>
      </c>
      <c r="K40" s="2" t="s">
        <v>15</v>
      </c>
      <c r="L40" s="2" t="s">
        <v>168</v>
      </c>
      <c r="M40" s="2" t="s">
        <v>41</v>
      </c>
      <c r="N40" s="69">
        <v>1</v>
      </c>
      <c r="O40" s="2" t="s">
        <v>12</v>
      </c>
      <c r="P40" s="19">
        <v>45017</v>
      </c>
      <c r="Q40" s="15">
        <v>1250</v>
      </c>
      <c r="R40" s="258">
        <f t="shared" si="2"/>
        <v>1624.5</v>
      </c>
      <c r="S40" s="188">
        <v>1999</v>
      </c>
    </row>
    <row r="41" spans="2:20" ht="25.5" x14ac:dyDescent="0.2">
      <c r="B41" s="91">
        <v>11</v>
      </c>
      <c r="C41" s="142">
        <v>122489</v>
      </c>
      <c r="D41" s="2" t="s">
        <v>146</v>
      </c>
      <c r="E41" s="1" t="s">
        <v>145</v>
      </c>
      <c r="F41" s="1" t="s">
        <v>147</v>
      </c>
      <c r="G41" s="2" t="s">
        <v>14</v>
      </c>
      <c r="H41" s="1" t="s">
        <v>45</v>
      </c>
      <c r="I41" s="1" t="s">
        <v>151</v>
      </c>
      <c r="J41" s="2" t="s">
        <v>15</v>
      </c>
      <c r="K41" s="2" t="s">
        <v>15</v>
      </c>
      <c r="L41" s="2" t="s">
        <v>168</v>
      </c>
      <c r="M41" s="2" t="s">
        <v>41</v>
      </c>
      <c r="N41" s="69">
        <v>1</v>
      </c>
      <c r="O41" s="2" t="s">
        <v>12</v>
      </c>
      <c r="P41" s="19">
        <v>45017</v>
      </c>
      <c r="Q41" s="15">
        <v>1250</v>
      </c>
      <c r="R41" s="258">
        <f t="shared" si="2"/>
        <v>1624.5</v>
      </c>
      <c r="S41" s="188">
        <v>1999</v>
      </c>
    </row>
    <row r="42" spans="2:20" ht="25.5" x14ac:dyDescent="0.2">
      <c r="B42" s="91">
        <v>12</v>
      </c>
      <c r="C42" s="142" t="s">
        <v>338</v>
      </c>
      <c r="D42" s="2" t="s">
        <v>146</v>
      </c>
      <c r="E42" s="1" t="s">
        <v>145</v>
      </c>
      <c r="F42" s="1" t="s">
        <v>147</v>
      </c>
      <c r="G42" s="2" t="s">
        <v>14</v>
      </c>
      <c r="H42" s="1" t="s">
        <v>45</v>
      </c>
      <c r="I42" s="1" t="s">
        <v>151</v>
      </c>
      <c r="J42" s="2" t="s">
        <v>15</v>
      </c>
      <c r="K42" s="2" t="s">
        <v>15</v>
      </c>
      <c r="L42" s="2" t="s">
        <v>168</v>
      </c>
      <c r="M42" s="2" t="s">
        <v>41</v>
      </c>
      <c r="N42" s="69">
        <v>1</v>
      </c>
      <c r="O42" s="2" t="s">
        <v>12</v>
      </c>
      <c r="P42" s="19">
        <v>45017</v>
      </c>
      <c r="Q42" s="15">
        <v>1250</v>
      </c>
      <c r="R42" s="258">
        <f t="shared" si="2"/>
        <v>1624.5</v>
      </c>
      <c r="S42" s="188">
        <v>1999</v>
      </c>
      <c r="T42" s="174"/>
    </row>
    <row r="43" spans="2:20" ht="26.25" thickBot="1" x14ac:dyDescent="0.25">
      <c r="B43" s="159">
        <v>13</v>
      </c>
      <c r="C43" s="160" t="s">
        <v>339</v>
      </c>
      <c r="D43" s="35" t="s">
        <v>146</v>
      </c>
      <c r="E43" s="134" t="s">
        <v>145</v>
      </c>
      <c r="F43" s="134" t="s">
        <v>147</v>
      </c>
      <c r="G43" s="35" t="s">
        <v>14</v>
      </c>
      <c r="H43" s="134" t="s">
        <v>45</v>
      </c>
      <c r="I43" s="134" t="s">
        <v>151</v>
      </c>
      <c r="J43" s="35" t="s">
        <v>15</v>
      </c>
      <c r="K43" s="35" t="s">
        <v>15</v>
      </c>
      <c r="L43" s="35" t="s">
        <v>168</v>
      </c>
      <c r="M43" s="35" t="s">
        <v>41</v>
      </c>
      <c r="N43" s="161">
        <v>1</v>
      </c>
      <c r="O43" s="35" t="s">
        <v>12</v>
      </c>
      <c r="P43" s="118">
        <v>45017</v>
      </c>
      <c r="Q43" s="119">
        <v>1250</v>
      </c>
      <c r="R43" s="259">
        <f t="shared" si="2"/>
        <v>1624.5</v>
      </c>
      <c r="S43" s="201">
        <v>1999</v>
      </c>
    </row>
    <row r="44" spans="2:20" s="11" customFormat="1" ht="18.75" x14ac:dyDescent="0.25">
      <c r="B44" s="155">
        <v>14</v>
      </c>
      <c r="C44" s="156" t="s">
        <v>340</v>
      </c>
      <c r="D44" s="162" t="s">
        <v>163</v>
      </c>
      <c r="E44" s="112" t="s">
        <v>144</v>
      </c>
      <c r="F44" s="163" t="s">
        <v>149</v>
      </c>
      <c r="G44" s="162" t="s">
        <v>14</v>
      </c>
      <c r="H44" s="121" t="s">
        <v>51</v>
      </c>
      <c r="I44" s="112" t="s">
        <v>151</v>
      </c>
      <c r="J44" s="121" t="s">
        <v>15</v>
      </c>
      <c r="K44" s="163" t="s">
        <v>15</v>
      </c>
      <c r="L44" s="163" t="s">
        <v>168</v>
      </c>
      <c r="M44" s="31" t="s">
        <v>41</v>
      </c>
      <c r="N44" s="164">
        <v>1</v>
      </c>
      <c r="O44" s="162" t="s">
        <v>12</v>
      </c>
      <c r="P44" s="127">
        <v>45444</v>
      </c>
      <c r="Q44" s="38">
        <v>1750</v>
      </c>
      <c r="R44" s="257">
        <f t="shared" si="2"/>
        <v>2300</v>
      </c>
      <c r="S44" s="105">
        <v>2850</v>
      </c>
      <c r="T44" s="59"/>
    </row>
    <row r="45" spans="2:20" s="11" customFormat="1" ht="18.75" x14ac:dyDescent="0.25">
      <c r="B45" s="158">
        <v>15</v>
      </c>
      <c r="C45" s="142" t="s">
        <v>341</v>
      </c>
      <c r="D45" s="143" t="s">
        <v>163</v>
      </c>
      <c r="E45" s="1" t="s">
        <v>144</v>
      </c>
      <c r="F45" s="144" t="s">
        <v>149</v>
      </c>
      <c r="G45" s="143" t="s">
        <v>14</v>
      </c>
      <c r="H45" s="6" t="s">
        <v>51</v>
      </c>
      <c r="I45" s="1" t="s">
        <v>151</v>
      </c>
      <c r="J45" s="6" t="s">
        <v>15</v>
      </c>
      <c r="K45" s="144" t="s">
        <v>15</v>
      </c>
      <c r="L45" s="144" t="s">
        <v>168</v>
      </c>
      <c r="M45" s="2" t="s">
        <v>41</v>
      </c>
      <c r="N45" s="145">
        <v>1</v>
      </c>
      <c r="O45" s="143" t="s">
        <v>12</v>
      </c>
      <c r="P45" s="19">
        <v>45444</v>
      </c>
      <c r="Q45" s="15">
        <v>1750</v>
      </c>
      <c r="R45" s="258">
        <f t="shared" si="2"/>
        <v>2300</v>
      </c>
      <c r="S45" s="188">
        <v>2850</v>
      </c>
    </row>
    <row r="46" spans="2:20" s="11" customFormat="1" ht="18.75" x14ac:dyDescent="0.25">
      <c r="B46" s="91">
        <v>16</v>
      </c>
      <c r="C46" s="142" t="s">
        <v>342</v>
      </c>
      <c r="D46" s="143" t="s">
        <v>163</v>
      </c>
      <c r="E46" s="1" t="s">
        <v>144</v>
      </c>
      <c r="F46" s="144" t="s">
        <v>149</v>
      </c>
      <c r="G46" s="143" t="s">
        <v>14</v>
      </c>
      <c r="H46" s="6" t="s">
        <v>51</v>
      </c>
      <c r="I46" s="1" t="s">
        <v>151</v>
      </c>
      <c r="J46" s="6" t="s">
        <v>15</v>
      </c>
      <c r="K46" s="144" t="s">
        <v>15</v>
      </c>
      <c r="L46" s="144" t="s">
        <v>168</v>
      </c>
      <c r="M46" s="2" t="s">
        <v>41</v>
      </c>
      <c r="N46" s="145">
        <v>1</v>
      </c>
      <c r="O46" s="143" t="s">
        <v>12</v>
      </c>
      <c r="P46" s="19">
        <v>45444</v>
      </c>
      <c r="Q46" s="15">
        <v>1750</v>
      </c>
      <c r="R46" s="258">
        <f t="shared" si="2"/>
        <v>2300</v>
      </c>
      <c r="S46" s="188">
        <v>2850</v>
      </c>
    </row>
    <row r="47" spans="2:20" s="11" customFormat="1" ht="18.75" x14ac:dyDescent="0.25">
      <c r="B47" s="91">
        <v>17</v>
      </c>
      <c r="C47" s="142" t="s">
        <v>343</v>
      </c>
      <c r="D47" s="143" t="s">
        <v>163</v>
      </c>
      <c r="E47" s="1" t="s">
        <v>144</v>
      </c>
      <c r="F47" s="144" t="s">
        <v>149</v>
      </c>
      <c r="G47" s="143" t="s">
        <v>14</v>
      </c>
      <c r="H47" s="6" t="s">
        <v>51</v>
      </c>
      <c r="I47" s="1" t="s">
        <v>151</v>
      </c>
      <c r="J47" s="6" t="s">
        <v>15</v>
      </c>
      <c r="K47" s="144" t="s">
        <v>15</v>
      </c>
      <c r="L47" s="144" t="s">
        <v>168</v>
      </c>
      <c r="M47" s="2" t="s">
        <v>41</v>
      </c>
      <c r="N47" s="145">
        <v>1</v>
      </c>
      <c r="O47" s="143" t="s">
        <v>12</v>
      </c>
      <c r="P47" s="19">
        <v>45444</v>
      </c>
      <c r="Q47" s="15">
        <v>1750</v>
      </c>
      <c r="R47" s="258">
        <f t="shared" si="2"/>
        <v>2300</v>
      </c>
      <c r="S47" s="188">
        <v>2850</v>
      </c>
    </row>
    <row r="48" spans="2:20" s="11" customFormat="1" ht="18.75" x14ac:dyDescent="0.25">
      <c r="B48" s="158">
        <v>18</v>
      </c>
      <c r="C48" s="142" t="s">
        <v>344</v>
      </c>
      <c r="D48" s="143" t="s">
        <v>163</v>
      </c>
      <c r="E48" s="1" t="s">
        <v>144</v>
      </c>
      <c r="F48" s="144" t="s">
        <v>149</v>
      </c>
      <c r="G48" s="143" t="s">
        <v>14</v>
      </c>
      <c r="H48" s="6" t="s">
        <v>51</v>
      </c>
      <c r="I48" s="1" t="s">
        <v>151</v>
      </c>
      <c r="J48" s="6" t="s">
        <v>15</v>
      </c>
      <c r="K48" s="144" t="s">
        <v>15</v>
      </c>
      <c r="L48" s="144" t="s">
        <v>168</v>
      </c>
      <c r="M48" s="2" t="s">
        <v>41</v>
      </c>
      <c r="N48" s="145">
        <v>1</v>
      </c>
      <c r="O48" s="143" t="s">
        <v>12</v>
      </c>
      <c r="P48" s="19">
        <v>45444</v>
      </c>
      <c r="Q48" s="15">
        <v>1750</v>
      </c>
      <c r="R48" s="258">
        <f t="shared" si="2"/>
        <v>2300</v>
      </c>
      <c r="S48" s="188">
        <v>2850</v>
      </c>
    </row>
    <row r="49" spans="2:19" s="11" customFormat="1" ht="18.75" x14ac:dyDescent="0.25">
      <c r="B49" s="158">
        <v>19</v>
      </c>
      <c r="C49" s="142" t="s">
        <v>345</v>
      </c>
      <c r="D49" s="143" t="s">
        <v>163</v>
      </c>
      <c r="E49" s="1" t="s">
        <v>144</v>
      </c>
      <c r="F49" s="144" t="s">
        <v>149</v>
      </c>
      <c r="G49" s="143" t="s">
        <v>14</v>
      </c>
      <c r="H49" s="6" t="s">
        <v>51</v>
      </c>
      <c r="I49" s="1" t="s">
        <v>151</v>
      </c>
      <c r="J49" s="6" t="s">
        <v>15</v>
      </c>
      <c r="K49" s="144" t="s">
        <v>15</v>
      </c>
      <c r="L49" s="144" t="s">
        <v>168</v>
      </c>
      <c r="M49" s="2" t="s">
        <v>41</v>
      </c>
      <c r="N49" s="145">
        <v>1</v>
      </c>
      <c r="O49" s="143" t="s">
        <v>12</v>
      </c>
      <c r="P49" s="19">
        <v>45444</v>
      </c>
      <c r="Q49" s="15">
        <v>1750</v>
      </c>
      <c r="R49" s="258">
        <f t="shared" si="2"/>
        <v>2300</v>
      </c>
      <c r="S49" s="188">
        <v>2850</v>
      </c>
    </row>
    <row r="50" spans="2:19" s="11" customFormat="1" ht="18.75" x14ac:dyDescent="0.25">
      <c r="B50" s="158">
        <v>20</v>
      </c>
      <c r="C50" s="142" t="s">
        <v>346</v>
      </c>
      <c r="D50" s="143" t="s">
        <v>163</v>
      </c>
      <c r="E50" s="1" t="s">
        <v>144</v>
      </c>
      <c r="F50" s="144" t="s">
        <v>149</v>
      </c>
      <c r="G50" s="143" t="s">
        <v>14</v>
      </c>
      <c r="H50" s="6" t="s">
        <v>51</v>
      </c>
      <c r="I50" s="1" t="s">
        <v>151</v>
      </c>
      <c r="J50" s="6" t="s">
        <v>15</v>
      </c>
      <c r="K50" s="144" t="s">
        <v>15</v>
      </c>
      <c r="L50" s="144" t="s">
        <v>168</v>
      </c>
      <c r="M50" s="2" t="s">
        <v>41</v>
      </c>
      <c r="N50" s="145">
        <v>1</v>
      </c>
      <c r="O50" s="143" t="s">
        <v>12</v>
      </c>
      <c r="P50" s="19">
        <v>45444</v>
      </c>
      <c r="Q50" s="15">
        <v>1750</v>
      </c>
      <c r="R50" s="258">
        <f t="shared" si="2"/>
        <v>2300</v>
      </c>
      <c r="S50" s="188">
        <v>2850</v>
      </c>
    </row>
    <row r="51" spans="2:19" s="11" customFormat="1" ht="18.75" x14ac:dyDescent="0.25">
      <c r="B51" s="91">
        <v>21</v>
      </c>
      <c r="C51" s="142" t="s">
        <v>347</v>
      </c>
      <c r="D51" s="143" t="s">
        <v>163</v>
      </c>
      <c r="E51" s="1" t="s">
        <v>144</v>
      </c>
      <c r="F51" s="144" t="s">
        <v>149</v>
      </c>
      <c r="G51" s="143" t="s">
        <v>14</v>
      </c>
      <c r="H51" s="6" t="s">
        <v>51</v>
      </c>
      <c r="I51" s="1" t="s">
        <v>151</v>
      </c>
      <c r="J51" s="6" t="s">
        <v>15</v>
      </c>
      <c r="K51" s="144" t="s">
        <v>15</v>
      </c>
      <c r="L51" s="144" t="s">
        <v>168</v>
      </c>
      <c r="M51" s="2" t="s">
        <v>41</v>
      </c>
      <c r="N51" s="145">
        <v>1</v>
      </c>
      <c r="O51" s="143" t="s">
        <v>12</v>
      </c>
      <c r="P51" s="19">
        <v>45444</v>
      </c>
      <c r="Q51" s="15">
        <v>1750</v>
      </c>
      <c r="R51" s="258">
        <f t="shared" si="2"/>
        <v>2300</v>
      </c>
      <c r="S51" s="188">
        <v>2850</v>
      </c>
    </row>
    <row r="52" spans="2:19" s="11" customFormat="1" ht="18.75" x14ac:dyDescent="0.25">
      <c r="B52" s="91">
        <v>22</v>
      </c>
      <c r="C52" s="142" t="s">
        <v>348</v>
      </c>
      <c r="D52" s="143" t="s">
        <v>163</v>
      </c>
      <c r="E52" s="1" t="s">
        <v>144</v>
      </c>
      <c r="F52" s="144" t="s">
        <v>149</v>
      </c>
      <c r="G52" s="143" t="s">
        <v>14</v>
      </c>
      <c r="H52" s="6" t="s">
        <v>51</v>
      </c>
      <c r="I52" s="1" t="s">
        <v>151</v>
      </c>
      <c r="J52" s="6" t="s">
        <v>15</v>
      </c>
      <c r="K52" s="144" t="s">
        <v>15</v>
      </c>
      <c r="L52" s="144" t="s">
        <v>168</v>
      </c>
      <c r="M52" s="2" t="s">
        <v>41</v>
      </c>
      <c r="N52" s="145">
        <v>1</v>
      </c>
      <c r="O52" s="143" t="s">
        <v>12</v>
      </c>
      <c r="P52" s="19">
        <v>45444</v>
      </c>
      <c r="Q52" s="15">
        <v>1750</v>
      </c>
      <c r="R52" s="258">
        <f t="shared" si="2"/>
        <v>2300</v>
      </c>
      <c r="S52" s="188">
        <v>2850</v>
      </c>
    </row>
    <row r="53" spans="2:19" ht="19.5" thickBot="1" x14ac:dyDescent="0.25">
      <c r="B53" s="159">
        <v>23</v>
      </c>
      <c r="C53" s="160" t="s">
        <v>349</v>
      </c>
      <c r="D53" s="165" t="s">
        <v>163</v>
      </c>
      <c r="E53" s="134" t="s">
        <v>144</v>
      </c>
      <c r="F53" s="166" t="s">
        <v>149</v>
      </c>
      <c r="G53" s="165" t="s">
        <v>14</v>
      </c>
      <c r="H53" s="129" t="s">
        <v>51</v>
      </c>
      <c r="I53" s="134" t="s">
        <v>151</v>
      </c>
      <c r="J53" s="129" t="s">
        <v>15</v>
      </c>
      <c r="K53" s="166" t="s">
        <v>15</v>
      </c>
      <c r="L53" s="166" t="s">
        <v>168</v>
      </c>
      <c r="M53" s="35" t="s">
        <v>41</v>
      </c>
      <c r="N53" s="167">
        <v>1</v>
      </c>
      <c r="O53" s="165" t="s">
        <v>12</v>
      </c>
      <c r="P53" s="118">
        <v>45444</v>
      </c>
      <c r="Q53" s="119">
        <v>1750</v>
      </c>
      <c r="R53" s="259">
        <f t="shared" si="2"/>
        <v>2300</v>
      </c>
      <c r="S53" s="201">
        <v>2850</v>
      </c>
    </row>
    <row r="54" spans="2:19" ht="25.5" x14ac:dyDescent="0.2">
      <c r="B54" s="155">
        <v>24</v>
      </c>
      <c r="C54" s="147" t="s">
        <v>350</v>
      </c>
      <c r="D54" s="31" t="s">
        <v>152</v>
      </c>
      <c r="E54" s="112" t="s">
        <v>150</v>
      </c>
      <c r="F54" s="112" t="s">
        <v>148</v>
      </c>
      <c r="G54" s="31" t="s">
        <v>14</v>
      </c>
      <c r="H54" s="112" t="s">
        <v>45</v>
      </c>
      <c r="I54" s="112" t="s">
        <v>221</v>
      </c>
      <c r="J54" s="31" t="s">
        <v>15</v>
      </c>
      <c r="K54" s="31" t="s">
        <v>15</v>
      </c>
      <c r="L54" s="31" t="s">
        <v>168</v>
      </c>
      <c r="M54" s="31" t="s">
        <v>41</v>
      </c>
      <c r="N54" s="157">
        <v>1</v>
      </c>
      <c r="O54" s="31" t="s">
        <v>12</v>
      </c>
      <c r="P54" s="127">
        <v>44896</v>
      </c>
      <c r="Q54" s="38">
        <v>3500</v>
      </c>
      <c r="R54" s="257">
        <f t="shared" si="2"/>
        <v>4200</v>
      </c>
      <c r="S54" s="105">
        <v>4900</v>
      </c>
    </row>
    <row r="55" spans="2:19" ht="26.25" thickBot="1" x14ac:dyDescent="0.25">
      <c r="B55" s="159">
        <v>25</v>
      </c>
      <c r="C55" s="151" t="s">
        <v>351</v>
      </c>
      <c r="D55" s="35" t="s">
        <v>152</v>
      </c>
      <c r="E55" s="134" t="s">
        <v>150</v>
      </c>
      <c r="F55" s="134" t="s">
        <v>148</v>
      </c>
      <c r="G55" s="35" t="s">
        <v>14</v>
      </c>
      <c r="H55" s="134" t="s">
        <v>45</v>
      </c>
      <c r="I55" s="134" t="s">
        <v>221</v>
      </c>
      <c r="J55" s="35" t="s">
        <v>15</v>
      </c>
      <c r="K55" s="35" t="s">
        <v>15</v>
      </c>
      <c r="L55" s="35" t="s">
        <v>168</v>
      </c>
      <c r="M55" s="35" t="s">
        <v>41</v>
      </c>
      <c r="N55" s="161">
        <v>1</v>
      </c>
      <c r="O55" s="35" t="s">
        <v>12</v>
      </c>
      <c r="P55" s="118">
        <v>44896</v>
      </c>
      <c r="Q55" s="119">
        <v>3500</v>
      </c>
      <c r="R55" s="259">
        <f t="shared" si="2"/>
        <v>4200</v>
      </c>
      <c r="S55" s="201">
        <v>4900</v>
      </c>
    </row>
    <row r="56" spans="2:19" ht="18.75" thickBot="1" x14ac:dyDescent="0.25">
      <c r="M56" s="137" t="s">
        <v>33</v>
      </c>
      <c r="N56" s="140">
        <f>SUM(N31:N55)</f>
        <v>25</v>
      </c>
    </row>
    <row r="57" spans="2:19" x14ac:dyDescent="0.2">
      <c r="B57" s="18"/>
      <c r="C57" s="18"/>
    </row>
    <row r="58" spans="2:19" x14ac:dyDescent="0.2">
      <c r="B58" s="18"/>
      <c r="C58" s="18"/>
    </row>
    <row r="59" spans="2:19" x14ac:dyDescent="0.2">
      <c r="B59" s="18"/>
      <c r="C59" s="18"/>
    </row>
    <row r="60" spans="2:19" x14ac:dyDescent="0.2">
      <c r="B60" s="18"/>
      <c r="C60" s="18"/>
    </row>
  </sheetData>
  <autoFilter ref="B4:P53" xr:uid="{00000000-0009-0000-0000-000001000000}"/>
  <mergeCells count="4">
    <mergeCell ref="B29:F29"/>
    <mergeCell ref="B22:F22"/>
    <mergeCell ref="B3:F3"/>
    <mergeCell ref="B2:S2"/>
  </mergeCells>
  <phoneticPr fontId="7" type="noConversion"/>
  <pageMargins left="0.25" right="0.25" top="0.75" bottom="0.75" header="0.3" footer="0.3"/>
  <pageSetup paperSize="9" scale="44" fitToHeight="0" orientation="landscape" r:id="rId1"/>
  <rowBreaks count="1" manualBreakCount="1">
    <brk id="21" min="1" max="2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  <pageSetUpPr fitToPage="1"/>
  </sheetPr>
  <dimension ref="A1:P28"/>
  <sheetViews>
    <sheetView zoomScale="84" zoomScaleNormal="85" workbookViewId="0">
      <pane xSplit="5" topLeftCell="G1" activePane="topRight" state="frozen"/>
      <selection activeCell="A4" sqref="A4"/>
      <selection pane="topRight" activeCell="C4" sqref="C4"/>
    </sheetView>
  </sheetViews>
  <sheetFormatPr baseColWidth="10" defaultColWidth="11.42578125" defaultRowHeight="14.25" x14ac:dyDescent="0.2"/>
  <cols>
    <col min="1" max="1" width="1.85546875" style="18" customWidth="1"/>
    <col min="2" max="2" width="7.5703125" style="18" customWidth="1"/>
    <col min="3" max="3" width="13.140625" style="18" bestFit="1" customWidth="1"/>
    <col min="4" max="4" width="27" style="27" bestFit="1" customWidth="1"/>
    <col min="5" max="5" width="14.42578125" style="18" bestFit="1" customWidth="1"/>
    <col min="6" max="6" width="14.42578125" style="18" customWidth="1"/>
    <col min="7" max="7" width="18.42578125" style="18" bestFit="1" customWidth="1"/>
    <col min="8" max="8" width="11.42578125" style="18"/>
    <col min="9" max="9" width="12.42578125" style="18" customWidth="1"/>
    <col min="10" max="10" width="8.42578125" style="85" customWidth="1"/>
    <col min="11" max="11" width="7.85546875" style="18" customWidth="1"/>
    <col min="12" max="12" width="11.42578125" style="18" bestFit="1" customWidth="1"/>
    <col min="13" max="14" width="11.42578125" style="30"/>
    <col min="15" max="16384" width="11.42578125" style="18"/>
  </cols>
  <sheetData>
    <row r="1" spans="1:16" ht="8.25" customHeight="1" thickBot="1" x14ac:dyDescent="0.25">
      <c r="A1" s="25"/>
      <c r="L1" s="11"/>
    </row>
    <row r="2" spans="1:16" ht="18.75" customHeight="1" thickBot="1" x14ac:dyDescent="0.25">
      <c r="A2" s="25"/>
      <c r="B2" s="293" t="s">
        <v>236</v>
      </c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5"/>
    </row>
    <row r="3" spans="1:16" ht="15" thickBot="1" x14ac:dyDescent="0.25">
      <c r="A3" s="25"/>
      <c r="B3" s="308" t="s">
        <v>112</v>
      </c>
      <c r="C3" s="309"/>
      <c r="D3" s="310"/>
      <c r="E3" s="17"/>
      <c r="F3" s="17"/>
      <c r="L3" s="11"/>
      <c r="M3" s="53">
        <f>'UNIMAC '!R2</f>
        <v>45950</v>
      </c>
      <c r="N3" s="53"/>
    </row>
    <row r="4" spans="1:16" ht="49.5" customHeight="1" thickBot="1" x14ac:dyDescent="0.25">
      <c r="A4" s="25"/>
      <c r="B4" s="275" t="s">
        <v>0</v>
      </c>
      <c r="C4" s="276" t="s">
        <v>258</v>
      </c>
      <c r="D4" s="276" t="s">
        <v>1</v>
      </c>
      <c r="E4" s="276" t="s">
        <v>2</v>
      </c>
      <c r="F4" s="277" t="s">
        <v>5</v>
      </c>
      <c r="G4" s="276" t="s">
        <v>8</v>
      </c>
      <c r="H4" s="277" t="s">
        <v>28</v>
      </c>
      <c r="I4" s="276" t="s">
        <v>7</v>
      </c>
      <c r="J4" s="276" t="s">
        <v>205</v>
      </c>
      <c r="K4" s="276" t="s">
        <v>3</v>
      </c>
      <c r="L4" s="276" t="s">
        <v>54</v>
      </c>
      <c r="M4" s="278" t="s">
        <v>369</v>
      </c>
      <c r="N4" s="279" t="s">
        <v>392</v>
      </c>
      <c r="O4" s="280" t="s">
        <v>370</v>
      </c>
    </row>
    <row r="5" spans="1:16" ht="24.95" customHeight="1" x14ac:dyDescent="0.2">
      <c r="A5" s="25"/>
      <c r="B5" s="136">
        <v>1</v>
      </c>
      <c r="C5" s="169" t="s">
        <v>352</v>
      </c>
      <c r="D5" s="123" t="s">
        <v>111</v>
      </c>
      <c r="E5" s="31" t="s">
        <v>108</v>
      </c>
      <c r="F5" s="31" t="s">
        <v>52</v>
      </c>
      <c r="G5" s="31" t="s">
        <v>225</v>
      </c>
      <c r="H5" s="31" t="s">
        <v>109</v>
      </c>
      <c r="I5" s="31" t="s">
        <v>40</v>
      </c>
      <c r="J5" s="157">
        <v>1</v>
      </c>
      <c r="K5" s="31" t="s">
        <v>105</v>
      </c>
      <c r="L5" s="127">
        <v>45292</v>
      </c>
      <c r="M5" s="205">
        <v>9900</v>
      </c>
      <c r="N5" s="205">
        <f t="shared" ref="N5:N20" si="0">+(O5-M5)/2+M5</f>
        <v>12200</v>
      </c>
      <c r="O5" s="206">
        <v>14500</v>
      </c>
    </row>
    <row r="6" spans="1:16" ht="24.95" customHeight="1" thickBot="1" x14ac:dyDescent="0.25">
      <c r="A6" s="25"/>
      <c r="B6" s="61">
        <v>2</v>
      </c>
      <c r="C6" s="170" t="s">
        <v>353</v>
      </c>
      <c r="D6" s="131" t="s">
        <v>111</v>
      </c>
      <c r="E6" s="35" t="s">
        <v>108</v>
      </c>
      <c r="F6" s="35" t="s">
        <v>52</v>
      </c>
      <c r="G6" s="35" t="s">
        <v>225</v>
      </c>
      <c r="H6" s="35" t="s">
        <v>109</v>
      </c>
      <c r="I6" s="35" t="s">
        <v>40</v>
      </c>
      <c r="J6" s="161">
        <v>1</v>
      </c>
      <c r="K6" s="35" t="s">
        <v>105</v>
      </c>
      <c r="L6" s="118">
        <v>45292</v>
      </c>
      <c r="M6" s="207">
        <v>9900</v>
      </c>
      <c r="N6" s="207">
        <f t="shared" si="0"/>
        <v>12200</v>
      </c>
      <c r="O6" s="208">
        <v>14500</v>
      </c>
    </row>
    <row r="7" spans="1:16" ht="24.95" customHeight="1" thickBot="1" x14ac:dyDescent="0.25">
      <c r="A7" s="25"/>
      <c r="B7" s="171">
        <v>3</v>
      </c>
      <c r="C7" s="172" t="s">
        <v>354</v>
      </c>
      <c r="D7" s="95" t="s">
        <v>111</v>
      </c>
      <c r="E7" s="43" t="s">
        <v>113</v>
      </c>
      <c r="F7" s="43" t="s">
        <v>52</v>
      </c>
      <c r="G7" s="43" t="s">
        <v>225</v>
      </c>
      <c r="H7" s="43" t="s">
        <v>103</v>
      </c>
      <c r="I7" s="43" t="s">
        <v>40</v>
      </c>
      <c r="J7" s="89">
        <v>1</v>
      </c>
      <c r="K7" s="43" t="s">
        <v>105</v>
      </c>
      <c r="L7" s="45">
        <v>45830</v>
      </c>
      <c r="M7" s="210">
        <v>14900</v>
      </c>
      <c r="N7" s="210">
        <f t="shared" si="0"/>
        <v>16700</v>
      </c>
      <c r="O7" s="211">
        <v>18500</v>
      </c>
    </row>
    <row r="8" spans="1:16" ht="24.95" customHeight="1" thickBot="1" x14ac:dyDescent="0.25">
      <c r="A8" s="25"/>
      <c r="B8" s="171">
        <v>4</v>
      </c>
      <c r="C8" s="172" t="s">
        <v>355</v>
      </c>
      <c r="D8" s="95" t="s">
        <v>104</v>
      </c>
      <c r="E8" s="43" t="s">
        <v>189</v>
      </c>
      <c r="F8" s="43" t="s">
        <v>52</v>
      </c>
      <c r="G8" s="43" t="s">
        <v>53</v>
      </c>
      <c r="H8" s="43" t="s">
        <v>110</v>
      </c>
      <c r="I8" s="43" t="s">
        <v>115</v>
      </c>
      <c r="J8" s="89">
        <v>1</v>
      </c>
      <c r="K8" s="43" t="s">
        <v>105</v>
      </c>
      <c r="L8" s="45">
        <v>45830</v>
      </c>
      <c r="M8" s="210">
        <v>19600</v>
      </c>
      <c r="N8" s="210">
        <f t="shared" si="0"/>
        <v>22550</v>
      </c>
      <c r="O8" s="211">
        <v>25500</v>
      </c>
    </row>
    <row r="9" spans="1:16" ht="24.95" customHeight="1" thickBot="1" x14ac:dyDescent="0.25">
      <c r="B9" s="171">
        <v>5</v>
      </c>
      <c r="C9" s="172" t="s">
        <v>356</v>
      </c>
      <c r="D9" s="95" t="s">
        <v>104</v>
      </c>
      <c r="E9" s="43" t="s">
        <v>114</v>
      </c>
      <c r="F9" s="43" t="s">
        <v>52</v>
      </c>
      <c r="G9" s="43" t="s">
        <v>225</v>
      </c>
      <c r="H9" s="43" t="s">
        <v>110</v>
      </c>
      <c r="I9" s="43" t="s">
        <v>115</v>
      </c>
      <c r="J9" s="89">
        <v>1</v>
      </c>
      <c r="K9" s="43" t="s">
        <v>105</v>
      </c>
      <c r="L9" s="45">
        <v>45292</v>
      </c>
      <c r="M9" s="210">
        <v>3050</v>
      </c>
      <c r="N9" s="210">
        <f t="shared" si="0"/>
        <v>4024.5</v>
      </c>
      <c r="O9" s="211">
        <v>4999</v>
      </c>
    </row>
    <row r="10" spans="1:16" ht="24.95" customHeight="1" x14ac:dyDescent="0.2">
      <c r="B10" s="136">
        <v>6</v>
      </c>
      <c r="C10" s="169" t="s">
        <v>357</v>
      </c>
      <c r="D10" s="103" t="s">
        <v>104</v>
      </c>
      <c r="E10" s="33" t="s">
        <v>106</v>
      </c>
      <c r="F10" s="33" t="s">
        <v>52</v>
      </c>
      <c r="G10" s="33" t="s">
        <v>53</v>
      </c>
      <c r="H10" s="33" t="s">
        <v>110</v>
      </c>
      <c r="I10" s="33" t="s">
        <v>115</v>
      </c>
      <c r="J10" s="87">
        <v>1</v>
      </c>
      <c r="K10" s="33" t="s">
        <v>105</v>
      </c>
      <c r="L10" s="37">
        <v>45830</v>
      </c>
      <c r="M10" s="205">
        <v>3200</v>
      </c>
      <c r="N10" s="205">
        <f t="shared" si="0"/>
        <v>4675</v>
      </c>
      <c r="O10" s="206">
        <v>6150</v>
      </c>
    </row>
    <row r="11" spans="1:16" ht="24.95" customHeight="1" thickBot="1" x14ac:dyDescent="0.25">
      <c r="B11" s="61">
        <v>7</v>
      </c>
      <c r="C11" s="170" t="s">
        <v>358</v>
      </c>
      <c r="D11" s="173" t="s">
        <v>104</v>
      </c>
      <c r="E11" s="34" t="s">
        <v>106</v>
      </c>
      <c r="F11" s="34" t="s">
        <v>52</v>
      </c>
      <c r="G11" s="34" t="s">
        <v>225</v>
      </c>
      <c r="H11" s="34" t="s">
        <v>110</v>
      </c>
      <c r="I11" s="34" t="s">
        <v>115</v>
      </c>
      <c r="J11" s="86">
        <v>1</v>
      </c>
      <c r="K11" s="34" t="s">
        <v>105</v>
      </c>
      <c r="L11" s="39">
        <v>45830</v>
      </c>
      <c r="M11" s="207">
        <v>3200</v>
      </c>
      <c r="N11" s="207">
        <f t="shared" si="0"/>
        <v>4675</v>
      </c>
      <c r="O11" s="208">
        <v>6150</v>
      </c>
    </row>
    <row r="12" spans="1:16" ht="24.95" customHeight="1" x14ac:dyDescent="0.2">
      <c r="B12" s="136">
        <v>8</v>
      </c>
      <c r="C12" s="169" t="s">
        <v>359</v>
      </c>
      <c r="D12" s="103" t="s">
        <v>104</v>
      </c>
      <c r="E12" s="33" t="s">
        <v>107</v>
      </c>
      <c r="F12" s="33" t="s">
        <v>52</v>
      </c>
      <c r="G12" s="33" t="s">
        <v>53</v>
      </c>
      <c r="H12" s="33" t="s">
        <v>110</v>
      </c>
      <c r="I12" s="33" t="s">
        <v>41</v>
      </c>
      <c r="J12" s="87" t="s">
        <v>52</v>
      </c>
      <c r="K12" s="33" t="s">
        <v>105</v>
      </c>
      <c r="L12" s="37">
        <v>45830</v>
      </c>
      <c r="M12" s="205">
        <v>3900</v>
      </c>
      <c r="N12" s="205">
        <f t="shared" si="0"/>
        <v>5425</v>
      </c>
      <c r="O12" s="206">
        <v>6950</v>
      </c>
      <c r="P12" s="174"/>
    </row>
    <row r="13" spans="1:16" ht="24.95" customHeight="1" x14ac:dyDescent="0.2">
      <c r="B13" s="60">
        <v>9</v>
      </c>
      <c r="C13" s="168" t="s">
        <v>360</v>
      </c>
      <c r="D13" s="41" t="s">
        <v>104</v>
      </c>
      <c r="E13" s="22" t="s">
        <v>107</v>
      </c>
      <c r="F13" s="22" t="s">
        <v>52</v>
      </c>
      <c r="G13" s="22" t="s">
        <v>53</v>
      </c>
      <c r="H13" s="22" t="s">
        <v>110</v>
      </c>
      <c r="I13" s="22" t="s">
        <v>41</v>
      </c>
      <c r="J13" s="88">
        <v>1</v>
      </c>
      <c r="K13" s="22" t="s">
        <v>105</v>
      </c>
      <c r="L13" s="24">
        <v>45830</v>
      </c>
      <c r="M13" s="30">
        <v>3900</v>
      </c>
      <c r="N13" s="30">
        <f t="shared" si="0"/>
        <v>5425</v>
      </c>
      <c r="O13" s="212">
        <v>6950</v>
      </c>
    </row>
    <row r="14" spans="1:16" ht="24.95" customHeight="1" x14ac:dyDescent="0.2">
      <c r="B14" s="60">
        <v>10</v>
      </c>
      <c r="C14" s="168" t="s">
        <v>361</v>
      </c>
      <c r="D14" s="41" t="s">
        <v>104</v>
      </c>
      <c r="E14" s="22" t="s">
        <v>107</v>
      </c>
      <c r="F14" s="22" t="s">
        <v>52</v>
      </c>
      <c r="G14" s="22" t="s">
        <v>53</v>
      </c>
      <c r="H14" s="22" t="s">
        <v>110</v>
      </c>
      <c r="I14" s="22" t="s">
        <v>41</v>
      </c>
      <c r="J14" s="88">
        <v>1</v>
      </c>
      <c r="K14" s="22" t="s">
        <v>105</v>
      </c>
      <c r="L14" s="24">
        <v>45830</v>
      </c>
      <c r="M14" s="30">
        <v>3900</v>
      </c>
      <c r="N14" s="30">
        <f t="shared" si="0"/>
        <v>5425</v>
      </c>
      <c r="O14" s="212">
        <v>6950</v>
      </c>
    </row>
    <row r="15" spans="1:16" ht="24.95" customHeight="1" x14ac:dyDescent="0.2">
      <c r="B15" s="60">
        <v>11</v>
      </c>
      <c r="C15" s="168" t="s">
        <v>362</v>
      </c>
      <c r="D15" s="41" t="s">
        <v>104</v>
      </c>
      <c r="E15" s="22" t="s">
        <v>107</v>
      </c>
      <c r="F15" s="22" t="s">
        <v>52</v>
      </c>
      <c r="G15" s="22" t="s">
        <v>226</v>
      </c>
      <c r="H15" s="22" t="s">
        <v>110</v>
      </c>
      <c r="I15" s="22" t="s">
        <v>41</v>
      </c>
      <c r="J15" s="88">
        <v>1</v>
      </c>
      <c r="K15" s="22" t="s">
        <v>105</v>
      </c>
      <c r="L15" s="24">
        <v>45830</v>
      </c>
      <c r="M15" s="30">
        <v>3900</v>
      </c>
      <c r="N15" s="30">
        <f t="shared" si="0"/>
        <v>5425</v>
      </c>
      <c r="O15" s="212">
        <v>6950</v>
      </c>
    </row>
    <row r="16" spans="1:16" ht="24.95" customHeight="1" thickBot="1" x14ac:dyDescent="0.25">
      <c r="B16" s="61">
        <v>12</v>
      </c>
      <c r="C16" s="170" t="s">
        <v>363</v>
      </c>
      <c r="D16" s="173" t="s">
        <v>104</v>
      </c>
      <c r="E16" s="34" t="s">
        <v>107</v>
      </c>
      <c r="F16" s="34" t="s">
        <v>52</v>
      </c>
      <c r="G16" s="34" t="s">
        <v>51</v>
      </c>
      <c r="H16" s="34" t="s">
        <v>110</v>
      </c>
      <c r="I16" s="34" t="s">
        <v>41</v>
      </c>
      <c r="J16" s="86">
        <v>1</v>
      </c>
      <c r="K16" s="34" t="s">
        <v>105</v>
      </c>
      <c r="L16" s="39">
        <v>45830</v>
      </c>
      <c r="M16" s="207">
        <v>3900</v>
      </c>
      <c r="N16" s="207">
        <f t="shared" si="0"/>
        <v>5425</v>
      </c>
      <c r="O16" s="208">
        <v>6950</v>
      </c>
    </row>
    <row r="17" spans="2:15" ht="24.95" customHeight="1" x14ac:dyDescent="0.2">
      <c r="B17" s="136">
        <v>13</v>
      </c>
      <c r="C17" s="169" t="s">
        <v>364</v>
      </c>
      <c r="D17" s="103" t="s">
        <v>104</v>
      </c>
      <c r="E17" s="33" t="s">
        <v>190</v>
      </c>
      <c r="F17" s="33" t="s">
        <v>52</v>
      </c>
      <c r="G17" s="33" t="s">
        <v>53</v>
      </c>
      <c r="H17" s="33" t="s">
        <v>110</v>
      </c>
      <c r="I17" s="33" t="s">
        <v>41</v>
      </c>
      <c r="J17" s="87">
        <v>1</v>
      </c>
      <c r="K17" s="33" t="s">
        <v>105</v>
      </c>
      <c r="L17" s="37">
        <v>45830</v>
      </c>
      <c r="M17" s="205">
        <v>4300</v>
      </c>
      <c r="N17" s="205">
        <f t="shared" si="0"/>
        <v>5825</v>
      </c>
      <c r="O17" s="206">
        <v>7350</v>
      </c>
    </row>
    <row r="18" spans="2:15" ht="24.95" customHeight="1" thickBot="1" x14ac:dyDescent="0.25">
      <c r="B18" s="61">
        <v>14</v>
      </c>
      <c r="C18" s="170" t="s">
        <v>365</v>
      </c>
      <c r="D18" s="173" t="s">
        <v>104</v>
      </c>
      <c r="E18" s="34" t="s">
        <v>190</v>
      </c>
      <c r="F18" s="34" t="s">
        <v>52</v>
      </c>
      <c r="G18" s="34" t="s">
        <v>53</v>
      </c>
      <c r="H18" s="34" t="s">
        <v>110</v>
      </c>
      <c r="I18" s="34" t="s">
        <v>41</v>
      </c>
      <c r="J18" s="86" t="s">
        <v>52</v>
      </c>
      <c r="K18" s="34" t="s">
        <v>105</v>
      </c>
      <c r="L18" s="39">
        <v>45830</v>
      </c>
      <c r="M18" s="207">
        <v>4300</v>
      </c>
      <c r="N18" s="207">
        <f t="shared" si="0"/>
        <v>5825</v>
      </c>
      <c r="O18" s="208">
        <v>7350</v>
      </c>
    </row>
    <row r="19" spans="2:15" ht="24.95" customHeight="1" thickBot="1" x14ac:dyDescent="0.25">
      <c r="B19" s="171">
        <v>15</v>
      </c>
      <c r="C19" s="172" t="s">
        <v>367</v>
      </c>
      <c r="D19" s="95" t="s">
        <v>104</v>
      </c>
      <c r="E19" s="43" t="s">
        <v>192</v>
      </c>
      <c r="F19" s="43" t="s">
        <v>227</v>
      </c>
      <c r="G19" s="43" t="s">
        <v>51</v>
      </c>
      <c r="H19" s="43" t="s">
        <v>110</v>
      </c>
      <c r="I19" s="43" t="s">
        <v>115</v>
      </c>
      <c r="J19" s="89">
        <v>1</v>
      </c>
      <c r="K19" s="43" t="s">
        <v>105</v>
      </c>
      <c r="L19" s="45">
        <v>45830</v>
      </c>
      <c r="M19" s="210">
        <v>4700</v>
      </c>
      <c r="N19" s="210">
        <f t="shared" si="0"/>
        <v>6325</v>
      </c>
      <c r="O19" s="211">
        <v>7950</v>
      </c>
    </row>
    <row r="20" spans="2:15" ht="24.95" customHeight="1" thickBot="1" x14ac:dyDescent="0.25">
      <c r="B20" s="171">
        <v>16</v>
      </c>
      <c r="C20" s="172" t="s">
        <v>368</v>
      </c>
      <c r="D20" s="95" t="s">
        <v>104</v>
      </c>
      <c r="E20" s="43" t="s">
        <v>191</v>
      </c>
      <c r="F20" s="43" t="s">
        <v>228</v>
      </c>
      <c r="G20" s="43" t="s">
        <v>51</v>
      </c>
      <c r="H20" s="43" t="s">
        <v>110</v>
      </c>
      <c r="I20" s="43" t="s">
        <v>115</v>
      </c>
      <c r="J20" s="89">
        <v>1</v>
      </c>
      <c r="K20" s="43" t="s">
        <v>105</v>
      </c>
      <c r="L20" s="45">
        <v>45830</v>
      </c>
      <c r="M20" s="210">
        <v>5200</v>
      </c>
      <c r="N20" s="210">
        <f t="shared" si="0"/>
        <v>7075</v>
      </c>
      <c r="O20" s="211">
        <v>8950</v>
      </c>
    </row>
    <row r="21" spans="2:15" ht="15" thickBot="1" x14ac:dyDescent="0.25">
      <c r="J21" s="222">
        <f>SUM(J5:J20)</f>
        <v>14</v>
      </c>
    </row>
    <row r="22" spans="2:15" x14ac:dyDescent="0.2">
      <c r="H22" s="18" t="s">
        <v>178</v>
      </c>
    </row>
    <row r="28" spans="2:15" x14ac:dyDescent="0.2">
      <c r="C28" s="18" t="s">
        <v>366</v>
      </c>
    </row>
  </sheetData>
  <autoFilter ref="B4:L20" xr:uid="{00000000-0009-0000-0000-000002000000}"/>
  <mergeCells count="2">
    <mergeCell ref="B2:O2"/>
    <mergeCell ref="B3:D3"/>
  </mergeCells>
  <phoneticPr fontId="7" type="noConversion"/>
  <pageMargins left="0.25" right="0.25" top="0.75" bottom="0.75" header="0.3" footer="0.3"/>
  <pageSetup paperSize="9" scale="6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  <pageSetUpPr fitToPage="1"/>
  </sheetPr>
  <dimension ref="B1:T21"/>
  <sheetViews>
    <sheetView zoomScale="74" zoomScaleNormal="70" workbookViewId="0">
      <selection activeCell="G11" sqref="G11"/>
    </sheetView>
  </sheetViews>
  <sheetFormatPr baseColWidth="10" defaultColWidth="11.42578125" defaultRowHeight="12.75" x14ac:dyDescent="0.25"/>
  <cols>
    <col min="1" max="1" width="1.85546875" style="11" customWidth="1"/>
    <col min="2" max="3" width="7.5703125" style="11" customWidth="1"/>
    <col min="4" max="4" width="26.5703125" style="11" customWidth="1"/>
    <col min="5" max="5" width="11.42578125" style="11"/>
    <col min="6" max="7" width="11.42578125" style="11" customWidth="1"/>
    <col min="8" max="8" width="13.42578125" style="11" bestFit="1" customWidth="1"/>
    <col min="9" max="9" width="14.42578125" style="11" bestFit="1" customWidth="1"/>
    <col min="10" max="10" width="12.42578125" style="11" customWidth="1"/>
    <col min="11" max="11" width="15.5703125" style="11" bestFit="1" customWidth="1"/>
    <col min="12" max="13" width="11.42578125" style="11" customWidth="1"/>
    <col min="14" max="14" width="8.140625" style="11" customWidth="1"/>
    <col min="15" max="15" width="11.42578125" style="11" customWidth="1"/>
    <col min="16" max="16" width="17.5703125" style="11" customWidth="1"/>
    <col min="17" max="18" width="12" style="11" customWidth="1"/>
    <col min="19" max="19" width="12.42578125" style="11" bestFit="1" customWidth="1"/>
    <col min="20" max="16384" width="11.42578125" style="11"/>
  </cols>
  <sheetData>
    <row r="1" spans="2:20" ht="13.5" thickBot="1" x14ac:dyDescent="0.3">
      <c r="Q1" s="58"/>
      <c r="R1" s="58"/>
      <c r="S1" s="97">
        <f>'UNIMAC '!R2</f>
        <v>45950</v>
      </c>
    </row>
    <row r="2" spans="2:20" ht="21" thickBot="1" x14ac:dyDescent="0.3">
      <c r="B2" s="317" t="s">
        <v>237</v>
      </c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9"/>
    </row>
    <row r="3" spans="2:20" ht="13.5" thickBot="1" x14ac:dyDescent="0.3">
      <c r="B3" s="311" t="s">
        <v>238</v>
      </c>
      <c r="C3" s="312"/>
      <c r="D3" s="313"/>
      <c r="E3" s="16"/>
    </row>
    <row r="4" spans="2:20" ht="54" customHeight="1" thickBot="1" x14ac:dyDescent="0.3">
      <c r="B4" s="54" t="s">
        <v>0</v>
      </c>
      <c r="C4" s="55" t="s">
        <v>258</v>
      </c>
      <c r="D4" s="55" t="s">
        <v>1</v>
      </c>
      <c r="E4" s="55" t="s">
        <v>2</v>
      </c>
      <c r="F4" s="55" t="s">
        <v>27</v>
      </c>
      <c r="G4" s="55" t="s">
        <v>4</v>
      </c>
      <c r="H4" s="55" t="s">
        <v>5</v>
      </c>
      <c r="I4" s="55" t="s">
        <v>8</v>
      </c>
      <c r="J4" s="55" t="s">
        <v>11</v>
      </c>
      <c r="K4" s="55" t="s">
        <v>229</v>
      </c>
      <c r="L4" s="56" t="s">
        <v>28</v>
      </c>
      <c r="M4" s="55" t="s">
        <v>7</v>
      </c>
      <c r="N4" s="55" t="s">
        <v>215</v>
      </c>
      <c r="O4" s="55" t="s">
        <v>3</v>
      </c>
      <c r="P4" s="55" t="s">
        <v>54</v>
      </c>
      <c r="Q4" s="266" t="s">
        <v>369</v>
      </c>
      <c r="R4" s="273" t="s">
        <v>392</v>
      </c>
      <c r="S4" s="272" t="s">
        <v>370</v>
      </c>
    </row>
    <row r="5" spans="2:20" s="90" customFormat="1" ht="39" thickBot="1" x14ac:dyDescent="0.3">
      <c r="B5" s="83">
        <v>1</v>
      </c>
      <c r="C5" s="43" t="s">
        <v>372</v>
      </c>
      <c r="D5" s="95" t="s">
        <v>92</v>
      </c>
      <c r="E5" s="43" t="s">
        <v>75</v>
      </c>
      <c r="F5" s="43" t="s">
        <v>79</v>
      </c>
      <c r="G5" s="43" t="s">
        <v>13</v>
      </c>
      <c r="H5" s="43" t="s">
        <v>52</v>
      </c>
      <c r="I5" s="43" t="s">
        <v>53</v>
      </c>
      <c r="J5" s="43" t="s">
        <v>19</v>
      </c>
      <c r="K5" s="43" t="s">
        <v>230</v>
      </c>
      <c r="L5" s="43" t="s">
        <v>169</v>
      </c>
      <c r="M5" s="43" t="s">
        <v>41</v>
      </c>
      <c r="N5" s="44">
        <v>1</v>
      </c>
      <c r="O5" s="43" t="s">
        <v>78</v>
      </c>
      <c r="P5" s="45">
        <v>44682</v>
      </c>
      <c r="Q5" s="216">
        <v>8500</v>
      </c>
      <c r="R5" s="267">
        <f t="shared" ref="R5:R12" si="0">+(S5-Q5)/2+Q5</f>
        <v>10000</v>
      </c>
      <c r="S5" s="84">
        <v>11500</v>
      </c>
    </row>
    <row r="6" spans="2:20" s="90" customFormat="1" ht="39" thickBot="1" x14ac:dyDescent="0.3">
      <c r="B6" s="83">
        <v>2</v>
      </c>
      <c r="C6" s="43" t="s">
        <v>373</v>
      </c>
      <c r="D6" s="95" t="s">
        <v>92</v>
      </c>
      <c r="E6" s="43" t="s">
        <v>91</v>
      </c>
      <c r="F6" s="43" t="s">
        <v>79</v>
      </c>
      <c r="G6" s="43" t="s">
        <v>13</v>
      </c>
      <c r="H6" s="43" t="s">
        <v>52</v>
      </c>
      <c r="I6" s="43" t="s">
        <v>53</v>
      </c>
      <c r="J6" s="43" t="s">
        <v>94</v>
      </c>
      <c r="K6" s="43" t="s">
        <v>230</v>
      </c>
      <c r="L6" s="43" t="s">
        <v>169</v>
      </c>
      <c r="M6" s="43" t="s">
        <v>41</v>
      </c>
      <c r="N6" s="44">
        <v>1</v>
      </c>
      <c r="O6" s="43" t="s">
        <v>78</v>
      </c>
      <c r="P6" s="45">
        <v>44682</v>
      </c>
      <c r="Q6" s="216">
        <v>9300</v>
      </c>
      <c r="R6" s="267">
        <f t="shared" si="0"/>
        <v>11600</v>
      </c>
      <c r="S6" s="84">
        <v>13900</v>
      </c>
    </row>
    <row r="7" spans="2:20" s="90" customFormat="1" ht="38.25" x14ac:dyDescent="0.25">
      <c r="B7" s="146">
        <v>3</v>
      </c>
      <c r="C7" s="33" t="s">
        <v>374</v>
      </c>
      <c r="D7" s="103" t="s">
        <v>92</v>
      </c>
      <c r="E7" s="33" t="s">
        <v>74</v>
      </c>
      <c r="F7" s="33" t="s">
        <v>79</v>
      </c>
      <c r="G7" s="33" t="s">
        <v>13</v>
      </c>
      <c r="H7" s="33" t="s">
        <v>52</v>
      </c>
      <c r="I7" s="33" t="s">
        <v>53</v>
      </c>
      <c r="J7" s="33" t="s">
        <v>77</v>
      </c>
      <c r="K7" s="33" t="s">
        <v>230</v>
      </c>
      <c r="L7" s="33" t="s">
        <v>169</v>
      </c>
      <c r="M7" s="33" t="s">
        <v>76</v>
      </c>
      <c r="N7" s="124">
        <v>1</v>
      </c>
      <c r="O7" s="33" t="s">
        <v>78</v>
      </c>
      <c r="P7" s="37">
        <v>44682</v>
      </c>
      <c r="Q7" s="148">
        <v>15500</v>
      </c>
      <c r="R7" s="268">
        <f t="shared" si="0"/>
        <v>17500</v>
      </c>
      <c r="S7" s="149">
        <v>19500</v>
      </c>
    </row>
    <row r="8" spans="2:20" s="90" customFormat="1" ht="39" thickBot="1" x14ac:dyDescent="0.3">
      <c r="B8" s="150">
        <v>4</v>
      </c>
      <c r="C8" s="34" t="s">
        <v>375</v>
      </c>
      <c r="D8" s="173" t="s">
        <v>92</v>
      </c>
      <c r="E8" s="34" t="s">
        <v>74</v>
      </c>
      <c r="F8" s="34" t="s">
        <v>79</v>
      </c>
      <c r="G8" s="34" t="s">
        <v>13</v>
      </c>
      <c r="H8" s="34" t="s">
        <v>52</v>
      </c>
      <c r="I8" s="34" t="s">
        <v>53</v>
      </c>
      <c r="J8" s="34" t="s">
        <v>77</v>
      </c>
      <c r="K8" s="34" t="s">
        <v>230</v>
      </c>
      <c r="L8" s="34" t="s">
        <v>169</v>
      </c>
      <c r="M8" s="34" t="s">
        <v>76</v>
      </c>
      <c r="N8" s="132">
        <v>1</v>
      </c>
      <c r="O8" s="34" t="s">
        <v>78</v>
      </c>
      <c r="P8" s="39">
        <v>44682</v>
      </c>
      <c r="Q8" s="153">
        <v>15500</v>
      </c>
      <c r="R8" s="269">
        <f t="shared" si="0"/>
        <v>17500</v>
      </c>
      <c r="S8" s="154">
        <v>19500</v>
      </c>
    </row>
    <row r="9" spans="2:20" s="90" customFormat="1" ht="39" thickBot="1" x14ac:dyDescent="0.3">
      <c r="B9" s="83">
        <v>5</v>
      </c>
      <c r="C9" s="43" t="s">
        <v>376</v>
      </c>
      <c r="D9" s="95" t="s">
        <v>93</v>
      </c>
      <c r="E9" s="43" t="s">
        <v>81</v>
      </c>
      <c r="F9" s="43" t="s">
        <v>79</v>
      </c>
      <c r="G9" s="43" t="s">
        <v>13</v>
      </c>
      <c r="H9" s="43" t="s">
        <v>52</v>
      </c>
      <c r="I9" s="43" t="s">
        <v>53</v>
      </c>
      <c r="J9" s="43" t="s">
        <v>82</v>
      </c>
      <c r="K9" s="43" t="s">
        <v>232</v>
      </c>
      <c r="L9" s="43" t="s">
        <v>169</v>
      </c>
      <c r="M9" s="43" t="s">
        <v>76</v>
      </c>
      <c r="N9" s="44">
        <v>1</v>
      </c>
      <c r="O9" s="43" t="s">
        <v>78</v>
      </c>
      <c r="P9" s="45">
        <v>45047</v>
      </c>
      <c r="Q9" s="216">
        <v>29500</v>
      </c>
      <c r="R9" s="267">
        <f t="shared" si="0"/>
        <v>32500</v>
      </c>
      <c r="S9" s="84">
        <v>35500</v>
      </c>
      <c r="T9" s="79"/>
    </row>
    <row r="10" spans="2:20" s="90" customFormat="1" ht="39" thickBot="1" x14ac:dyDescent="0.3">
      <c r="B10" s="83">
        <v>6</v>
      </c>
      <c r="C10" s="43" t="s">
        <v>377</v>
      </c>
      <c r="D10" s="95" t="s">
        <v>92</v>
      </c>
      <c r="E10" s="43" t="s">
        <v>156</v>
      </c>
      <c r="F10" s="43" t="s">
        <v>79</v>
      </c>
      <c r="G10" s="43" t="s">
        <v>13</v>
      </c>
      <c r="H10" s="43"/>
      <c r="I10" s="43" t="s">
        <v>53</v>
      </c>
      <c r="J10" s="43" t="s">
        <v>95</v>
      </c>
      <c r="K10" s="43" t="s">
        <v>232</v>
      </c>
      <c r="L10" s="43" t="s">
        <v>169</v>
      </c>
      <c r="M10" s="43" t="s">
        <v>76</v>
      </c>
      <c r="N10" s="44">
        <v>1</v>
      </c>
      <c r="O10" s="43" t="s">
        <v>78</v>
      </c>
      <c r="P10" s="45">
        <v>45047</v>
      </c>
      <c r="Q10" s="216">
        <v>35500</v>
      </c>
      <c r="R10" s="267">
        <f t="shared" si="0"/>
        <v>38500</v>
      </c>
      <c r="S10" s="84">
        <v>41500</v>
      </c>
      <c r="T10" s="79"/>
    </row>
    <row r="11" spans="2:20" s="90" customFormat="1" ht="39" thickBot="1" x14ac:dyDescent="0.3">
      <c r="B11" s="83">
        <v>7</v>
      </c>
      <c r="C11" s="43" t="s">
        <v>378</v>
      </c>
      <c r="D11" s="95" t="s">
        <v>92</v>
      </c>
      <c r="E11" s="43" t="s">
        <v>83</v>
      </c>
      <c r="F11" s="43" t="s">
        <v>79</v>
      </c>
      <c r="G11" s="43" t="s">
        <v>13</v>
      </c>
      <c r="H11" s="43" t="s">
        <v>52</v>
      </c>
      <c r="I11" s="43" t="s">
        <v>53</v>
      </c>
      <c r="J11" s="43" t="s">
        <v>80</v>
      </c>
      <c r="K11" s="43" t="s">
        <v>232</v>
      </c>
      <c r="L11" s="43" t="s">
        <v>169</v>
      </c>
      <c r="M11" s="43" t="s">
        <v>76</v>
      </c>
      <c r="N11" s="44">
        <v>1</v>
      </c>
      <c r="O11" s="43" t="s">
        <v>78</v>
      </c>
      <c r="P11" s="45">
        <v>44682</v>
      </c>
      <c r="Q11" s="216">
        <v>45500</v>
      </c>
      <c r="R11" s="267">
        <f t="shared" si="0"/>
        <v>57500</v>
      </c>
      <c r="S11" s="84">
        <v>69500</v>
      </c>
    </row>
    <row r="12" spans="2:20" s="90" customFormat="1" ht="39" thickBot="1" x14ac:dyDescent="0.3">
      <c r="B12" s="83">
        <v>9</v>
      </c>
      <c r="C12" s="43" t="s">
        <v>379</v>
      </c>
      <c r="D12" s="218" t="s">
        <v>93</v>
      </c>
      <c r="E12" s="43" t="s">
        <v>90</v>
      </c>
      <c r="F12" s="49" t="s">
        <v>79</v>
      </c>
      <c r="G12" s="49" t="s">
        <v>13</v>
      </c>
      <c r="H12" s="49" t="s">
        <v>227</v>
      </c>
      <c r="I12" s="49" t="s">
        <v>53</v>
      </c>
      <c r="J12" s="49" t="s">
        <v>94</v>
      </c>
      <c r="K12" s="49" t="s">
        <v>232</v>
      </c>
      <c r="L12" s="43" t="s">
        <v>169</v>
      </c>
      <c r="M12" s="49" t="s">
        <v>76</v>
      </c>
      <c r="N12" s="92">
        <v>1</v>
      </c>
      <c r="O12" s="49" t="s">
        <v>78</v>
      </c>
      <c r="P12" s="36">
        <v>44682</v>
      </c>
      <c r="Q12" s="216">
        <v>11300</v>
      </c>
      <c r="R12" s="267">
        <f t="shared" si="0"/>
        <v>13400</v>
      </c>
      <c r="S12" s="84">
        <v>15500</v>
      </c>
    </row>
    <row r="13" spans="2:20" s="90" customFormat="1" ht="39" thickBot="1" x14ac:dyDescent="0.3">
      <c r="B13" s="93">
        <v>8</v>
      </c>
      <c r="C13" s="80" t="s">
        <v>380</v>
      </c>
      <c r="D13" s="94" t="s">
        <v>85</v>
      </c>
      <c r="E13" s="80" t="s">
        <v>84</v>
      </c>
      <c r="F13" s="80" t="s">
        <v>231</v>
      </c>
      <c r="G13" s="80" t="s">
        <v>13</v>
      </c>
      <c r="H13" s="80" t="s">
        <v>52</v>
      </c>
      <c r="I13" s="80" t="s">
        <v>53</v>
      </c>
      <c r="J13" s="80" t="s">
        <v>82</v>
      </c>
      <c r="K13" s="80" t="s">
        <v>232</v>
      </c>
      <c r="L13" s="80" t="s">
        <v>169</v>
      </c>
      <c r="M13" s="80" t="s">
        <v>76</v>
      </c>
      <c r="N13" s="81">
        <v>1</v>
      </c>
      <c r="O13" s="80" t="s">
        <v>78</v>
      </c>
      <c r="P13" s="82">
        <v>43678</v>
      </c>
      <c r="Q13" s="217" t="s">
        <v>52</v>
      </c>
      <c r="R13" s="270"/>
      <c r="S13" s="209"/>
    </row>
    <row r="14" spans="2:20" s="90" customFormat="1" ht="13.5" thickBot="1" x14ac:dyDescent="0.3"/>
    <row r="15" spans="2:20" ht="13.5" thickBot="1" x14ac:dyDescent="0.3">
      <c r="B15" s="314" t="s">
        <v>138</v>
      </c>
      <c r="C15" s="315"/>
      <c r="D15" s="316"/>
    </row>
    <row r="16" spans="2:20" s="90" customFormat="1" ht="26.25" thickBot="1" x14ac:dyDescent="0.3">
      <c r="B16" s="83">
        <v>10</v>
      </c>
      <c r="C16" s="214" t="s">
        <v>381</v>
      </c>
      <c r="D16" s="95" t="s">
        <v>138</v>
      </c>
      <c r="E16" s="49" t="s">
        <v>88</v>
      </c>
      <c r="F16" s="43" t="s">
        <v>79</v>
      </c>
      <c r="G16" s="43" t="s">
        <v>13</v>
      </c>
      <c r="H16" s="43" t="s">
        <v>52</v>
      </c>
      <c r="I16" s="43" t="s">
        <v>53</v>
      </c>
      <c r="J16" s="43" t="s">
        <v>72</v>
      </c>
      <c r="K16" s="43" t="s">
        <v>89</v>
      </c>
      <c r="L16" s="43" t="s">
        <v>169</v>
      </c>
      <c r="M16" s="43" t="s">
        <v>41</v>
      </c>
      <c r="N16" s="44">
        <v>1</v>
      </c>
      <c r="O16" s="43" t="s">
        <v>78</v>
      </c>
      <c r="P16" s="45">
        <v>44531</v>
      </c>
      <c r="Q16" s="220">
        <v>6500</v>
      </c>
      <c r="R16" s="220">
        <f t="shared" ref="R16:R17" si="1">+(S16-Q16)/2+Q16</f>
        <v>7225</v>
      </c>
      <c r="S16" s="221">
        <v>7950</v>
      </c>
    </row>
    <row r="17" spans="2:19" s="90" customFormat="1" ht="39" thickBot="1" x14ac:dyDescent="0.3">
      <c r="B17" s="93">
        <v>11</v>
      </c>
      <c r="C17" s="215" t="s">
        <v>382</v>
      </c>
      <c r="D17" s="94" t="s">
        <v>138</v>
      </c>
      <c r="E17" s="232" t="s">
        <v>87</v>
      </c>
      <c r="F17" s="80" t="s">
        <v>79</v>
      </c>
      <c r="G17" s="80" t="s">
        <v>13</v>
      </c>
      <c r="H17" s="80" t="s">
        <v>52</v>
      </c>
      <c r="I17" s="80" t="s">
        <v>53</v>
      </c>
      <c r="J17" s="80" t="s">
        <v>82</v>
      </c>
      <c r="K17" s="80" t="s">
        <v>232</v>
      </c>
      <c r="L17" s="80" t="s">
        <v>169</v>
      </c>
      <c r="M17" s="80" t="s">
        <v>157</v>
      </c>
      <c r="N17" s="81">
        <v>1</v>
      </c>
      <c r="O17" s="80" t="s">
        <v>78</v>
      </c>
      <c r="P17" s="82">
        <v>45047</v>
      </c>
      <c r="Q17" s="219">
        <v>8500</v>
      </c>
      <c r="R17" s="219">
        <f t="shared" si="1"/>
        <v>10000</v>
      </c>
      <c r="S17" s="221">
        <v>11500</v>
      </c>
    </row>
    <row r="18" spans="2:19" ht="12.75" customHeight="1" thickBot="1" x14ac:dyDescent="0.3"/>
    <row r="19" spans="2:19" ht="13.5" thickBot="1" x14ac:dyDescent="0.3">
      <c r="B19" s="314" t="s">
        <v>159</v>
      </c>
      <c r="C19" s="315"/>
      <c r="D19" s="316"/>
    </row>
    <row r="20" spans="2:19" ht="22.5" customHeight="1" thickBot="1" x14ac:dyDescent="0.3">
      <c r="B20" s="146">
        <v>12</v>
      </c>
      <c r="C20" s="33" t="s">
        <v>383</v>
      </c>
      <c r="D20" s="112" t="s">
        <v>159</v>
      </c>
      <c r="E20" s="124" t="s">
        <v>160</v>
      </c>
      <c r="F20" s="112" t="s">
        <v>231</v>
      </c>
      <c r="G20" s="112" t="s">
        <v>52</v>
      </c>
      <c r="H20" s="112" t="s">
        <v>52</v>
      </c>
      <c r="I20" s="33" t="s">
        <v>53</v>
      </c>
      <c r="J20" s="112" t="s">
        <v>52</v>
      </c>
      <c r="K20" s="112" t="s">
        <v>233</v>
      </c>
      <c r="L20" s="112" t="s">
        <v>52</v>
      </c>
      <c r="M20" s="112" t="s">
        <v>157</v>
      </c>
      <c r="N20" s="112">
        <v>1</v>
      </c>
      <c r="O20" s="112" t="s">
        <v>78</v>
      </c>
      <c r="P20" s="37">
        <v>45139</v>
      </c>
      <c r="Q20" s="148">
        <v>7900</v>
      </c>
      <c r="R20" s="268">
        <f t="shared" ref="R20:R21" si="2">+(S20-Q20)/2+Q20</f>
        <v>10700</v>
      </c>
      <c r="S20" s="228">
        <v>13500</v>
      </c>
    </row>
    <row r="21" spans="2:19" ht="13.5" thickBot="1" x14ac:dyDescent="0.3">
      <c r="B21" s="150">
        <v>13</v>
      </c>
      <c r="C21" s="33" t="s">
        <v>384</v>
      </c>
      <c r="D21" s="134" t="s">
        <v>159</v>
      </c>
      <c r="E21" s="132" t="s">
        <v>160</v>
      </c>
      <c r="F21" s="134" t="s">
        <v>231</v>
      </c>
      <c r="G21" s="134" t="s">
        <v>52</v>
      </c>
      <c r="H21" s="134" t="s">
        <v>52</v>
      </c>
      <c r="I21" s="34" t="s">
        <v>53</v>
      </c>
      <c r="J21" s="134" t="s">
        <v>52</v>
      </c>
      <c r="K21" s="134" t="s">
        <v>233</v>
      </c>
      <c r="L21" s="134" t="s">
        <v>52</v>
      </c>
      <c r="M21" s="134" t="s">
        <v>157</v>
      </c>
      <c r="N21" s="134">
        <v>1</v>
      </c>
      <c r="O21" s="134" t="s">
        <v>78</v>
      </c>
      <c r="P21" s="39">
        <v>45139</v>
      </c>
      <c r="Q21" s="153">
        <v>7900</v>
      </c>
      <c r="R21" s="269">
        <f t="shared" si="2"/>
        <v>10700</v>
      </c>
      <c r="S21" s="229">
        <v>13500</v>
      </c>
    </row>
  </sheetData>
  <autoFilter ref="B4:P18" xr:uid="{00000000-0009-0000-0000-000003000000}"/>
  <mergeCells count="4">
    <mergeCell ref="B3:D3"/>
    <mergeCell ref="B19:D19"/>
    <mergeCell ref="B15:D15"/>
    <mergeCell ref="B2:S2"/>
  </mergeCells>
  <pageMargins left="0.7" right="0.7" top="0.75" bottom="0.75" header="0.3" footer="0.3"/>
  <pageSetup paperSize="9" scale="5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  <pageSetUpPr fitToPage="1"/>
  </sheetPr>
  <dimension ref="B1:Q10"/>
  <sheetViews>
    <sheetView zoomScale="115" zoomScaleNormal="115" workbookViewId="0">
      <selection activeCell="G19" sqref="G19"/>
    </sheetView>
  </sheetViews>
  <sheetFormatPr baseColWidth="10" defaultColWidth="11.42578125" defaultRowHeight="12.75" x14ac:dyDescent="0.25"/>
  <cols>
    <col min="1" max="1" width="1.85546875" style="11" customWidth="1"/>
    <col min="2" max="2" width="5.5703125" style="11" customWidth="1"/>
    <col min="3" max="3" width="8.5703125" style="11" customWidth="1"/>
    <col min="4" max="4" width="23.140625" style="11" customWidth="1"/>
    <col min="5" max="5" width="10" style="11" customWidth="1"/>
    <col min="6" max="6" width="14.42578125" style="11" bestFit="1" customWidth="1"/>
    <col min="7" max="7" width="10.5703125" style="11" bestFit="1" customWidth="1"/>
    <col min="8" max="8" width="13.42578125" style="11" bestFit="1" customWidth="1"/>
    <col min="9" max="9" width="11.42578125" style="11" bestFit="1" customWidth="1"/>
    <col min="10" max="10" width="14" style="11" bestFit="1" customWidth="1"/>
    <col min="11" max="11" width="11.42578125" style="11"/>
    <col min="12" max="12" width="6" style="11" bestFit="1" customWidth="1"/>
    <col min="13" max="13" width="6.42578125" style="11" bestFit="1" customWidth="1"/>
    <col min="14" max="14" width="11.42578125" style="11" bestFit="1" customWidth="1"/>
    <col min="15" max="16384" width="11.42578125" style="11"/>
  </cols>
  <sheetData>
    <row r="1" spans="2:17" ht="13.5" thickBot="1" x14ac:dyDescent="0.25">
      <c r="O1" s="53">
        <f>'UNIMAC '!R2</f>
        <v>45950</v>
      </c>
      <c r="P1" s="53"/>
    </row>
    <row r="2" spans="2:17" ht="13.5" thickBot="1" x14ac:dyDescent="0.3">
      <c r="B2" s="320" t="s">
        <v>239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2"/>
    </row>
    <row r="3" spans="2:17" ht="13.5" thickBot="1" x14ac:dyDescent="0.3">
      <c r="B3" s="311" t="s">
        <v>138</v>
      </c>
      <c r="C3" s="312"/>
      <c r="D3" s="313"/>
      <c r="E3" s="16"/>
      <c r="O3" s="16"/>
      <c r="P3" s="16"/>
    </row>
    <row r="4" spans="2:17" ht="39" thickBot="1" x14ac:dyDescent="0.3">
      <c r="B4" s="54" t="s">
        <v>0</v>
      </c>
      <c r="C4" s="138" t="s">
        <v>258</v>
      </c>
      <c r="D4" s="55" t="s">
        <v>1</v>
      </c>
      <c r="E4" s="55" t="s">
        <v>2</v>
      </c>
      <c r="F4" s="55" t="s">
        <v>8</v>
      </c>
      <c r="G4" s="55" t="s">
        <v>11</v>
      </c>
      <c r="H4" s="55" t="s">
        <v>229</v>
      </c>
      <c r="I4" s="55" t="s">
        <v>9</v>
      </c>
      <c r="J4" s="56" t="s">
        <v>28</v>
      </c>
      <c r="K4" s="55" t="s">
        <v>7</v>
      </c>
      <c r="L4" s="55" t="s">
        <v>235</v>
      </c>
      <c r="M4" s="55" t="s">
        <v>3</v>
      </c>
      <c r="N4" s="55" t="s">
        <v>54</v>
      </c>
      <c r="O4" s="271" t="s">
        <v>369</v>
      </c>
      <c r="P4" s="273" t="s">
        <v>392</v>
      </c>
      <c r="Q4" s="274" t="s">
        <v>370</v>
      </c>
    </row>
    <row r="5" spans="2:17" ht="24.95" customHeight="1" x14ac:dyDescent="0.25">
      <c r="B5" s="136">
        <v>1</v>
      </c>
      <c r="C5" s="31" t="s">
        <v>387</v>
      </c>
      <c r="D5" s="123" t="s">
        <v>138</v>
      </c>
      <c r="E5" s="31" t="s">
        <v>100</v>
      </c>
      <c r="F5" s="31" t="s">
        <v>53</v>
      </c>
      <c r="G5" s="31" t="s">
        <v>24</v>
      </c>
      <c r="H5" s="31" t="s">
        <v>52</v>
      </c>
      <c r="I5" s="31" t="s">
        <v>52</v>
      </c>
      <c r="J5" s="31" t="s">
        <v>168</v>
      </c>
      <c r="K5" s="31" t="s">
        <v>40</v>
      </c>
      <c r="L5" s="112">
        <v>1</v>
      </c>
      <c r="M5" s="31" t="s">
        <v>96</v>
      </c>
      <c r="N5" s="127">
        <v>45061</v>
      </c>
      <c r="O5" s="226">
        <v>7400</v>
      </c>
      <c r="P5" s="226">
        <f t="shared" ref="P5:P10" si="0">+(Q5-O5)/2+O5</f>
        <v>8650</v>
      </c>
      <c r="Q5" s="226">
        <v>9900</v>
      </c>
    </row>
    <row r="6" spans="2:17" ht="24.95" customHeight="1" x14ac:dyDescent="0.25">
      <c r="B6" s="60">
        <v>2</v>
      </c>
      <c r="C6" s="2" t="s">
        <v>385</v>
      </c>
      <c r="D6" s="12" t="s">
        <v>86</v>
      </c>
      <c r="E6" s="2" t="s">
        <v>100</v>
      </c>
      <c r="F6" s="2" t="s">
        <v>51</v>
      </c>
      <c r="G6" s="2" t="s">
        <v>139</v>
      </c>
      <c r="H6" s="2" t="s">
        <v>52</v>
      </c>
      <c r="I6" s="2" t="s">
        <v>52</v>
      </c>
      <c r="J6" s="2" t="s">
        <v>168</v>
      </c>
      <c r="K6" s="2" t="s">
        <v>40</v>
      </c>
      <c r="L6" s="1">
        <v>1</v>
      </c>
      <c r="M6" s="2" t="s">
        <v>96</v>
      </c>
      <c r="N6" s="19">
        <v>45061</v>
      </c>
      <c r="O6" s="196">
        <v>6050</v>
      </c>
      <c r="P6" s="196">
        <f t="shared" si="0"/>
        <v>7475</v>
      </c>
      <c r="Q6" s="196">
        <v>8900</v>
      </c>
    </row>
    <row r="7" spans="2:17" ht="24.95" customHeight="1" thickBot="1" x14ac:dyDescent="0.3">
      <c r="B7" s="61">
        <v>3</v>
      </c>
      <c r="C7" s="35" t="s">
        <v>386</v>
      </c>
      <c r="D7" s="131" t="s">
        <v>86</v>
      </c>
      <c r="E7" s="35" t="s">
        <v>100</v>
      </c>
      <c r="F7" s="35" t="s">
        <v>51</v>
      </c>
      <c r="G7" s="35" t="s">
        <v>24</v>
      </c>
      <c r="H7" s="35" t="s">
        <v>52</v>
      </c>
      <c r="I7" s="35" t="s">
        <v>52</v>
      </c>
      <c r="J7" s="35" t="s">
        <v>168</v>
      </c>
      <c r="K7" s="35" t="s">
        <v>40</v>
      </c>
      <c r="L7" s="134">
        <v>1</v>
      </c>
      <c r="M7" s="35" t="s">
        <v>96</v>
      </c>
      <c r="N7" s="118">
        <v>45061</v>
      </c>
      <c r="O7" s="196">
        <v>6900</v>
      </c>
      <c r="P7" s="196">
        <f t="shared" si="0"/>
        <v>7900</v>
      </c>
      <c r="Q7" s="196">
        <v>8900</v>
      </c>
    </row>
    <row r="8" spans="2:17" ht="24.75" thickBot="1" x14ac:dyDescent="0.3">
      <c r="B8" s="203">
        <v>4</v>
      </c>
      <c r="C8" s="230" t="s">
        <v>388</v>
      </c>
      <c r="D8" s="231" t="s">
        <v>86</v>
      </c>
      <c r="E8" s="232" t="s">
        <v>101</v>
      </c>
      <c r="F8" s="232" t="s">
        <v>53</v>
      </c>
      <c r="G8" s="232" t="s">
        <v>65</v>
      </c>
      <c r="H8" s="233" t="s">
        <v>234</v>
      </c>
      <c r="I8" s="232" t="s">
        <v>17</v>
      </c>
      <c r="J8" s="232" t="s">
        <v>169</v>
      </c>
      <c r="K8" s="232" t="s">
        <v>18</v>
      </c>
      <c r="L8" s="234">
        <v>1</v>
      </c>
      <c r="M8" s="232" t="s">
        <v>96</v>
      </c>
      <c r="N8" s="235">
        <v>45061</v>
      </c>
      <c r="O8" s="204">
        <v>8400</v>
      </c>
      <c r="P8" s="204">
        <f t="shared" si="0"/>
        <v>9950</v>
      </c>
      <c r="Q8" s="204">
        <v>11500</v>
      </c>
    </row>
    <row r="9" spans="2:17" ht="24" x14ac:dyDescent="0.25">
      <c r="B9" s="175">
        <v>5</v>
      </c>
      <c r="C9" s="224" t="s">
        <v>389</v>
      </c>
      <c r="D9" s="176" t="s">
        <v>86</v>
      </c>
      <c r="E9" s="13" t="s">
        <v>98</v>
      </c>
      <c r="F9" s="13" t="s">
        <v>53</v>
      </c>
      <c r="G9" s="13" t="s">
        <v>99</v>
      </c>
      <c r="H9" s="227" t="s">
        <v>234</v>
      </c>
      <c r="I9" s="13" t="s">
        <v>17</v>
      </c>
      <c r="J9" s="13" t="s">
        <v>169</v>
      </c>
      <c r="K9" s="13" t="s">
        <v>18</v>
      </c>
      <c r="L9" s="14">
        <v>1</v>
      </c>
      <c r="M9" s="13" t="s">
        <v>96</v>
      </c>
      <c r="N9" s="20">
        <v>43678</v>
      </c>
      <c r="O9" s="225">
        <v>12500</v>
      </c>
      <c r="P9" s="225">
        <f t="shared" si="0"/>
        <v>15500</v>
      </c>
      <c r="Q9" s="225">
        <v>18500</v>
      </c>
    </row>
    <row r="10" spans="2:17" ht="24.75" thickBot="1" x14ac:dyDescent="0.3">
      <c r="B10" s="61">
        <v>6</v>
      </c>
      <c r="C10" s="62" t="s">
        <v>390</v>
      </c>
      <c r="D10" s="131" t="s">
        <v>138</v>
      </c>
      <c r="E10" s="35" t="s">
        <v>98</v>
      </c>
      <c r="F10" s="35" t="s">
        <v>51</v>
      </c>
      <c r="G10" s="35" t="s">
        <v>140</v>
      </c>
      <c r="H10" s="223" t="s">
        <v>234</v>
      </c>
      <c r="I10" s="35" t="s">
        <v>17</v>
      </c>
      <c r="J10" s="35" t="s">
        <v>169</v>
      </c>
      <c r="K10" s="35" t="s">
        <v>18</v>
      </c>
      <c r="L10" s="134">
        <v>1</v>
      </c>
      <c r="M10" s="35" t="s">
        <v>96</v>
      </c>
      <c r="N10" s="118">
        <v>45061</v>
      </c>
      <c r="O10" s="185">
        <v>15500</v>
      </c>
      <c r="P10" s="185">
        <f t="shared" si="0"/>
        <v>18500</v>
      </c>
      <c r="Q10" s="185">
        <v>21500</v>
      </c>
    </row>
  </sheetData>
  <mergeCells count="2">
    <mergeCell ref="B3:D3"/>
    <mergeCell ref="B2:Q2"/>
  </mergeCells>
  <phoneticPr fontId="7" type="noConversion"/>
  <pageMargins left="0.25" right="0.25" top="0.75" bottom="0.75" header="0.3" footer="0.3"/>
  <pageSetup paperSize="9"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UNIMAC </vt:lpstr>
      <vt:lpstr>PRIMUS</vt:lpstr>
      <vt:lpstr>GMP</vt:lpstr>
      <vt:lpstr>SAILSTAR</vt:lpstr>
      <vt:lpstr>ADC</vt:lpstr>
      <vt:lpstr>PRIMUS!Área_de_impresión</vt:lpstr>
      <vt:lpstr>'UNIMAC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comercioexterior1</dc:creator>
  <cp:lastModifiedBy>Office</cp:lastModifiedBy>
  <cp:lastPrinted>2025-10-20T15:56:10Z</cp:lastPrinted>
  <dcterms:created xsi:type="dcterms:W3CDTF">2019-10-31T15:10:27Z</dcterms:created>
  <dcterms:modified xsi:type="dcterms:W3CDTF">2025-11-29T07:04:48Z</dcterms:modified>
</cp:coreProperties>
</file>