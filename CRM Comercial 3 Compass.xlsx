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onzalo PL\Desktop\Automatizaciones\Automatizacione-EMP1\"/>
    </mc:Choice>
  </mc:AlternateContent>
  <xr:revisionPtr revIDLastSave="0" documentId="13_ncr:1_{E8CE6216-FBB2-416B-BDDE-D7FE96FBFA76}" xr6:coauthVersionLast="47" xr6:coauthVersionMax="47" xr10:uidLastSave="{00000000-0000-0000-0000-000000000000}"/>
  <bookViews>
    <workbookView xWindow="28680" yWindow="-120" windowWidth="29040" windowHeight="15720" activeTab="3" xr2:uid="{4C01EB41-D205-410D-966C-732FE24FB6DB}"/>
  </bookViews>
  <sheets>
    <sheet name="AGENDA" sheetId="5" r:id="rId1"/>
    <sheet name="Base CRM" sheetId="1" r:id="rId2"/>
    <sheet name="Detalle" sheetId="4" r:id="rId3"/>
    <sheet name="CIERRE" sheetId="6" r:id="rId4"/>
  </sheets>
  <definedNames>
    <definedName name="NativeTimeline_Fecha">#N/A</definedName>
  </definedNames>
  <calcPr calcId="191028"/>
  <pivotCaches>
    <pivotCache cacheId="1" r:id="rId5"/>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6" l="1"/>
  <c r="L5" i="6"/>
  <c r="M5" i="6" s="1"/>
  <c r="N4" i="6"/>
  <c r="V118" i="1" l="1"/>
  <c r="V117" i="1"/>
  <c r="V103" i="1"/>
  <c r="V102" i="1"/>
  <c r="V101" i="1"/>
  <c r="V99" i="1"/>
  <c r="V98" i="1"/>
  <c r="V97" i="1"/>
  <c r="V96" i="1"/>
  <c r="V95" i="1"/>
  <c r="V94" i="1"/>
  <c r="V88" i="1"/>
  <c r="V87" i="1"/>
  <c r="V86" i="1"/>
  <c r="V85" i="1"/>
  <c r="V84" i="1"/>
  <c r="V83" i="1"/>
  <c r="V82" i="1"/>
  <c r="V81" i="1"/>
  <c r="V80" i="1"/>
  <c r="V79" i="1"/>
  <c r="V78" i="1"/>
  <c r="V77" i="1"/>
  <c r="V76"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alcChain>
</file>

<file path=xl/sharedStrings.xml><?xml version="1.0" encoding="utf-8"?>
<sst xmlns="http://schemas.openxmlformats.org/spreadsheetml/2006/main" count="1371" uniqueCount="480">
  <si>
    <t>Estado</t>
  </si>
  <si>
    <t>(Varios elementos)</t>
  </si>
  <si>
    <t>Fecha</t>
  </si>
  <si>
    <t>Número de Visitas y seguimiento</t>
  </si>
  <si>
    <t>Etiquetas de fila</t>
  </si>
  <si>
    <t>Cuenta de Fecha</t>
  </si>
  <si>
    <t>Cuenta de Estado</t>
  </si>
  <si>
    <t>Total general</t>
  </si>
  <si>
    <t>Razón Social</t>
  </si>
  <si>
    <t>Descripción</t>
  </si>
  <si>
    <t>Cuenta de Origen del lead</t>
  </si>
  <si>
    <t>Lavatec (Monterrico)</t>
  </si>
  <si>
    <t>En la tienda no se encontraba la gerente, además se le entrogó el catalogo, la encargado dijo que manejan su propia planta y que si quiero que accedan a nuestras lavadoras industriales lo haga en la sede principal.</t>
  </si>
  <si>
    <t>Lavanderia Aqua Clean S.a.C.</t>
  </si>
  <si>
    <t>Tienen su propia planta al costado, en su lavanderia tienen lavadora industrial marca renazicc, posee una lavadora y secadora, me cuenta que actualmente no necesitan y se comunico con nosotros en el pasado pero nuestros precios eran muy elevados.</t>
  </si>
  <si>
    <t>Lavanderia kikue</t>
  </si>
  <si>
    <t>Tienen la misma lavadora industrial marca Renzacci, ya lleva años en la industria y la encargada me permitió tomar foto a las mesas de planchado, me indicó que el gerente esta en tienda de 3 a 5 pm del lunes. Se le aduntó el catalogo de igual manera.</t>
  </si>
  <si>
    <t>Lavandería Peppa</t>
  </si>
  <si>
    <t>Al llegar a la tienda noté que tienen lavadoras LG no industriales solo en la entrada, conversando con el encargado me comenta que tienen tres lavadoras comunes y dos industriales, esas 2 son  las Ipson, que las usan para edredones, de igual manera se le adjuto el catalogo y se pidió el numero de la gerente con exito.</t>
  </si>
  <si>
    <t xml:space="preserve">Lavandería Espuma Dry Cleanners </t>
  </si>
  <si>
    <t xml:space="preserve">Pregunté si la dueña estaba en la tienday me dijo la señorita que no, se intereso en el catalogo, preguntando el precio de las lavadoras y secadoras, me dijo que pensaba abrir su propia lavandería y pidió mi numero personal. Se me dio el numero de su planta y me dijo que necesitan una secadora, dije que mas que llegar a un precio nosotros hacemos un servicio constante de postventa y prevent checando el lugar, vendiendo mas la marca que el producto. </t>
  </si>
  <si>
    <t>Monterrico Sutes Hotel</t>
  </si>
  <si>
    <t>El señor dueño del hotel necesita y quiere una lavadora industrial, se le ofrecio la LG semiindustriales, Titan o Gian. Se le ofreció el catalogo presencial. Su local es pequeño y me dijo que le pasara la mejor oferta, quiere una lavadora con capacidad de 20 kilos, dice que tiene contactos que se lo puden dejar a un precio muy barato No esta dispuesto a pagar menos de 2000 dolares</t>
  </si>
  <si>
    <t>La Positiva (Centro Medico)</t>
  </si>
  <si>
    <t>Al entrar me recibió la recepcionisa diciendome que no dan esa clase de información, ya que la ves pasada el guardia  de seguridad saco al personal que vino a ofrecer un servicio, de igual manera se explico el funcionsmiento y necesidadde tener una lavadora industrial. Se entrego el catalogo para que lo ntregue a su supervisor.</t>
  </si>
  <si>
    <t>Lima Mini Apart Monterrico</t>
  </si>
  <si>
    <t>(en blanco)</t>
  </si>
  <si>
    <t>Lavanderías All Clean</t>
  </si>
  <si>
    <t>Total 29/10/2025</t>
  </si>
  <si>
    <t>No.</t>
  </si>
  <si>
    <t>Contacto</t>
  </si>
  <si>
    <t>Cargo</t>
  </si>
  <si>
    <t>teléfono</t>
  </si>
  <si>
    <t>Mail</t>
  </si>
  <si>
    <t>RUC</t>
  </si>
  <si>
    <t>Web</t>
  </si>
  <si>
    <t>Departamento</t>
  </si>
  <si>
    <t>Distrito</t>
  </si>
  <si>
    <t>Rubro</t>
  </si>
  <si>
    <t>Tipo de producto</t>
  </si>
  <si>
    <t>Origen del lead</t>
  </si>
  <si>
    <t>Monto de la oportunidad</t>
  </si>
  <si>
    <t>No. Cotización</t>
  </si>
  <si>
    <t>Valor Cotización</t>
  </si>
  <si>
    <t>Fecha seguimiento</t>
  </si>
  <si>
    <t>Semana</t>
  </si>
  <si>
    <t>trasporte jasa10</t>
  </si>
  <si>
    <t>Luis Ángel Gutiérrez</t>
  </si>
  <si>
    <t>jorge Alfredo Sandoval Arteaga</t>
  </si>
  <si>
    <t>Gerente/Titular</t>
  </si>
  <si>
    <t>transportes.jasa61@gmail.com</t>
  </si>
  <si>
    <t>Lima</t>
  </si>
  <si>
    <t>Piura</t>
  </si>
  <si>
    <t>Otros: Marina/Ejército/Bomberos</t>
  </si>
  <si>
    <t>Nos comunicamos con el señor pero nos indica que sus trabajadores se han independizdo por lo tanto no requieren nigun sevicio de equipamiento industrial. Se le adjunta video en whatsaap de la empresa.</t>
  </si>
  <si>
    <t>pendiente</t>
  </si>
  <si>
    <t>JMD</t>
  </si>
  <si>
    <t>ALEJO GRADOS PILAR CECILIA</t>
  </si>
  <si>
    <t>Trabajador</t>
  </si>
  <si>
    <t>davidmoreno7353@gmail.com</t>
  </si>
  <si>
    <t>Nos comunicamos con el señor. Pidio que le mandaramos el catalogo por whatsapp.</t>
  </si>
  <si>
    <t>F y R Inversiones Comercio y Servicio</t>
  </si>
  <si>
    <t>Patricia Alarcon</t>
  </si>
  <si>
    <t>administradora</t>
  </si>
  <si>
    <t>patriciaalarcon889@gmail.com</t>
  </si>
  <si>
    <t>Atendio la llamada pero no quiere dar información, niega pedir el servicio antes y no quiere nigun tipo de documentos por ningún medio.</t>
  </si>
  <si>
    <t>Javier Paredes</t>
  </si>
  <si>
    <t>PAREDESMATTA90@GMAIL.COM</t>
  </si>
  <si>
    <t>No atendio la llamada, sin embargo contesto el mensaje dando las gracias.</t>
  </si>
  <si>
    <t>Kemyherlin yolimar sequera martinez</t>
  </si>
  <si>
    <t>.</t>
  </si>
  <si>
    <t>skemyherlinyolimar@gmail.com</t>
  </si>
  <si>
    <t>lima</t>
  </si>
  <si>
    <t>no atendio y no quiso infirmacion</t>
  </si>
  <si>
    <t>Hotel los Incas</t>
  </si>
  <si>
    <t>recepcionista</t>
  </si>
  <si>
    <t>(01) 7090000</t>
  </si>
  <si>
    <t>eventos@losincas.com.pe</t>
  </si>
  <si>
    <t>Hotelería</t>
  </si>
  <si>
    <t>deribaron a Lavaquick/ Ya se hizo contacto y se llamará hoy</t>
  </si>
  <si>
    <t>Yoel Cajo Cosanatan</t>
  </si>
  <si>
    <t>Yoel Cajo cosanatan</t>
  </si>
  <si>
    <t>hotelero</t>
  </si>
  <si>
    <t>jcosanatan@gmail.com</t>
  </si>
  <si>
    <t>Cuzco</t>
  </si>
  <si>
    <t>Esta interesado y necesita el equipo de lavanderia para su hotel. Pidio mas informacion en su telefono</t>
  </si>
  <si>
    <t>Propuesta enviada</t>
  </si>
  <si>
    <t>Liliana Karina Cachan Barzola</t>
  </si>
  <si>
    <t>karilin4369@gmail.com</t>
  </si>
  <si>
    <t>Lavandería Comercial</t>
  </si>
  <si>
    <t>Necesitaba una doméstica solo la usa 1 vez por semana/ No necesita una industrial</t>
  </si>
  <si>
    <t>Ester Rhut</t>
  </si>
  <si>
    <t>Esther ruth</t>
  </si>
  <si>
    <t>ruthvc335@gmail.com</t>
  </si>
  <si>
    <t>Se le envio nuevamente un mensaje por via Whatsaap.</t>
  </si>
  <si>
    <t>Anthony Guevara</t>
  </si>
  <si>
    <t>Anthonygarcia982@gmail.com</t>
  </si>
  <si>
    <t>Se envió un mensaje de seguimiento</t>
  </si>
  <si>
    <t>Leyser</t>
  </si>
  <si>
    <t>SANTOSLEYSERMOSTACEROPLASENCIA@GMAIL.COM</t>
  </si>
  <si>
    <t>Se le envió el catalogo y el mensaje respectivo por whatsapp</t>
  </si>
  <si>
    <t>Andy Bolivar</t>
  </si>
  <si>
    <t>andybolivar011@gmail.com</t>
  </si>
  <si>
    <t>Se llamo tres veces y no contesto</t>
  </si>
  <si>
    <t>Piero Mavila</t>
  </si>
  <si>
    <t>PMMAVILA@OUTLOOK.ES</t>
  </si>
  <si>
    <t>SE LLAMO TRES VECES Y NO CONTESTO</t>
  </si>
  <si>
    <t>Viviana Leyton Venegas</t>
  </si>
  <si>
    <t>charitoleyton27@gmail.com</t>
  </si>
  <si>
    <t>Va a iniciar su empresa de lavanderia, me pidio que le envie el catalogo por via whatsapp</t>
  </si>
  <si>
    <t>Elmer Galindo</t>
  </si>
  <si>
    <t>EGALIBDO222@HOTMAIL.COM</t>
  </si>
  <si>
    <t>Campo</t>
  </si>
  <si>
    <t>Kennet Levy</t>
  </si>
  <si>
    <t>KENNETHLEVYG@GMAIL.COM</t>
  </si>
  <si>
    <t>No esta interesado y no quiere nuestros servicios</t>
  </si>
  <si>
    <t>Lavandría CityPlus</t>
  </si>
  <si>
    <t>Kuwae Higa Dorys Beatriz</t>
  </si>
  <si>
    <t>Gerente</t>
  </si>
  <si>
    <t>lavanderiacityplus.com</t>
  </si>
  <si>
    <t>San borja</t>
  </si>
  <si>
    <t>Lavanderia Comercial</t>
  </si>
  <si>
    <t>Se pidio el catalogo y nos dio su numero</t>
  </si>
  <si>
    <t>Casa de Reposo Señor de los milagros</t>
  </si>
  <si>
    <t>Eduardo Valera</t>
  </si>
  <si>
    <t>Propietario</t>
  </si>
  <si>
    <t>Club Adulto Mayor</t>
  </si>
  <si>
    <t>Se coordino una cita para el viernes. Se intereso por ver las maquinas</t>
  </si>
  <si>
    <t>Lavandería San Antonio</t>
  </si>
  <si>
    <t>Miranda Castillo Helard Juan</t>
  </si>
  <si>
    <t>Se informo que los equipos industriales que usan ya requieren cambios porque estan muy usados y antiguos/Me dio un numero de la tienda central/ Tiene una propia planta.</t>
  </si>
  <si>
    <t>Aquarius Lavandería</t>
  </si>
  <si>
    <t>Moreno Carrascal Javier Enrique</t>
  </si>
  <si>
    <t>aquariuslaundryy@gmail.com</t>
  </si>
  <si>
    <t>Se dio el numero de la administradora, madre del gerente de la lavandería. (Necesitan repuestos o insumos)</t>
  </si>
  <si>
    <t>Lavandería KLIX</t>
  </si>
  <si>
    <t>Mazuelos Monges Carlos Enrique/Selem Ramirez Jessica del Rocio</t>
  </si>
  <si>
    <t>Administración</t>
  </si>
  <si>
    <t>contacto@klix.pe</t>
  </si>
  <si>
    <t>Se dio el numero de administración para hablar con el cliente, no se montro interes</t>
  </si>
  <si>
    <t>Súper Rápido</t>
  </si>
  <si>
    <t>Pareja Mendoza Sonia</t>
  </si>
  <si>
    <t>941 330 991</t>
  </si>
  <si>
    <t>mariojca17@gmail.com</t>
  </si>
  <si>
    <t>Nos pidieron un mensaje para ver mas información de la empresa</t>
  </si>
  <si>
    <t>La Lavandería</t>
  </si>
  <si>
    <t>Reich Pinedo Jesus Imelda</t>
  </si>
  <si>
    <t>alavanderia2021.com@gmail.com</t>
  </si>
  <si>
    <t>La tienda se encontró cerrada</t>
  </si>
  <si>
    <t>Lavandería Aton</t>
  </si>
  <si>
    <t>Mesias Salazar de Chea Betzabee Dolores</t>
  </si>
  <si>
    <t>lavanderia.aton@gmail.com</t>
  </si>
  <si>
    <t>Nos pidió información y el dia de mañana, pasar el catalogo</t>
  </si>
  <si>
    <t>Lavanderia Germana</t>
  </si>
  <si>
    <t>Acosta Zarez María Fausts</t>
  </si>
  <si>
    <t>No mostro interes el trabajador, pero dio un numero de consulta</t>
  </si>
  <si>
    <t>Clean &amp; Clean</t>
  </si>
  <si>
    <t>Vega Costa Juan Manuel</t>
  </si>
  <si>
    <t>2253459/947 296 023</t>
  </si>
  <si>
    <t>clean.surco@yahoo.com</t>
  </si>
  <si>
    <t>Me dió el mismo numero que la pagina de facebook, tiene vaeias sucursales</t>
  </si>
  <si>
    <t>Lavarred</t>
  </si>
  <si>
    <t>Lavado Arroyo Elmer Erick</t>
  </si>
  <si>
    <t>lavarred@gmail.com</t>
  </si>
  <si>
    <t>No se presentan trabajadores</t>
  </si>
  <si>
    <t>Super Clean/ Surquillo</t>
  </si>
  <si>
    <t>IPARRAGUIRRE HONORES YOSELIN VANESA</t>
  </si>
  <si>
    <t>joseluisneyra@outlook.com</t>
  </si>
  <si>
    <t>surquillo</t>
  </si>
  <si>
    <t>La gerente Sara me dió su numero, ahi se mandrá el mensaje correspondiente/ Esta interesada a futuro en el servicio de autolavado, pregunto si temdriamos esa información</t>
  </si>
  <si>
    <t>Lavatodo</t>
  </si>
  <si>
    <t>PONCE DE LEON MELENDEZ MOISES DAVID</t>
  </si>
  <si>
    <t>12721911/945 773 289</t>
  </si>
  <si>
    <t>lavatodolavanderias@gmail.com</t>
  </si>
  <si>
    <t>Me pidieron el costo de la secadora industrial/ Le vamos a solicitar la brindar la información/ No quiso que entre al establecimiento</t>
  </si>
  <si>
    <t>Punto de Lavado</t>
  </si>
  <si>
    <t>Thalia Verano</t>
  </si>
  <si>
    <t>Se me entrego el numero de la Gerente Thalia Verano</t>
  </si>
  <si>
    <t>LAVANDERIA GYNEXPRESS</t>
  </si>
  <si>
    <t>Manrique Novoa Gonzalo Alberto</t>
  </si>
  <si>
    <t>902 558 156</t>
  </si>
  <si>
    <t>servicios.lavagyn@gmail.com</t>
  </si>
  <si>
    <t>Surquillo</t>
  </si>
  <si>
    <t>Pidieron el catalogo, no quisieron dar el numero ni el correo</t>
  </si>
  <si>
    <t>ECO CLEAN/LANNACLEAN</t>
  </si>
  <si>
    <t>RODRIGUEZ TORRES JORGE ERASMO</t>
  </si>
  <si>
    <t>informes@ecocleangestion.com.pe</t>
  </si>
  <si>
    <t>El gerente solicito insumos, la cotizacion esta pendiente/ Tiene equipos primus. Se le ofreció equipos de lavadoras industriales pero no se intereso.</t>
  </si>
  <si>
    <t>LAVADORITA</t>
  </si>
  <si>
    <t>PONCE SANCHEZ ZAIDA NELLY</t>
  </si>
  <si>
    <t>955 037 996</t>
  </si>
  <si>
    <t>lavadorita.peru@gmail.com</t>
  </si>
  <si>
    <t>La gerente se llama Zaira/ Cuentan con equipo industrial nuevo</t>
  </si>
  <si>
    <t>LAVAPRO</t>
  </si>
  <si>
    <t>MAYORGA ZARATE JUAN MAURICIO</t>
  </si>
  <si>
    <t>943 335 136</t>
  </si>
  <si>
    <t>Se interesaron en la mesa de planchado</t>
  </si>
  <si>
    <t>Lavandería principal</t>
  </si>
  <si>
    <t>CIEZA SALDIVAR MAGALI DEL ROCIO</t>
  </si>
  <si>
    <t>Personal</t>
  </si>
  <si>
    <t>Se les dejo solo el catalogo presencial en la Lavanderia</t>
  </si>
  <si>
    <t>Lavanderia Ecolaund</t>
  </si>
  <si>
    <t>BRAGA ANGULO PAULO CESAR</t>
  </si>
  <si>
    <t>ecolaund.lavanderias@gmail.com</t>
  </si>
  <si>
    <t>Me pidieron informacion vía whatsapp</t>
  </si>
  <si>
    <t>LAVANDERIA RIVASPLATA</t>
  </si>
  <si>
    <t>Edilberto Kau Rivasplata</t>
  </si>
  <si>
    <t>lavanderiarivasplata@gmail.com</t>
  </si>
  <si>
    <t xml:space="preserve">
10419329032</t>
  </si>
  <si>
    <t>Comunicarme con el numero y mandar el catalogo via whatsapp</t>
  </si>
  <si>
    <t>LIMA</t>
  </si>
  <si>
    <t>Se hizo llamada con el señor Ozuna, pide y se visiona con tres lavadoras, tres secadoras, aun no tiene nada, pero se dedida al rubro de limpieza y lavado, piensa lavar frazadas ropa y colchas, 60 y 80kilos de ropa por día</t>
  </si>
  <si>
    <t>mailto:jcosanatan@gmail.com</t>
  </si>
  <si>
    <t>Se converso con el señor Yoel, por medio de una llamada, hay mas información, requiere una lavadora semi industrial LG de 17 kilos poorque tiene una lg casera de 17 kilos que se para malogrando, en estos momentos estamos quedando para que me diga una fecha tenttiva. Pasado mañana vuelvo a escribirle.</t>
  </si>
  <si>
    <t>Se le entrego el catalogo y mensaje por whatsapp</t>
  </si>
  <si>
    <t>Contactado</t>
  </si>
  <si>
    <t>Agendamos una cita en llamada para las 7pm.</t>
  </si>
  <si>
    <t>Se le dejo un mensaje explicando el motivo de la llamada la fecha anterior, y se le pregunto si esta interesado.</t>
  </si>
  <si>
    <t>Se comprobó que maneja tres lavadoras samnsung</t>
  </si>
  <si>
    <t>Lavanderia San Antonio</t>
  </si>
  <si>
    <t>Siguiendo con lo conversado en la visita se hizo un seguimiento anotando las debilidades de la lavandería, que los equipos ya estan usados</t>
  </si>
  <si>
    <t>Se hizo su respectivo seguimiento, incitando una visita a la planta</t>
  </si>
  <si>
    <t>Se hizo seguimiento y se madó el catalogo virtual</t>
  </si>
  <si>
    <t>Se volvió a enviar el mensaje/ Parece que es un numero equivocado recibido de esa visita</t>
  </si>
  <si>
    <t>No se encontró el numero de dicha Lavandería</t>
  </si>
  <si>
    <t>Lavanderia Aton</t>
  </si>
  <si>
    <t>Se le adjunto el catálogo y se hizo el respectivo seguimiento</t>
  </si>
  <si>
    <t>Lavandería Germana</t>
  </si>
  <si>
    <t>Se hizo seguimiento entregando el catalogo, además se dejo en claro una visita para la planta</t>
  </si>
  <si>
    <t>Adjunte el catalogo junto con los datos necesaios para una cotización</t>
  </si>
  <si>
    <t>Se mando el catalogo y se brindo informacion acerca de tecnologia como metodo de pago/ Lavadoras de autoservicio.</t>
  </si>
  <si>
    <t>Se Hará llamada preguntando si sigue interesado en la cotizacion de la lavanderia industrial/ De igual manera se brindó el catalogo</t>
  </si>
  <si>
    <t>Se hizo el seguimiento a la gerente/ Se le brindó el catalogo</t>
  </si>
  <si>
    <t>Se mando el catalogo para mostrar interes o si aún quieren comprar mas equipos industriales</t>
  </si>
  <si>
    <t>Se hizo seguimiento y se mando el catalogo/ Se programara una llamada</t>
  </si>
  <si>
    <t>Catalogo adjuntado</t>
  </si>
  <si>
    <t>Lavo Express</t>
  </si>
  <si>
    <t>https://www.facebook.com/nomebusquesmeencontraste/</t>
  </si>
  <si>
    <t>Surco</t>
  </si>
  <si>
    <t>Me atendio la dueña y me dejo su numero personal, pregunté su tipo de lavadora, ella pregunto por el metodo de pago y dijo que despues se comunica con nosotros.</t>
  </si>
  <si>
    <t>Veliz Express</t>
  </si>
  <si>
    <t>Solo dieron volantes</t>
  </si>
  <si>
    <t>Lava full</t>
  </si>
  <si>
    <t>AYVAR VALLEJO ELIANA NISKAR</t>
  </si>
  <si>
    <t>Elizabethroblesprado842@gmail.com</t>
  </si>
  <si>
    <t>Converse con el dueño, vio el catalogo, sus lavadoras no se veían</t>
  </si>
  <si>
    <t>LavaLUX</t>
  </si>
  <si>
    <t>RODRIGUEZ MADERA JOSE LUIS</t>
  </si>
  <si>
    <t>933 362 582</t>
  </si>
  <si>
    <t>instagram.com/lavanderialavalux_</t>
  </si>
  <si>
    <t>Si esta intereada en comprar a futuro una nueva lavadora industrial, abrirá nuevo local, no quiso dar datos pero cuando tenga espacio nos llamará</t>
  </si>
  <si>
    <t>Dry Cleanning</t>
  </si>
  <si>
    <t>BOULOS DE MUFARECH TERESA</t>
  </si>
  <si>
    <t>drycleanersperu@gmail.com</t>
  </si>
  <si>
    <t>Me dieron el numero de la gerente, sin embargo no contesto, no quisieron dar el reuc, esta de baja de oficio.</t>
  </si>
  <si>
    <t>Punto Blanco</t>
  </si>
  <si>
    <t>DIAZ HORNA JHEN BLADIMIR</t>
  </si>
  <si>
    <t>956 723 114</t>
  </si>
  <si>
    <t>atencionalcliente@puntoblanco.pe</t>
  </si>
  <si>
    <t>lavanderia Comercial</t>
  </si>
  <si>
    <t>Cuentan con su propia planta/ me dieron este correo Pbchacarilla@gmail.com</t>
  </si>
  <si>
    <t>Lavandería Style &amp; Clean</t>
  </si>
  <si>
    <t>MOSSONI FESTA NICOLA</t>
  </si>
  <si>
    <t>style.clean101@gmail.com</t>
  </si>
  <si>
    <t>Cuentan con Lavado al seco y Lavadoras industriales.</t>
  </si>
  <si>
    <t>Lavanderia Chacarilla</t>
  </si>
  <si>
    <t>TOKUMOTO GUIBU MIGUEL</t>
  </si>
  <si>
    <t>998 169 085</t>
  </si>
  <si>
    <t>Se dejo el catalogo al personal para que lo vea el gerente</t>
  </si>
  <si>
    <t>LavaTec</t>
  </si>
  <si>
    <t>AYVAR CEVALLOS DANTE ELIAS</t>
  </si>
  <si>
    <t>info@lavatec.com</t>
  </si>
  <si>
    <t>Olympia Laundry</t>
  </si>
  <si>
    <t>VASQUEZ VERA DE GIBU IRIS MARISOL</t>
  </si>
  <si>
    <t>https://www.instagram.com/olimpialaundry/?hl=es</t>
  </si>
  <si>
    <t>Su ruc esta en baja de Oficio.</t>
  </si>
  <si>
    <t>CARRION DEL SOLAR ANDRES FELIPE/DRAGO MATURO MIGUEL MARIO</t>
  </si>
  <si>
    <t>981 136 452</t>
  </si>
  <si>
    <t>delivery@lavaquick.com</t>
  </si>
  <si>
    <t>Teléfono</t>
  </si>
  <si>
    <t>Hennesy</t>
  </si>
  <si>
    <t>Li Chu Miguel Angel</t>
  </si>
  <si>
    <t>(01) 2243563</t>
  </si>
  <si>
    <t xml:space="preserve">20380807255
</t>
  </si>
  <si>
    <t>San Borja</t>
  </si>
  <si>
    <t>No quiso brindar información</t>
  </si>
  <si>
    <t>Lavanderia Bellas Artes</t>
  </si>
  <si>
    <t>956 677 820</t>
  </si>
  <si>
    <t>Me dió información de la planta Sagita. numero 993 515137</t>
  </si>
  <si>
    <t xml:space="preserve">Lavanderia J Y S </t>
  </si>
  <si>
    <t>Pomasoncco Quispe Kyle Yasmin</t>
  </si>
  <si>
    <t>lavanderiajys.iqt@gmail.com</t>
  </si>
  <si>
    <t xml:space="preserve">
20612603171</t>
  </si>
  <si>
    <t>Canada</t>
  </si>
  <si>
    <t>Tienen lavadoras no industriales, se les explico el funcionamiento de estas pero no estan interesados ya que sus lavadoras son nuevas</t>
  </si>
  <si>
    <t>Hostal HS AR</t>
  </si>
  <si>
    <t>Jorge Rosales</t>
  </si>
  <si>
    <t xml:space="preserve">No encontré </t>
  </si>
  <si>
    <t>Tienen garantia con sus lavadoras, cambian su repuesto cada 3 años</t>
  </si>
  <si>
    <t>Eco Lara</t>
  </si>
  <si>
    <t>Tienen Lavadoras Samsung no industriales, 1 se malogró y está interesada. Le dará el numero a su jefa</t>
  </si>
  <si>
    <t>Contactado interesado</t>
  </si>
  <si>
    <t xml:space="preserve">America Clean </t>
  </si>
  <si>
    <t xml:space="preserve">	Crisostomo Pañera Yydalia Nelita</t>
  </si>
  <si>
    <t>........................</t>
  </si>
  <si>
    <t>No quiso dar datos, tienen lavadoras comunes, de dejo el numero</t>
  </si>
  <si>
    <t>Lavalux</t>
  </si>
  <si>
    <t>Rodriguez Madera José Luis</t>
  </si>
  <si>
    <t xml:space="preserve">
instagram.com/lavanderialavalux_</t>
  </si>
  <si>
    <t>No necesitan Lavadoras industriales, para el proximo año si, piensan expadirse</t>
  </si>
  <si>
    <t>Hotel Palomar</t>
  </si>
  <si>
    <t xml:space="preserve">	Canales Motta Lizardo</t>
  </si>
  <si>
    <t>929 751 557</t>
  </si>
  <si>
    <t>No cuentan con lavanderia industrial, su secadora común se malogró, la empleada es reacia no dejo numero</t>
  </si>
  <si>
    <t>La Videna Hospedaje</t>
  </si>
  <si>
    <t>Echegaray Cuba de Gamarra Elizabeth</t>
  </si>
  <si>
    <t>(01) 3460119</t>
  </si>
  <si>
    <t>hospedajelavidena@hotmail.com</t>
  </si>
  <si>
    <t>Proveedor que lava sus ropas (Rama Textil servicios sac) La direccion de la planta es Av Circunvalación numero 2643 interior Ps 03</t>
  </si>
  <si>
    <t>Hostal Blue Sky</t>
  </si>
  <si>
    <t>LI CHU ALEX HONORIO</t>
  </si>
  <si>
    <t>(01) 3081668/936828461</t>
  </si>
  <si>
    <t>Aviación</t>
  </si>
  <si>
    <t>No estuvieron interesados en lavadoras industriales y tienen su propia lavanderia, no me quiso pasar el dato</t>
  </si>
  <si>
    <t>Hotel Nova</t>
  </si>
  <si>
    <t xml:space="preserve">	Auris Marca Teodorico</t>
  </si>
  <si>
    <t xml:space="preserve"> reservas@hotelnova.com/ pamimasac@gmail.com</t>
  </si>
  <si>
    <t>Cuentan con muchas lavadoras dentro. Son las normales</t>
  </si>
  <si>
    <t>Hotel El Prado</t>
  </si>
  <si>
    <t xml:space="preserve">	Medina Miranda Daniel Franklin</t>
  </si>
  <si>
    <t>En el local se lava todo/ Solo pude rescatar esa información</t>
  </si>
  <si>
    <t>Hostal Dubai Ynn</t>
  </si>
  <si>
    <t xml:space="preserve">	Cconcha Leon Sixto</t>
  </si>
  <si>
    <t>1 2231925</t>
  </si>
  <si>
    <t>Aviacion</t>
  </si>
  <si>
    <t>Se lava en el hotel, se compro las lavadoras recientemente, la administradora no esta interesada por el momento</t>
  </si>
  <si>
    <t>Lavanderia del Norte</t>
  </si>
  <si>
    <t>......</t>
  </si>
  <si>
    <t>................................</t>
  </si>
  <si>
    <t>..............</t>
  </si>
  <si>
    <t>Con disponibilidad para ver el catalogo virtual, menejan muchas lavadoras</t>
  </si>
  <si>
    <t>Mr. Cleaning</t>
  </si>
  <si>
    <t>Boullosa Chavez Kevin</t>
  </si>
  <si>
    <t>942432101/957347260</t>
  </si>
  <si>
    <t>Dicen que ya trabajan con nosotros/ Tienen la LG  titan</t>
  </si>
  <si>
    <t>Lavanderia Lavaphilp</t>
  </si>
  <si>
    <t>Empleado</t>
  </si>
  <si>
    <t>.........</t>
  </si>
  <si>
    <t>940 294 802</t>
  </si>
  <si>
    <t xml:space="preserve">
instagram.com/lavaphilp</t>
  </si>
  <si>
    <t>Tienen lavado automatico, con lavadoras industriales</t>
  </si>
  <si>
    <t>Gold Source Hotel</t>
  </si>
  <si>
    <t>Xu Wanyi/Chi Hen Yuen/Yang Haizhao</t>
  </si>
  <si>
    <t>Gerentes</t>
  </si>
  <si>
    <t>Cuentan con lavadoras y secadoras industriales primus</t>
  </si>
  <si>
    <t>Hotel Asiatika</t>
  </si>
  <si>
    <t>Florez Loo de Li Magaly Vanessa</t>
  </si>
  <si>
    <t>(01) 7131721</t>
  </si>
  <si>
    <t>hotelasiatika.com</t>
  </si>
  <si>
    <t>https://www.facebook.com/p/Asiatika-Hotel-100057112253649/?locale=es_LA</t>
  </si>
  <si>
    <t>Ya le vinieron a ofrecer de otros sitios. Recalque la importancia de la empresa</t>
  </si>
  <si>
    <t>Hostal Blois</t>
  </si>
  <si>
    <t xml:space="preserve">	Acevedo Portillo Gruyer Ubaldo</t>
  </si>
  <si>
    <t>01 2720045</t>
  </si>
  <si>
    <t>hostal.blois@gmail.com</t>
  </si>
  <si>
    <t>El encargado me dijo que no puede brindarme esa información que usualmente el jefe esta de 12 a 1. Lavan todo dentro del hotel</t>
  </si>
  <si>
    <t>Espinoza Chavez Solange</t>
  </si>
  <si>
    <t>Dueña de restaurante</t>
  </si>
  <si>
    <t>espinozacsolange30@gmail.com</t>
  </si>
  <si>
    <t>https://www.linkedin.com/in/solange-espinoza-chavez-192426356/?originalSubdomain=pe</t>
  </si>
  <si>
    <t>Callao</t>
  </si>
  <si>
    <t>Restaurante/Café</t>
  </si>
  <si>
    <t xml:space="preserve">Se contacto con la señorita pero no contesto las tres veces, de igual manera se le envió el catalogo con la presentación de la empresa por via whatssapp. Ademas en su linkedin sale como dueña de un chifa "El olivar" que esta ubicado en Lima Callao. Se intereso por una Lavadora Industrial Rigida Centrifuga </t>
  </si>
  <si>
    <t>Pendiente</t>
  </si>
  <si>
    <t>Armando Alexis Diego</t>
  </si>
  <si>
    <t>Veterinario/Dueño</t>
  </si>
  <si>
    <t>adaas_19@hotmail.com</t>
  </si>
  <si>
    <t>https://www.linkedin.com/in/alexis-diego-armando-araujo-sanchez-21a606125/?originalSubdomain=pe</t>
  </si>
  <si>
    <t>Chiclayo</t>
  </si>
  <si>
    <t>Salud</t>
  </si>
  <si>
    <t>Se contacto con el señor sin exito alguno ya que su celular estaba apagado las tres veces que se le llamó, de igual manera se le adjuntó el catalogo virtual junto con el speech de la presentación de effameinsa, por el innteres del señor de contactarnos por la pagina web. Su rubro es la salud (Veterinario) Mostró interes en la Giant C MAX- Lavadora y secadora semi industrial. Esta ubicado en Chiclayo.</t>
  </si>
  <si>
    <t>Sagita sociedad Anonima Cerrada - Sagita S.A.C.</t>
  </si>
  <si>
    <t>Hubner Salas Arturo Moises</t>
  </si>
  <si>
    <t>info@sagitasa.com.pe</t>
  </si>
  <si>
    <t>https://sagitasa.com.pe/</t>
  </si>
  <si>
    <t>Calllao</t>
  </si>
  <si>
    <t>Lavandería Industrial</t>
  </si>
  <si>
    <t>Se adquiriò la informaciòn de la planta por la lavanderìa bellas artes ubicada en san borja cruzando la javier prado . Es una cadena de lavanderia que tiene mas de 16 sucursales en todo el Perù, tiene mas de 25 años en el ruubro y hace todo tipo de lavados. Se contacto por telefono para poder negociar y ofrecer maquinarias industriales para beneficio mutuo, dando a conocer que tenemos una planta, ofreciendo una videollamada sin compromiso. Se enviarà mensaje de speech por whatssapp, se adjuntarà el catalogo virtual.</t>
  </si>
  <si>
    <t>Dueño</t>
  </si>
  <si>
    <t>970 175 949</t>
  </si>
  <si>
    <t>Se llamó al señor Yoel para poder hacerle seguimiento y poder cerrar venta, el escogió la LG Titan de capacidad de 17 kilos. Negociò un metodo de pago por link pero no contamos, le indicamos que es con transferencia o tarjeta con POS. Le pedimos un adelanto de 500 dolares para ir separando el equipo, el dijo que sí y confirmaria a que hora  exacta despues de  almuerzo. Ademas, se programo una videollamada a las 2 y 30, despues de almuerzo.</t>
  </si>
  <si>
    <t>Potencial cierre</t>
  </si>
  <si>
    <t>Hicimos seguimiento al señor Ozuna, sin embargo el ya encontro otros precios mas económicos.</t>
  </si>
  <si>
    <t>Cerrado perdido</t>
  </si>
  <si>
    <t>Se llamo a Eco Lara para poder  comunicarme mas directamente con su gerente, dejo el correo electronico para una comunicaciòn mas directa. se hizo seguimiento.</t>
  </si>
  <si>
    <t>Se hizo una videollamada con. el señor Yoel en la planta de Effameinsa, se le mostro todas las maquinas industriales y la lavadora Titan max LG 17 kg. Quedamos para un metodo de pago con tarjeta pos o transferencia, además</t>
  </si>
  <si>
    <t>Se llamo para  hacer el seguimiento, sin embargo la encargada de turno se mostro cortante y reacia, pidio que le hablaramos por whatssapp  toda la información.  Se dejo mensaje del catalogo por whatssap</t>
  </si>
  <si>
    <t>Lavaluc</t>
  </si>
  <si>
    <t>No contestaron las tres llamadas, se adjuntara el catalogo por Whatssapp</t>
  </si>
  <si>
    <t>Se llamo tres ve ces y no contestó, se adjuntará el mensaje y catalogo por whtasapp</t>
  </si>
  <si>
    <t xml:space="preserve">Se volvió a tener una conversación con la lavandería,  pregunté acerca de la planta  y me dijeron que no es aparte, ellos tienen su propia planta. Además me informaron que ya le pasaron el catalogo a su gerente, y el verá necesario llamar. </t>
  </si>
  <si>
    <t>telefono</t>
  </si>
  <si>
    <t>Se llamo tres veces y no contesto, de igual manera se le hará seguimiento</t>
  </si>
  <si>
    <t xml:space="preserve">Se llamo tres veces y no contestaron, de igual manera se le volverá a hacer seguimiento. </t>
  </si>
  <si>
    <t>Se hizo su respectivo seguimiento adjuntando el catalogo virtual via Whatssapp, me cuenta que apenas se comunique con el cliente nos dará información de su maquinas, se pidió tambien una visita a la planta, ellos estan de acuerdo en que por medio de una visita de vuelta, pueda ver las maquinas en el hotel.</t>
  </si>
  <si>
    <t xml:space="preserve">	Ayvar Cevallos Dante Elias </t>
  </si>
  <si>
    <t>(01) 4367873</t>
  </si>
  <si>
    <t>https://www.instagram.com/lavatec.lavanderia</t>
  </si>
  <si>
    <t>Monterrico</t>
  </si>
  <si>
    <t>Ore Martinez Epifanio Agustin</t>
  </si>
  <si>
    <t>ventas@lavanderiaaqua.com</t>
  </si>
  <si>
    <t>instagram.com/aquadrycleaners</t>
  </si>
  <si>
    <t>Lavandería  Comercial</t>
  </si>
  <si>
    <t>Tohara Tamayoshi Luis</t>
  </si>
  <si>
    <t>967 782 837</t>
  </si>
  <si>
    <t>lavanderiakikue@hotmail.com</t>
  </si>
  <si>
    <t>Lavanderia  Comercial</t>
  </si>
  <si>
    <t xml:space="preserve">Duarte Hernandez Andrea Marcela </t>
  </si>
  <si>
    <t>Monterrici</t>
  </si>
  <si>
    <t>986 848 865</t>
  </si>
  <si>
    <t>lavanderiaespumasae@gmail.com</t>
  </si>
  <si>
    <t>Vergara Culqui Salomon</t>
  </si>
  <si>
    <t>998 570 635</t>
  </si>
  <si>
    <t>reservas@monterricohotelperu.com</t>
  </si>
  <si>
    <t>(01) 2110211</t>
  </si>
  <si>
    <t>https://www.lapositiva.com.pe/wps/portal/corporativo/home</t>
  </si>
  <si>
    <t>Gonzalez Castillo Maria Elsa</t>
  </si>
  <si>
    <t xml:space="preserve">
991 547 457</t>
  </si>
  <si>
    <t>Me dijeron que no necesitan ya que los clientes no son muchos y pueden manejarse con equipamiento no industrial. Dicen conocer sobre Effameinsa pero no nos pidieron ni dieron datos.</t>
  </si>
  <si>
    <t>Luque Caballero Luis Fernando</t>
  </si>
  <si>
    <t>https://www.instagram.com/allclean.lavanderia/?hl=es-la</t>
  </si>
  <si>
    <t>Equipo</t>
  </si>
  <si>
    <t>Repuestos</t>
  </si>
  <si>
    <t>Mantenimiento</t>
  </si>
  <si>
    <t>Whatsapp</t>
  </si>
  <si>
    <t>Otro</t>
  </si>
  <si>
    <t>Cerrado ganado</t>
  </si>
  <si>
    <t>Minería</t>
  </si>
  <si>
    <t>Textil</t>
  </si>
  <si>
    <t>Agroindustria</t>
  </si>
  <si>
    <t>Multihousing</t>
  </si>
  <si>
    <t>Club deportivo</t>
  </si>
  <si>
    <t>Club entretenimiento</t>
  </si>
  <si>
    <t>El señor nos dijo que ya trabajaba con maquinas industriales pesadas, por ejemplo tiene la Unimac y la Speed Queen, nos indica que lo que esta buscando ahora son lavadoras mas pequeñas y que su presupuesto es lo que vale una speed Queen</t>
  </si>
  <si>
    <t>Jenny V.</t>
  </si>
  <si>
    <t>Viene a lima el 18 de noviembre, visitará la planta. Piensa dar el adelanto el día de hoy</t>
  </si>
  <si>
    <t>Razon Social</t>
  </si>
  <si>
    <t>Producto</t>
  </si>
  <si>
    <t>Modelo</t>
  </si>
  <si>
    <t>KG</t>
  </si>
  <si>
    <t>Marca</t>
  </si>
  <si>
    <t>Sub Total</t>
  </si>
  <si>
    <t>Igv</t>
  </si>
  <si>
    <t>Total</t>
  </si>
  <si>
    <t>CIERRE DE VENTA</t>
  </si>
  <si>
    <t>Mary Saldaña</t>
  </si>
  <si>
    <t>Hablamos con la dueña, tiene lavadoras domésticas de 20 kilos, ingresan a las justas una colcha King, le comenté que en nuestras lavadoras de 17 Kg son las ideales. Quedamos en enviarle cotización</t>
  </si>
  <si>
    <t>Código</t>
  </si>
  <si>
    <t>Lavaquick Express SA</t>
  </si>
  <si>
    <t>Es cliente del Hotel los incas, traen máquinas usadas de EEUU</t>
  </si>
  <si>
    <t>Novio de la dueña</t>
  </si>
  <si>
    <t>Asesor</t>
  </si>
  <si>
    <t>Quiñones Alvarez Angelo</t>
  </si>
  <si>
    <t>Centro de Lavado</t>
  </si>
  <si>
    <t>Giant C Max</t>
  </si>
  <si>
    <t>10 a 13 KG</t>
  </si>
  <si>
    <t>LG</t>
  </si>
  <si>
    <t>Seventh Heaven SCRL</t>
  </si>
  <si>
    <t>Rodillo de planchado industrial automatico</t>
  </si>
  <si>
    <t>G14.25</t>
  </si>
  <si>
    <t>1450 x 270 mm</t>
  </si>
  <si>
    <t>GMP</t>
  </si>
  <si>
    <t>Corporacion Munakuyki SAC</t>
  </si>
  <si>
    <t>Lavadora centrifuga semi industrial</t>
  </si>
  <si>
    <t>Titan Max</t>
  </si>
  <si>
    <t>17 KG</t>
  </si>
  <si>
    <t>Costos</t>
  </si>
  <si>
    <t>I22471</t>
  </si>
  <si>
    <t>I23000</t>
  </si>
  <si>
    <t>I25103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</si>
</sst>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0"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color theme="1"/>
      <name val="Arial"/>
      <family val="2"/>
    </font>
    <font>
      <sz val="11"/>
      <color rgb="FF434343"/>
      <name val="Arial"/>
      <family val="2"/>
    </font>
    <font>
      <sz val="11"/>
      <color rgb="FF434343"/>
      <name val="Roboto"/>
    </font>
    <font>
      <sz val="9"/>
      <color theme="1"/>
      <name val="Arial"/>
      <family val="2"/>
    </font>
    <font>
      <b/>
      <sz val="12"/>
      <color theme="4" tint="-0.249977111117893"/>
      <name val="Aptos Narrow"/>
      <family val="2"/>
      <scheme val="minor"/>
    </font>
    <font>
      <sz val="11"/>
      <color theme="4" tint="-0.249977111117893"/>
      <name val="Aptos Narrow"/>
      <family val="2"/>
      <scheme val="minor"/>
    </font>
    <font>
      <sz val="11"/>
      <color theme="1"/>
      <name val="Aptos Narrow"/>
      <family val="2"/>
      <scheme val="minor"/>
    </font>
  </fonts>
  <fills count="8">
    <fill>
      <patternFill patternType="none"/>
    </fill>
    <fill>
      <patternFill patternType="gray125"/>
    </fill>
    <fill>
      <patternFill patternType="solid">
        <fgColor theme="6" tint="-0.249977111117893"/>
        <bgColor indexed="64"/>
      </patternFill>
    </fill>
    <fill>
      <patternFill patternType="solid">
        <fgColor theme="8" tint="0.79998168889431442"/>
        <bgColor indexed="64"/>
      </patternFill>
    </fill>
    <fill>
      <patternFill patternType="solid">
        <fgColor rgb="FFFFFFFF"/>
        <bgColor indexed="64"/>
      </patternFill>
    </fill>
    <fill>
      <patternFill patternType="solid">
        <fgColor rgb="FFF6F8F9"/>
        <bgColor indexed="64"/>
      </patternFill>
    </fill>
    <fill>
      <patternFill patternType="solid">
        <fgColor theme="6" tint="0.79998168889431442"/>
        <bgColor theme="6" tint="0.79998168889431442"/>
      </patternFill>
    </fill>
    <fill>
      <patternFill patternType="solid">
        <fgColor rgb="FFCCFFFF"/>
        <bgColor indexed="64"/>
      </patternFill>
    </fill>
  </fills>
  <borders count="10">
    <border>
      <left/>
      <right/>
      <top/>
      <bottom/>
      <diagonal/>
    </border>
    <border>
      <left style="thin">
        <color indexed="64"/>
      </left>
      <right style="thin">
        <color indexed="64"/>
      </right>
      <top/>
      <bottom style="thin">
        <color indexed="64"/>
      </bottom>
      <diagonal/>
    </border>
    <border>
      <left style="medium">
        <color rgb="FFCCCCCC"/>
      </left>
      <right style="medium">
        <color rgb="FFFFFFFF"/>
      </right>
      <top style="medium">
        <color rgb="FF284E3F"/>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right/>
      <top style="thin">
        <color theme="6" tint="0.39997558519241921"/>
      </top>
      <bottom style="thin">
        <color theme="6" tint="0.39997558519241921"/>
      </bottom>
      <diagonal/>
    </border>
    <border>
      <left/>
      <right style="medium">
        <color rgb="FFFFFFFF"/>
      </right>
      <top style="medium">
        <color rgb="FF284E3F"/>
      </top>
      <bottom style="medium">
        <color rgb="FFF6F8F9"/>
      </bottom>
      <diagonal/>
    </border>
    <border>
      <left/>
      <right style="medium">
        <color rgb="FFF6F8F9"/>
      </right>
      <top style="medium">
        <color rgb="FFCCCCCC"/>
      </top>
      <bottom style="medium">
        <color rgb="FFF6F8F9"/>
      </bottom>
      <diagonal/>
    </border>
    <border>
      <left/>
      <right style="medium">
        <color rgb="FFFFFFFF"/>
      </right>
      <top style="medium">
        <color rgb="FFCCCCCC"/>
      </top>
      <bottom style="medium">
        <color rgb="FFF6F8F9"/>
      </bottom>
      <diagonal/>
    </border>
    <border>
      <left style="thin">
        <color indexed="64"/>
      </left>
      <right style="thin">
        <color indexed="64"/>
      </right>
      <top/>
      <bottom/>
      <diagonal/>
    </border>
  </borders>
  <cellStyleXfs count="4">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43" fontId="9" fillId="0" borderId="0" applyFont="0" applyFill="0" applyBorder="0" applyAlignment="0" applyProtection="0"/>
  </cellStyleXfs>
  <cellXfs count="54">
    <xf numFmtId="0" fontId="0" fillId="0" borderId="0" xfId="0"/>
    <xf numFmtId="0" fontId="2" fillId="0" borderId="1" xfId="0" applyFont="1" applyBorder="1"/>
    <xf numFmtId="0" fontId="2" fillId="0" borderId="1" xfId="0" applyFont="1" applyBorder="1" applyAlignment="1">
      <alignment wrapText="1"/>
    </xf>
    <xf numFmtId="0" fontId="0" fillId="0" borderId="0" xfId="0" pivotButton="1"/>
    <xf numFmtId="0" fontId="2" fillId="2" borderId="1" xfId="0" applyFont="1" applyFill="1" applyBorder="1"/>
    <xf numFmtId="0" fontId="2" fillId="0" borderId="0" xfId="0" applyFont="1"/>
    <xf numFmtId="0" fontId="0" fillId="3" borderId="0" xfId="0" applyFill="1"/>
    <xf numFmtId="0" fontId="0" fillId="4" borderId="2" xfId="0" applyFill="1" applyBorder="1" applyAlignment="1">
      <alignment vertical="center" wrapText="1"/>
    </xf>
    <xf numFmtId="0" fontId="5" fillId="4" borderId="2" xfId="0" applyFont="1" applyFill="1" applyBorder="1" applyAlignment="1">
      <alignment vertical="center" wrapText="1"/>
    </xf>
    <xf numFmtId="0" fontId="4" fillId="4" borderId="2" xfId="0" applyFont="1" applyFill="1" applyBorder="1" applyAlignment="1">
      <alignment horizontal="right" vertical="center" wrapText="1"/>
    </xf>
    <xf numFmtId="0" fontId="1" fillId="4" borderId="2" xfId="1" applyFill="1" applyBorder="1" applyAlignment="1">
      <alignment vertical="center" wrapText="1"/>
    </xf>
    <xf numFmtId="0" fontId="4" fillId="4" borderId="2" xfId="0" applyFont="1" applyFill="1" applyBorder="1" applyAlignment="1">
      <alignment vertical="center" wrapText="1"/>
    </xf>
    <xf numFmtId="14" fontId="3" fillId="4" borderId="2" xfId="0" applyNumberFormat="1" applyFont="1" applyFill="1" applyBorder="1" applyAlignment="1">
      <alignment horizontal="right" vertical="center" wrapText="1"/>
    </xf>
    <xf numFmtId="0" fontId="0" fillId="5" borderId="3" xfId="0" applyFill="1" applyBorder="1" applyAlignment="1">
      <alignment vertical="center" wrapText="1"/>
    </xf>
    <xf numFmtId="0" fontId="5" fillId="5" borderId="3" xfId="0" applyFont="1" applyFill="1" applyBorder="1" applyAlignment="1">
      <alignment vertical="center" wrapText="1"/>
    </xf>
    <xf numFmtId="0" fontId="5" fillId="5" borderId="3" xfId="0" applyFont="1" applyFill="1" applyBorder="1" applyAlignment="1">
      <alignment horizontal="right" vertical="center" wrapText="1"/>
    </xf>
    <xf numFmtId="0" fontId="1" fillId="5" borderId="3" xfId="1" applyFill="1" applyBorder="1" applyAlignment="1">
      <alignment vertical="center" wrapText="1"/>
    </xf>
    <xf numFmtId="0" fontId="4" fillId="5" borderId="3" xfId="0" applyFont="1" applyFill="1" applyBorder="1" applyAlignment="1">
      <alignment vertical="center" wrapText="1"/>
    </xf>
    <xf numFmtId="14" fontId="3" fillId="5" borderId="3" xfId="0" applyNumberFormat="1" applyFont="1" applyFill="1" applyBorder="1" applyAlignment="1">
      <alignment horizontal="right" vertical="center" wrapText="1"/>
    </xf>
    <xf numFmtId="0" fontId="0" fillId="4" borderId="4" xfId="0" applyFill="1" applyBorder="1" applyAlignment="1">
      <alignment vertical="center" wrapText="1"/>
    </xf>
    <xf numFmtId="0" fontId="5" fillId="4" borderId="4" xfId="0" applyFont="1" applyFill="1" applyBorder="1" applyAlignment="1">
      <alignment vertical="center" wrapText="1"/>
    </xf>
    <xf numFmtId="0" fontId="4" fillId="4" borderId="4" xfId="0" applyFont="1" applyFill="1" applyBorder="1" applyAlignment="1">
      <alignment vertical="center" wrapText="1"/>
    </xf>
    <xf numFmtId="0" fontId="5" fillId="4" borderId="4" xfId="0" applyFont="1" applyFill="1" applyBorder="1" applyAlignment="1">
      <alignment horizontal="right" vertical="center" wrapText="1"/>
    </xf>
    <xf numFmtId="0" fontId="1" fillId="4" borderId="4" xfId="1" applyFill="1" applyBorder="1" applyAlignment="1">
      <alignment vertical="center" wrapText="1"/>
    </xf>
    <xf numFmtId="14" fontId="3" fillId="4" borderId="4" xfId="0" applyNumberFormat="1" applyFont="1" applyFill="1" applyBorder="1" applyAlignment="1">
      <alignment horizontal="right" vertical="center" wrapText="1"/>
    </xf>
    <xf numFmtId="14" fontId="4" fillId="5" borderId="3" xfId="0" applyNumberFormat="1" applyFont="1" applyFill="1" applyBorder="1" applyAlignment="1">
      <alignment horizontal="right" vertical="center" wrapText="1"/>
    </xf>
    <xf numFmtId="14" fontId="0" fillId="0" borderId="0" xfId="0" applyNumberFormat="1"/>
    <xf numFmtId="0" fontId="0" fillId="0" borderId="0" xfId="0" applyAlignment="1">
      <alignment wrapText="1"/>
    </xf>
    <xf numFmtId="0" fontId="0" fillId="0" borderId="0" xfId="0" pivotButton="1" applyAlignment="1">
      <alignment wrapText="1"/>
    </xf>
    <xf numFmtId="0" fontId="6" fillId="0" borderId="1" xfId="0" applyFont="1" applyBorder="1" applyAlignment="1">
      <alignment wrapText="1"/>
    </xf>
    <xf numFmtId="0" fontId="6" fillId="4" borderId="2" xfId="0" applyFont="1" applyFill="1" applyBorder="1" applyAlignment="1">
      <alignment vertical="center" wrapText="1"/>
    </xf>
    <xf numFmtId="0" fontId="6" fillId="5" borderId="3" xfId="0" applyFont="1" applyFill="1" applyBorder="1" applyAlignment="1">
      <alignment vertical="center" wrapText="1"/>
    </xf>
    <xf numFmtId="0" fontId="6" fillId="4" borderId="4" xfId="0" applyFont="1" applyFill="1" applyBorder="1" applyAlignment="1">
      <alignment vertical="center" wrapText="1"/>
    </xf>
    <xf numFmtId="0" fontId="6" fillId="0" borderId="0" xfId="0" applyFont="1"/>
    <xf numFmtId="14" fontId="0" fillId="6" borderId="5" xfId="0" applyNumberFormat="1" applyFill="1" applyBorder="1"/>
    <xf numFmtId="14" fontId="0" fillId="4" borderId="6" xfId="0" applyNumberFormat="1" applyFill="1" applyBorder="1" applyAlignment="1">
      <alignment horizontal="right" vertical="center" wrapText="1"/>
    </xf>
    <xf numFmtId="14" fontId="0" fillId="5" borderId="7" xfId="0" applyNumberFormat="1" applyFill="1" applyBorder="1" applyAlignment="1">
      <alignment horizontal="right" vertical="center" wrapText="1"/>
    </xf>
    <xf numFmtId="14" fontId="0" fillId="4" borderId="8" xfId="0" applyNumberFormat="1" applyFill="1" applyBorder="1" applyAlignment="1">
      <alignment horizontal="right" vertical="center" wrapText="1"/>
    </xf>
    <xf numFmtId="0" fontId="2" fillId="0" borderId="9" xfId="0" applyFont="1" applyBorder="1"/>
    <xf numFmtId="0" fontId="5" fillId="4" borderId="0" xfId="0" applyFont="1" applyFill="1" applyAlignment="1">
      <alignment vertical="center" wrapText="1"/>
    </xf>
    <xf numFmtId="0" fontId="5" fillId="5" borderId="0" xfId="0" applyFont="1" applyFill="1" applyAlignment="1">
      <alignment vertical="center" wrapText="1"/>
    </xf>
    <xf numFmtId="0" fontId="3" fillId="0" borderId="0" xfId="0" pivotButton="1" applyFont="1"/>
    <xf numFmtId="0" fontId="3" fillId="0" borderId="0" xfId="0" applyFont="1"/>
    <xf numFmtId="14" fontId="3" fillId="0" borderId="0" xfId="0" applyNumberFormat="1" applyFont="1" applyAlignment="1">
      <alignment horizontal="left"/>
    </xf>
    <xf numFmtId="0" fontId="3" fillId="0" borderId="0" xfId="0" applyFont="1" applyAlignment="1">
      <alignment horizontal="left"/>
    </xf>
    <xf numFmtId="0" fontId="8" fillId="0" borderId="0" xfId="0" applyFont="1"/>
    <xf numFmtId="0" fontId="7" fillId="7" borderId="0" xfId="0" applyFont="1" applyFill="1"/>
    <xf numFmtId="0" fontId="7" fillId="7" borderId="0" xfId="0" applyFont="1" applyFill="1" applyAlignment="1">
      <alignment horizontal="center"/>
    </xf>
    <xf numFmtId="17" fontId="0" fillId="0" borderId="0" xfId="0" applyNumberFormat="1"/>
    <xf numFmtId="164" fontId="0" fillId="0" borderId="0" xfId="3" applyNumberFormat="1" applyFont="1"/>
    <xf numFmtId="0" fontId="8" fillId="0" borderId="0" xfId="0" applyFont="1" applyAlignment="1">
      <alignment horizontal="center"/>
    </xf>
    <xf numFmtId="14" fontId="0" fillId="0" borderId="0" xfId="0" applyNumberFormat="1" applyAlignment="1">
      <alignment horizontal="center"/>
    </xf>
    <xf numFmtId="0" fontId="0" fillId="0" borderId="0" xfId="0" applyAlignment="1">
      <alignment horizontal="center"/>
    </xf>
    <xf numFmtId="0" fontId="7" fillId="7" borderId="0" xfId="0" applyFont="1" applyFill="1" applyAlignment="1">
      <alignment horizontal="center"/>
    </xf>
  </cellXfs>
  <cellStyles count="4">
    <cellStyle name="Hipervínculo" xfId="1" builtinId="8"/>
    <cellStyle name="Hyperlink" xfId="2" xr:uid="{00000000-000B-0000-0000-000008000000}"/>
    <cellStyle name="Millares" xfId="3" builtinId="3"/>
    <cellStyle name="Normal" xfId="0" builtinId="0"/>
  </cellStyles>
  <dxfs count="54">
    <dxf>
      <numFmt numFmtId="0" formatCode="General"/>
    </dxf>
    <dxf>
      <alignment horizontal="general" textRotation="0" wrapText="1" indent="0" justifyLastLine="0" shrinkToFit="0" readingOrder="0"/>
    </dxf>
    <dxf>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sz val="9"/>
        <name val="Arial"/>
      </font>
      <fill>
        <patternFill patternType="solid">
          <fgColor indexed="64"/>
          <bgColor rgb="FFF6F8F9"/>
        </patternFill>
      </fill>
      <alignment horizontal="general" vertical="center" textRotation="0" wrapText="1" indent="0" justifyLastLine="0" shrinkToFit="0" readingOrder="0"/>
      <border diagonalUp="0" diagonalDown="0">
        <left style="medium">
          <color rgb="FFCCCCCC"/>
        </left>
        <right style="medium">
          <color rgb="FFF6F8F9"/>
        </right>
        <top style="medium">
          <color rgb="FFCCCCCC"/>
        </top>
        <bottom style="medium">
          <color rgb="FFF6F8F9"/>
        </bottom>
        <vertical/>
        <horizontal/>
      </border>
    </dxf>
    <dxf>
      <font>
        <b val="0"/>
        <i val="0"/>
        <strike val="0"/>
        <condense val="0"/>
        <extend val="0"/>
        <outline val="0"/>
        <shadow val="0"/>
        <u val="none"/>
        <vertAlign val="baseline"/>
        <sz val="11"/>
        <color rgb="FF1F1F1F"/>
        <name val="Google Sans"/>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vertical/>
        <horizontal/>
      </border>
    </dxf>
    <dxf>
      <font>
        <b val="0"/>
        <i val="0"/>
        <strike val="0"/>
        <condense val="0"/>
        <extend val="0"/>
        <outline val="0"/>
        <shadow val="0"/>
        <u val="none"/>
        <vertAlign val="baseline"/>
        <sz val="8"/>
        <color rgb="FF434343"/>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vertical/>
        <horizontal/>
      </border>
    </dxf>
    <dxf>
      <font>
        <b val="0"/>
        <i val="0"/>
        <strike val="0"/>
        <condense val="0"/>
        <extend val="0"/>
        <outline val="0"/>
        <shadow val="0"/>
        <u val="none"/>
        <vertAlign val="baseline"/>
        <sz val="8"/>
        <color rgb="FF434343"/>
        <name val="Verdana"/>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vertical/>
        <horizontal/>
      </border>
    </dxf>
    <dxf>
      <font>
        <b val="0"/>
        <i val="0"/>
        <strike val="0"/>
        <condense val="0"/>
        <extend val="0"/>
        <outline val="0"/>
        <shadow val="0"/>
        <u val="none"/>
        <vertAlign val="baseline"/>
        <sz val="11"/>
        <color rgb="FF434343"/>
        <name val="Arial"/>
        <family val="2"/>
        <scheme val="none"/>
      </font>
      <numFmt numFmtId="19" formatCode="d/mm/yyyy"/>
      <fill>
        <patternFill patternType="solid">
          <fgColor indexed="64"/>
          <bgColor rgb="FFFFFFFF"/>
        </patternFill>
      </fill>
      <alignment horizontal="general" vertical="center" textRotation="0" wrapText="1" indent="0" justifyLastLine="0" shrinkToFit="0" readingOrder="0"/>
      <border diagonalUp="0" diagonalDown="0">
        <left style="medium">
          <color rgb="FFCCCCCC"/>
        </left>
        <right style="medium">
          <color rgb="FFFFFFFF"/>
        </right>
        <top style="medium">
          <color rgb="FFCCCCCC"/>
        </top>
        <bottom/>
        <vertical/>
        <horizontal/>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514350</xdr:colOff>
      <xdr:row>0</xdr:row>
      <xdr:rowOff>114300</xdr:rowOff>
    </xdr:from>
    <xdr:to>
      <xdr:col>2</xdr:col>
      <xdr:colOff>3962400</xdr:colOff>
      <xdr:row>6</xdr:row>
      <xdr:rowOff>0</xdr:rowOff>
    </xdr:to>
    <mc:AlternateContent xmlns:mc="http://schemas.openxmlformats.org/markup-compatibility/2006" xmlns:tsle="http://schemas.microsoft.com/office/drawing/2012/timeslicer">
      <mc:Choice Requires="tsle">
        <xdr:graphicFrame macro="">
          <xdr:nvGraphicFramePr>
            <xdr:cNvPr id="6" name="Fecha 2">
              <a:extLst>
                <a:ext uri="{FF2B5EF4-FFF2-40B4-BE49-F238E27FC236}">
                  <a16:creationId xmlns:a16="http://schemas.microsoft.com/office/drawing/2014/main" id="{C1CEF31A-4039-7FBA-BC95-4382207332FF}"/>
                </a:ext>
              </a:extLst>
            </xdr:cNvPr>
            <xdr:cNvGraphicFramePr/>
          </xdr:nvGraphicFramePr>
          <xdr:xfrm>
            <a:off x="0" y="0"/>
            <a:ext cx="0" cy="0"/>
          </xdr:xfrm>
          <a:graphic>
            <a:graphicData uri="http://schemas.microsoft.com/office/drawing/2012/timeslicer">
              <tsle:timeslicer name="Fecha 2"/>
            </a:graphicData>
          </a:graphic>
        </xdr:graphicFrame>
      </mc:Choice>
      <mc:Fallback xmlns="">
        <xdr:sp macro="" textlink="">
          <xdr:nvSpPr>
            <xdr:cNvPr id="0" name=""/>
            <xdr:cNvSpPr>
              <a:spLocks noTextEdit="1"/>
            </xdr:cNvSpPr>
          </xdr:nvSpPr>
          <xdr:spPr>
            <a:xfrm>
              <a:off x="8346168" y="2954338"/>
              <a:ext cx="3352649" cy="1341361"/>
            </a:xfrm>
            <a:prstGeom prst="rect">
              <a:avLst/>
            </a:prstGeom>
            <a:solidFill>
              <a:prstClr val="white"/>
            </a:solidFill>
            <a:ln w="1">
              <a:solidFill>
                <a:prstClr val="green"/>
              </a:solidFill>
            </a:ln>
          </xdr:spPr>
          <xdr:txBody>
            <a:bodyPr vertOverflow="clip" horzOverflow="clip"/>
            <a:lstStyle/>
            <a:p>
              <a:r>
                <a:rPr lang="es-PE" sz="1100"/>
                <a:t>Línea de tiempo: Funciona en Excel 2013 o superior. No mover ni cambiar el tamaño.</a:t>
              </a:r>
            </a:p>
          </xdr:txBody>
        </xdr:sp>
      </mc:Fallback>
    </mc:AlternateContent>
    <xdr:clientData/>
  </xdr:twoCellAnchor>
  <xdr:twoCellAnchor editAs="oneCell">
    <xdr:from>
      <xdr:col>2</xdr:col>
      <xdr:colOff>628195</xdr:colOff>
      <xdr:row>6</xdr:row>
      <xdr:rowOff>158750</xdr:rowOff>
    </xdr:from>
    <xdr:to>
      <xdr:col>2</xdr:col>
      <xdr:colOff>3824361</xdr:colOff>
      <xdr:row>14</xdr:row>
      <xdr:rowOff>14061</xdr:rowOff>
    </xdr:to>
    <mc:AlternateContent xmlns:mc="http://schemas.openxmlformats.org/markup-compatibility/2006" xmlns:tsle="http://schemas.microsoft.com/office/drawing/2012/timeslicer">
      <mc:Choice Requires="tsle">
        <xdr:graphicFrame macro="">
          <xdr:nvGraphicFramePr>
            <xdr:cNvPr id="7" name="Fecha 3">
              <a:extLst>
                <a:ext uri="{FF2B5EF4-FFF2-40B4-BE49-F238E27FC236}">
                  <a16:creationId xmlns:a16="http://schemas.microsoft.com/office/drawing/2014/main" id="{27EA1E26-A176-4B4A-B97E-EC6E7229214F}"/>
                </a:ext>
                <a:ext uri="{147F2762-F138-4A5C-976F-8EAC2B608ADB}">
                  <a16:predDERef xmlns:a16="http://schemas.microsoft.com/office/drawing/2014/main" pred="{C1CEF31A-4039-7FBA-BC95-4382207332FF}"/>
                </a:ext>
              </a:extLst>
            </xdr:cNvPr>
            <xdr:cNvGraphicFramePr/>
          </xdr:nvGraphicFramePr>
          <xdr:xfrm>
            <a:off x="0" y="0"/>
            <a:ext cx="0" cy="0"/>
          </xdr:xfrm>
          <a:graphic>
            <a:graphicData uri="http://schemas.microsoft.com/office/drawing/2012/timeslicer">
              <tsle:timeslicer name="Fecha 3"/>
            </a:graphicData>
          </a:graphic>
        </xdr:graphicFrame>
      </mc:Choice>
      <mc:Fallback xmlns="">
        <xdr:sp macro="" textlink="">
          <xdr:nvSpPr>
            <xdr:cNvPr id="0" name=""/>
            <xdr:cNvSpPr>
              <a:spLocks noTextEdit="1"/>
            </xdr:cNvSpPr>
          </xdr:nvSpPr>
          <xdr:spPr>
            <a:xfrm>
              <a:off x="8209641" y="1065893"/>
              <a:ext cx="3352649" cy="1382939"/>
            </a:xfrm>
            <a:prstGeom prst="rect">
              <a:avLst/>
            </a:prstGeom>
            <a:solidFill>
              <a:prstClr val="white"/>
            </a:solidFill>
            <a:ln w="1">
              <a:solidFill>
                <a:prstClr val="green"/>
              </a:solidFill>
            </a:ln>
          </xdr:spPr>
          <xdr:txBody>
            <a:bodyPr vertOverflow="clip" horzOverflow="clip"/>
            <a:lstStyle/>
            <a:p>
              <a:r>
                <a:rPr lang="es-PE" sz="1100"/>
                <a:t>Línea de tiempo: Funciona en Excel 2013 o superior. No mover ni cambiar el tamaño.</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ass leader" refreshedDate="45964.617509837961" createdVersion="8" refreshedVersion="8" minRefreshableVersion="3" recordCount="114" xr:uid="{D6EF1EE9-EC55-4EFE-BC3D-0C70E7138C79}">
  <cacheSource type="worksheet">
    <worksheetSource name="CRM"/>
  </cacheSource>
  <cacheFields count="23">
    <cacheField name="No." numFmtId="0">
      <sharedItems containsSemiMixedTypes="0" containsString="0" containsNumber="1" containsInteger="1" minValue="1" maxValue="114"/>
    </cacheField>
    <cacheField name="Fecha" numFmtId="14">
      <sharedItems containsSemiMixedTypes="0" containsNonDate="0" containsDate="1" containsString="0" minDate="2025-10-10T00:00:00" maxDate="2025-10-30T00:00:00" count="8">
        <d v="2025-10-10T00:00:00"/>
        <d v="2025-10-11T00:00:00"/>
        <d v="2025-10-14T00:00:00"/>
        <d v="2025-10-16T00:00:00"/>
        <d v="2025-10-20T00:00:00"/>
        <d v="2025-10-26T00:00:00"/>
        <d v="2025-10-27T00:00:00"/>
        <d v="2025-10-29T00:00:00"/>
      </sharedItems>
    </cacheField>
    <cacheField name="Razón Social" numFmtId="0">
      <sharedItems count="82">
        <s v="trasporte jasa10"/>
        <s v="JMD"/>
        <s v="F y R Inversiones Comercio y Servicio"/>
        <s v="Javier Paredes"/>
        <s v="Kemyherlin yolimar sequera martinez"/>
        <s v="Hotel los Incas"/>
        <s v="Yoel Cajo Cosanatan"/>
        <s v="Liliana Karina Cachan Barzola"/>
        <s v="Ester Rhut"/>
        <s v="Anthony Guevara"/>
        <s v="Leyser"/>
        <s v="Andy Bolivar"/>
        <s v="Piero Mavila"/>
        <s v="Viviana Leyton Venegas"/>
        <s v="Elmer Galindo"/>
        <s v="Kennet Levy"/>
        <s v="Lavandría CityPlus"/>
        <s v="Casa de Reposo Señor de los milagros"/>
        <s v="Lavandería San Antonio"/>
        <s v="Aquarius Lavandería"/>
        <s v="Lavandería KLIX"/>
        <s v="Súper Rápido"/>
        <s v="La Lavandería"/>
        <s v="Lavandería Aton"/>
        <s v="Lavanderia Germana"/>
        <s v="Clean &amp; Clean"/>
        <s v="Lavarred"/>
        <s v="Super Clean/ Surquillo"/>
        <s v="Lavatodo"/>
        <s v="Punto de Lavado"/>
        <s v="LAVANDERIA GYNEXPRESS"/>
        <s v="ECO CLEAN/LANNACLEAN"/>
        <s v="LAVADORITA"/>
        <s v="LAVAPRO"/>
        <s v="Lavandería principal"/>
        <s v="Lavanderia Ecolaund"/>
        <s v="LAVANDERIA RIVASPLATA"/>
        <s v="Lavanderia San Antonio"/>
        <s v="Lavanderia Aton"/>
        <s v="Lavandería Germana"/>
        <s v="Lavo Express"/>
        <s v="Veliz Express"/>
        <s v="Lava full"/>
        <s v="LavaLUX"/>
        <s v="Dry Cleanning"/>
        <s v="Punto Blanco"/>
        <s v="Lavandería Style &amp; Clean"/>
        <s v="Lavanderia Chacarilla"/>
        <s v="LavaTec"/>
        <s v="Olympia Laundry"/>
        <s v="Lavaquick"/>
        <s v="Hennesy"/>
        <s v="Lavanderia Bellas Artes"/>
        <s v="Lavanderia J Y S "/>
        <s v="Hostal HS AR"/>
        <s v="Eco Lara"/>
        <s v="America Clean "/>
        <s v="Hotel Palomar"/>
        <s v="La Videna Hospedaje"/>
        <s v="Hostal Blue Sky"/>
        <s v="Hotel Nova"/>
        <s v="Hotel El Prado"/>
        <s v="Hostal Dubai Ynn"/>
        <s v="Lavanderia del Norte"/>
        <s v="Mr. Cleaning"/>
        <s v="Lavanderia Lavaphilp"/>
        <s v="Gold Source Hotel"/>
        <s v="Hotel Asiatika"/>
        <s v="Hostal Blois"/>
        <s v="Espinoza Chavez Solange"/>
        <s v="Armando Alexis Diego"/>
        <s v="Sagita sociedad Anonima Cerrada - Sagita S.A.C."/>
        <s v="Lavaluc"/>
        <s v="Lavatec (Monterrico)"/>
        <s v="Lavanderia Aqua Clean S.a.C."/>
        <s v="Lavanderia kikue"/>
        <s v="Lavandería Peppa"/>
        <s v="Lavandería Espuma Dry Cleanners "/>
        <s v="Monterrico Sutes Hotel"/>
        <s v="La Positiva (Centro Medico)"/>
        <s v="Lima Mini Apart Monterrico"/>
        <s v="Lavanderías All Clean"/>
      </sharedItems>
    </cacheField>
    <cacheField name="Vendedor" numFmtId="0">
      <sharedItems/>
    </cacheField>
    <cacheField name="Contacto" numFmtId="0">
      <sharedItems containsBlank="1"/>
    </cacheField>
    <cacheField name="Cargo" numFmtId="0">
      <sharedItems containsBlank="1"/>
    </cacheField>
    <cacheField name="teléfono" numFmtId="0">
      <sharedItems containsBlank="1" containsMixedTypes="1" containsNumber="1" containsInteger="1" minValue="2250846" maxValue="998345586"/>
    </cacheField>
    <cacheField name="Mail" numFmtId="0">
      <sharedItems containsBlank="1"/>
    </cacheField>
    <cacheField name="RUC" numFmtId="0">
      <sharedItems containsBlank="1" containsMixedTypes="1" containsNumber="1" containsInteger="1" minValue="42889736" maxValue="20614329794"/>
    </cacheField>
    <cacheField name="Web" numFmtId="0">
      <sharedItems containsBlank="1"/>
    </cacheField>
    <cacheField name="Departamento" numFmtId="0">
      <sharedItems containsBlank="1"/>
    </cacheField>
    <cacheField name="Distrito" numFmtId="0">
      <sharedItems containsBlank="1"/>
    </cacheField>
    <cacheField name="Rubro" numFmtId="0">
      <sharedItems containsBlank="1"/>
    </cacheField>
    <cacheField name="Tipo de producto" numFmtId="0">
      <sharedItems containsNonDate="0" containsString="0" containsBlank="1"/>
    </cacheField>
    <cacheField name="Origen del lead" numFmtId="0">
      <sharedItems/>
    </cacheField>
    <cacheField name="Descripción" numFmtId="0">
      <sharedItems containsBlank="1" count="108" longText="1">
        <s v="Nos comunicamos con el señor pero nos indica que sus trabajadores se han independizdo por lo tanto no requieren nigun sevicio de equipamiento industrial. Se le adjunta video en whatsaap de la empresa."/>
        <s v="Nos comunicamos con el señor. Pidio que le mandaramos el catalogo por whatsapp."/>
        <s v="Atendio la llamada pero no quiere dar información, niega pedir el servicio antes y no quiere nigun tipo de documentos por ningún medio."/>
        <s v="No atendio la llamada, sin embargo contesto el mensaje dando las gracias."/>
        <s v="no atendio y no quiso infirmacion"/>
        <s v="deribaron a Lavaquick/ Ya se hizo contacto y se llamará hoy"/>
        <s v="Esta interesado y necesita el equipo de lavanderia para su hotel. Pidio mas informacion en su telefono"/>
        <s v="Necesitaba una doméstica solo la usa 1 vez por semana/ No necesita una industrial"/>
        <s v="Se le envio nuevamente un mensaje por via Whatsaap."/>
        <s v="Se envió un mensaje de seguimiento"/>
        <s v="Se le envió el catalogo y el mensaje respectivo por whatsapp"/>
        <s v="Se llamo tres veces y no contesto"/>
        <s v="Va a iniciar su empresa de lavanderia, me pidio que le envie el catalogo por via whatsapp"/>
        <s v="No esta interesado y no quiere nuestros servicios"/>
        <s v="Se pidio el catalogo y nos dio su numero"/>
        <s v="Se coordino una cita para el viernes. Se intereso por ver las maquinas"/>
        <s v="Se informo que los equipos industriales que usan ya requieren cambios porque estan muy usados y antiguos/Me dio un numero de la tienda central/ Tiene una propia planta."/>
        <s v="Se dio el numero de la administradora, madre del gerente de la lavandería. (Necesitan repuestos o insumos)"/>
        <s v="Se dio el numero de administración para hablar con el cliente, no se montro interes"/>
        <s v="Nos pidieron un mensaje para ver mas información de la empresa"/>
        <s v="La tienda se encontró cerrada"/>
        <s v="Nos pidió información y el dia de mañana, pasar el catalogo"/>
        <s v="No mostro interes el trabajador, pero dio un numero de consulta"/>
        <s v="Me dió el mismo numero que la pagina de facebook, tiene vaeias sucursales"/>
        <s v="No se presentan trabajadores"/>
        <s v="La gerente Sara me dió su numero, ahi se mandrá el mensaje correspondiente/ Esta interesada a futuro en el servicio de autolavado, pregunto si temdriamos esa información"/>
        <s v="Me pidieron el costo de la secadora industrial/ Le vamos a solicitar la brindar la información/ No quiso que entre al establecimiento"/>
        <s v="Se me entrego el numero de la Gerente Thalia Verano"/>
        <s v="Pidieron el catalogo, no quisieron dar el numero ni el correo"/>
        <s v="El gerente solicito insumos, la cotizacion esta pendiente/ Tiene equipos primus. Se le ofreció equipos de lavadoras industriales pero no se intereso."/>
        <s v="La gerente se llama Zaira/ Cuentan con equipo industrial nuevo"/>
        <s v="Se interesaron en la mesa de planchado"/>
        <s v="Se les dejo solo el catalogo presencial en la Lavanderia"/>
        <s v="Me pidieron informacion vía whatsapp"/>
        <s v="Comunicarme con el numero y mandar el catalogo via whatsapp"/>
        <s v="Se hizo llamada con el señor Ozuna, pide y se visiona con tres lavadoras, tres secadoras, aun no tiene nada, pero se dedida al rubro de limpieza y lavado, piensa lavar frazadas ropa y colchas, 60 y 80kilos de ropa por día"/>
        <s v="Se converso con el señor Yoel, por medio de una llamada, hay mas información, requiere una lavadora semi industrial LG de 17 kilos poorque tiene una lg casera de 17 kilos que se para malogrando, en estos momentos estamos quedando para que me diga una fecha tenttiva. Pasado mañana vuelvo a escribirle."/>
        <s v="Se le entrego el catalogo y mensaje por whatsapp"/>
        <s v="Agendamos una cita en llamada para las 7pm."/>
        <s v="Se le dejo un mensaje explicando el motivo de la llamada la fecha anterior, y se le pregunto si esta interesado."/>
        <s v="Se comprobó que maneja tres lavadoras samnsung"/>
        <s v="Siguiendo con lo conversado en la visita se hizo un seguimiento anotando las debilidades de la lavandería, que los equipos ya estan usados"/>
        <s v="Se hizo su respectivo seguimiento, incitando una visita a la planta"/>
        <s v="Se hizo seguimiento y se madó el catalogo virtual"/>
        <s v="Se volvió a enviar el mensaje/ Parece que es un numero equivocado recibido de esa visita"/>
        <s v="No se encontró el numero de dicha Lavandería"/>
        <s v="Se le adjunto el catálogo y se hizo el respectivo seguimiento"/>
        <s v="Se hizo seguimiento entregando el catalogo, además se dejo en claro una visita para la planta"/>
        <s v="Adjunte el catalogo junto con los datos necesaios para una cotización"/>
        <s v="Se mando el catalogo y se brindo informacion acerca de tecnologia como metodo de pago/ Lavadoras de autoservicio."/>
        <s v="Se Hará llamada preguntando si sigue interesado en la cotizacion de la lavanderia industrial/ De igual manera se brindó el catalogo"/>
        <s v="Se hizo el seguimiento a la gerente/ Se le brindó el catalogo"/>
        <m/>
        <s v="Se mando el catalogo para mostrar interes o si aún quieren comprar mas equipos industriales"/>
        <s v="Se hizo seguimiento y se mando el catalogo/ Se programara una llamada"/>
        <s v="Catalogo adjuntado"/>
        <s v="Me atendio la dueña y me dejo su numero personal, pregunté su tipo de lavadora, ella pregunto por el metodo de pago y dijo que despues se comunica con nosotros."/>
        <s v="Solo dieron volantes"/>
        <s v="Converse con el dueño, vio el catalogo, sus lavadoras no se veían"/>
        <s v="Si esta intereada en comprar a futuro una nueva lavadora industrial, abrirá nuevo local, no quiso dar datos pero cuando tenga espacio nos llamará"/>
        <s v="Me dieron el numero de la gerente, sin embargo no contesto, no quisieron dar el reuc, esta de baja de oficio."/>
        <s v="Cuentan con su propia planta/ me dieron este correo Pbchacarilla@gmail.com"/>
        <s v="Cuentan con Lavado al seco y Lavadoras industriales."/>
        <s v="Se dejo el catalogo al personal para que lo vea el gerente"/>
        <s v="Su ruc esta en baja de Oficio."/>
        <s v="Es cliente del Hotel los incas"/>
        <s v="No quiso brindar información"/>
        <s v="Me dió información de la planta Sagita. numero 993 515137"/>
        <s v="Tienen lavadoras no industriales, se les explico el funcionamiento de estas pero no estan interesados ya que sus lavadoras son nuevas"/>
        <s v="Tienen garantia con sus lavadoras, cambian su repuesto cada 3 años"/>
        <s v="Tienen Lavadoras Samsung no industriales, 1 se malogró y está interesada. Le dará el numero a su jefa"/>
        <s v="No quiso dar datos, tienen lavadoras comunes, de dejo el numero"/>
        <s v="No necesitan Lavadoras industriales, para el proximo año si, piensan expadirse"/>
        <s v="No cuentan con lavanderia industrial, su secadora común se malogró, la empleada es reacia no dejo numero"/>
        <s v="Proveedor que lava sus ropas (Rama Textil servicios sac) La direccion de la planta es Av Circunvalación numero 2643 interior Ps 03"/>
        <s v="No estuvieron interesados en lavadoras industriales y tienen su propia lavanderia, no me quiso pasar el dato"/>
        <s v="Cuentan con muchas lavadoras dentro. Son las normales"/>
        <s v="En el local se lava todo/ Solo pude rescatar esa información"/>
        <s v="Se lava en el hotel, se compro las lavadoras recientemente, la administradora no esta interesada por el momento"/>
        <s v="Con disponibilidad para ver el catalogo virtual, menejan muchas lavadoras"/>
        <s v="Dicen que ya trabajan con nosotros/ Tienen la LG  titan"/>
        <s v="Tienen lavado automatico, con lavadoras industriales"/>
        <s v="Cuentan con lavadoras y secadoras industriales primus"/>
        <s v="Ya le vinieron a ofrecer de otros sitios. Recalque la importancia de la empresa"/>
        <s v="El encargado me dijo que no puede brindarme esa información que usualmente el jefe esta de 12 a 1. Lavan todo dentro del hotel"/>
        <s v="Se contacto con la señorita pero no contesto las tres veces, de igual manera se le envió el catalogo con la presentación de la empresa por via whatssapp. Ademas en su linkedin sale como dueña de un chifa &quot;El olivar&quot; que esta ubicado en Lima Callao. Se intereso por una Lavadora Industrial Rigida Centrifuga "/>
        <s v="Se contacto con el señor sin exito alguno ya que su celular estaba apagado las tres veces que se le llamó, de igual manera se le adjuntó el catalogo virtual junto con el speech de la presentación de effameinsa, por el innteres del señor de contactarnos por la pagina web. Su rubro es la salud (Veterinario) Mostró interes en la Giant C MAX- Lavadora y secadora semi industrial. Esta ubicado en Chiclayo."/>
        <s v="Se adquiriò la informaciòn de la planta por la lavanderìa bellas artes ubicada en san borja cruzando la javier prado . Es una cadena de lavanderia que tiene mas de 16 sucursales en todo el Perù, tiene mas de 25 años en el ruubro y hace todo tipo de lavados. Se contacto por telefono para poder negociar y ofrecer maquinarias industriales para beneficio mutuo, dando a conocer que tenemos una planta, ofreciendo una videollamada sin compromiso. Se enviarà mensaje de speech por whatssapp, se adjuntarà el catalogo virtual."/>
        <s v="Se llamó al señor Yoel para poder hacerle seguimiento y poder cerrar venta, el escogió la LG Titan de capacidad de 17 kilos. Negociò un metodo de pago por link pero no contamos, le indicamos que es con transferencia o tarjeta con POS. Le pedimos un adelanto de 500 dolares para ir separando el equipo, el dijo que sí y confirmaria a que hora  exacta despues de  almuerzo. Ademas, se programo una videollamada a las 2 y 30, despues de almuerzo."/>
        <s v="Hicimos seguimiento al señor Ozuna, sin embargo el ya encontro otros precios mas económicos."/>
        <s v="Se llamo a Eco Lara para poder  comunicarme mas directamente con su gerente, dejo el correo electronico para una comunicaciòn mas directa. se hizo seguimiento."/>
        <s v="Se hizo una videollamada con. el señor Yoel en la planta de Effameinsa, se le mostro todas las maquinas industriales y la lavadora Titan max LG 17 kg. Quedamos para un metodo de pago con tarjeta pos o transferencia, además"/>
        <s v="Se llamo para  hacer el seguimiento, sin embargo la encargada de turno se mostro cortante y reacia, pidio que le hablaramos por whatssapp  toda la información.  Se dejo mensaje del catalogo por whatssap"/>
        <s v="No contestaron las tres llamadas, se adjuntara el catalogo por Whatssapp"/>
        <s v="Se llamo tres ve ces y no contestó, se adjuntará el mensaje y catalogo por whtasapp"/>
        <s v="Se volvió a tener una conversación con la lavandería,  pregunté acerca de la planta  y me dijeron que no es aparte, ellos tienen su propia planta. Además me informaron que ya le pasaron el catalogo a su gerente, y el verá necesario llamar. "/>
        <s v="Se llamo tres veces y no contesto, de igual manera se le hará seguimiento"/>
        <s v="Se llamo tres veces y no contestaron, de igual manera se le volverá a hacer seguimiento. "/>
        <s v="Se hizo su respectivo seguimiento adjuntando el catalogo virtual via Whatssapp, me cuenta que apenas se comunique con el cliente nos dará información de su maquinas, se pidió tambien una visita a la planta, ellos estan de acuerdo en que por medio de una visita de vuelta, pueda ver las maquinas en el hotel."/>
        <s v="En la tienda no se encontraba la gerente, además se le entrogó el catalogo, la encargado dijo que manejan su propia planta y que si quiero que accedan a nuestras lavadoras industriales lo haga en la sede principal."/>
        <s v="Tienen su propia planta al costado, en su lavanderia tienen lavadora industrial marca renazicc, posee una lavadora y secadora, me cuenta que actualmente no necesitan y se comunico con nosotros en el pasado pero nuestros precios eran muy elevados."/>
        <s v="Tienen la misma lavadora industrial marca Renzacci, ya lleva años en la industria y la encargada me permitió tomar foto a las mesas de planchado, me indicó que el gerente esta en tienda de 3 a 5 pm del lunes. Se le aduntó el catalogo de igual manera."/>
        <s v="Al llegar a la tienda noté que tienen lavadoras LG no industriales solo en la entrada, conversando con el encargado me comenta que tienen tres lavadoras comunes y dos industriales, esas 2 son  las Ipson, que las usan para edredones, de igual manera se le adjuto el catalogo y se pidió el numero de la gerente con exito."/>
        <s v="Pregunté si la dueña estaba en la tienday me dijo la señorita que no, se intereso en el catalogo, preguntando el precio de las lavadoras y secadoras, me dijo que pensaba abrir su propia lavandería y pidió mi numero personal. Se me dio el numero de su planta y me dijo que necesitan una secadora, dije que mas que llegar a un precio nosotros hacemos un servicio constante de postventa y prevent checando el lugar, vendiendo mas la marca que el producto. "/>
        <s v="El señor dueño del hotel necesita y quiere una lavadora industrial, se le ofrecio la LG semiindustriales, Titan o Gian. Se le ofreció el catalogo presencial. Su local es pequeño y me dijo que le pasara la mejor oferta, quiere una lavadora con capacidad de 20 kilos, dice que tiene contactos que se lo puden dejar a un precio muy barato No esta dispuesto a pagar menos de 2000 dolares"/>
        <s v="Al entrar me recibió la recepcionisa diciendome que no dan esa clase de información, ya que la ves pasada el guardia  de seguridad saco al personal que vino a ofrecer un servicio, de igual manera se explico el funcionsmiento y necesidadde tener una lavadora industrial. Se entrego el catalogo para que lo ntregue a su supervisor."/>
        <s v="No era el número correcto/ No se hará seguimiento." u="1"/>
        <s v="El numero no existe" u="1"/>
      </sharedItems>
    </cacheField>
    <cacheField name="Estado" numFmtId="0">
      <sharedItems containsBlank="1" count="9">
        <s v="pendiente"/>
        <s v="Propuesta enviada"/>
        <s v="Contactado"/>
        <s v="Contactado interesado"/>
        <s v="Potencial cierre"/>
        <s v="Cerrado perdido"/>
        <m/>
        <s v="Por contactar" u="1"/>
        <s v="Cerrado ganado" u="1"/>
      </sharedItems>
    </cacheField>
    <cacheField name="Monto de la oportunidad" numFmtId="0">
      <sharedItems containsNonDate="0" containsString="0" containsBlank="1"/>
    </cacheField>
    <cacheField name="No. Cotización" numFmtId="0">
      <sharedItems containsNonDate="0" containsString="0" containsBlank="1"/>
    </cacheField>
    <cacheField name="Valor Cotización" numFmtId="0">
      <sharedItems containsNonDate="0" containsString="0" containsBlank="1"/>
    </cacheField>
    <cacheField name="Fecha seguimiento" numFmtId="0">
      <sharedItems containsNonDate="0" containsDate="1" containsString="0" containsBlank="1" minDate="2025-10-16T00:00:00" maxDate="2025-11-02T00:00:00"/>
    </cacheField>
    <cacheField name="Semana" numFmtId="0">
      <sharedItems containsSemiMixedTypes="0" containsString="0" containsNumber="1" containsInteger="1" minValue="41" maxValue="44"/>
    </cacheField>
    <cacheField name="Numero de trabajadores" numFmtId="0">
      <sharedItems containsBlank="1" containsMixedTypes="1" containsNumber="1" containsInteger="1" minValue="1" maxValue="187"/>
    </cacheField>
  </cacheFields>
  <extLst>
    <ext xmlns:x14="http://schemas.microsoft.com/office/spreadsheetml/2009/9/main" uri="{725AE2AE-9491-48be-B2B4-4EB974FC3084}">
      <x14:pivotCacheDefinition pivotCacheId="597545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n v="1"/>
    <x v="0"/>
    <x v="0"/>
    <s v="Luis Ángel Gutiérrez"/>
    <s v="jorge Alfredo Sandoval Arteaga"/>
    <s v="Gerente/Titular"/>
    <n v="968447484"/>
    <s v="transportes.jasa61@gmail.com"/>
    <n v="20525908683"/>
    <m/>
    <s v="Lima"/>
    <s v="Piura"/>
    <s v="Otros: Marina/Ejército/Bomberos"/>
    <m/>
    <s v="Web"/>
    <x v="0"/>
    <x v="0"/>
    <m/>
    <m/>
    <m/>
    <d v="2025-10-20T00:00:00"/>
    <n v="41"/>
    <n v="1"/>
  </r>
  <r>
    <n v="2"/>
    <x v="0"/>
    <x v="1"/>
    <s v="Luis Ángel Gutiérrez"/>
    <s v="ALEJO GRADOS PILAR CECILIA"/>
    <s v="Trabajador"/>
    <n v="924997650"/>
    <s v="davidmoreno7353@gmail.com"/>
    <n v="20547728824"/>
    <m/>
    <s v="Lima"/>
    <s v="Lima"/>
    <s v="Otros: Marina/Ejército/Bomberos"/>
    <m/>
    <s v="Web"/>
    <x v="1"/>
    <x v="0"/>
    <m/>
    <m/>
    <m/>
    <d v="2025-10-20T00:00:00"/>
    <n v="41"/>
    <n v="12"/>
  </r>
  <r>
    <n v="3"/>
    <x v="0"/>
    <x v="2"/>
    <s v="Luis Ángel Gutiérrez"/>
    <s v="Patricia Alarcon"/>
    <s v="administradora"/>
    <n v="943794776"/>
    <s v="patriciaalarcon889@gmail.com"/>
    <n v="20340120591"/>
    <m/>
    <s v="Lima"/>
    <s v="Lima"/>
    <s v="Otros: Marina/Ejército/Bomberos"/>
    <m/>
    <s v="Web"/>
    <x v="2"/>
    <x v="0"/>
    <m/>
    <m/>
    <m/>
    <d v="2025-10-20T00:00:00"/>
    <n v="41"/>
    <n v="21"/>
  </r>
  <r>
    <n v="4"/>
    <x v="0"/>
    <x v="3"/>
    <s v="Luis Ángel Gutiérrez"/>
    <m/>
    <m/>
    <n v="928554925"/>
    <s v="PAREDESMATTA90@GMAIL.COM"/>
    <m/>
    <m/>
    <m/>
    <m/>
    <m/>
    <m/>
    <s v="Web"/>
    <x v="3"/>
    <x v="0"/>
    <m/>
    <m/>
    <m/>
    <d v="2025-10-20T00:00:00"/>
    <n v="41"/>
    <m/>
  </r>
  <r>
    <n v="5"/>
    <x v="0"/>
    <x v="4"/>
    <s v="Luis Ángel Gutiérrez"/>
    <s v="."/>
    <s v="."/>
    <n v="900818310"/>
    <s v="skemyherlinyolimar@gmail.com"/>
    <s v="."/>
    <m/>
    <s v="Lima"/>
    <s v="Lima"/>
    <m/>
    <m/>
    <s v="Web"/>
    <x v="4"/>
    <x v="0"/>
    <m/>
    <m/>
    <m/>
    <d v="2025-10-20T00:00:00"/>
    <n v="41"/>
    <m/>
  </r>
  <r>
    <n v="6"/>
    <x v="0"/>
    <x v="5"/>
    <s v="Luis Ángel Gutiérrez"/>
    <m/>
    <s v="recepcionista"/>
    <s v="(01) 7090000"/>
    <s v="eventos@losincas.com.pe"/>
    <n v="20348851251"/>
    <m/>
    <m/>
    <m/>
    <s v="Hotelería"/>
    <m/>
    <s v="Web"/>
    <x v="5"/>
    <x v="0"/>
    <m/>
    <m/>
    <m/>
    <d v="2025-10-20T00:00:00"/>
    <n v="41"/>
    <m/>
  </r>
  <r>
    <n v="7"/>
    <x v="0"/>
    <x v="6"/>
    <s v="Luis Ángel Gutiérrez"/>
    <s v="Yoel Cajo cosanatan"/>
    <s v="hotelero"/>
    <n v="970175949"/>
    <s v="jcosanatan@gmail.com"/>
    <n v="10774619271"/>
    <m/>
    <s v="Cuzco"/>
    <s v="Cuzco"/>
    <s v="Hotelería"/>
    <m/>
    <s v="Web"/>
    <x v="6"/>
    <x v="1"/>
    <m/>
    <m/>
    <m/>
    <d v="2025-10-20T00:00:00"/>
    <n v="41"/>
    <m/>
  </r>
  <r>
    <n v="8"/>
    <x v="0"/>
    <x v="7"/>
    <s v="Luis Ángel Gutiérrez"/>
    <m/>
    <m/>
    <n v="941937424"/>
    <s v="karilin4369@gmail.com"/>
    <m/>
    <m/>
    <m/>
    <m/>
    <s v="Lavandería Comercial"/>
    <m/>
    <s v="Web"/>
    <x v="7"/>
    <x v="0"/>
    <m/>
    <m/>
    <m/>
    <d v="2025-10-20T00:00:00"/>
    <n v="41"/>
    <m/>
  </r>
  <r>
    <n v="9"/>
    <x v="0"/>
    <x v="8"/>
    <s v="Luis Ángel Gutiérrez"/>
    <s v="Esther ruth"/>
    <m/>
    <n v="927574481"/>
    <s v="ruthvc335@gmail.com"/>
    <m/>
    <m/>
    <m/>
    <m/>
    <m/>
    <m/>
    <s v="Web"/>
    <x v="8"/>
    <x v="0"/>
    <m/>
    <m/>
    <m/>
    <d v="2025-10-20T00:00:00"/>
    <n v="41"/>
    <m/>
  </r>
  <r>
    <n v="10"/>
    <x v="0"/>
    <x v="9"/>
    <s v="Luis Ángel Gutiérrez"/>
    <m/>
    <m/>
    <n v="918364871"/>
    <s v="Anthonygarcia982@gmail.com"/>
    <m/>
    <m/>
    <m/>
    <m/>
    <m/>
    <m/>
    <s v="Web"/>
    <x v="9"/>
    <x v="0"/>
    <m/>
    <m/>
    <m/>
    <d v="2025-10-20T00:00:00"/>
    <n v="41"/>
    <m/>
  </r>
  <r>
    <n v="11"/>
    <x v="1"/>
    <x v="10"/>
    <s v="Luis Ángel Gutiérrez"/>
    <s v="Leyser"/>
    <m/>
    <n v="929289542"/>
    <s v="SANTOSLEYSERMOSTACEROPLASENCIA@GMAIL.COM"/>
    <m/>
    <m/>
    <m/>
    <m/>
    <s v="Lavandería Comercial"/>
    <m/>
    <s v="Web"/>
    <x v="10"/>
    <x v="0"/>
    <m/>
    <m/>
    <m/>
    <d v="2025-10-20T00:00:00"/>
    <n v="41"/>
    <m/>
  </r>
  <r>
    <n v="12"/>
    <x v="1"/>
    <x v="11"/>
    <s v="Luis Ángel Gutiérrez"/>
    <s v="Andy Bolivar"/>
    <m/>
    <n v="901907653"/>
    <s v="andybolivar011@gmail.com"/>
    <m/>
    <m/>
    <m/>
    <m/>
    <s v="Lavandería Comercial"/>
    <m/>
    <s v="Web"/>
    <x v="11"/>
    <x v="0"/>
    <m/>
    <m/>
    <m/>
    <d v="2025-10-20T00:00:00"/>
    <n v="41"/>
    <m/>
  </r>
  <r>
    <n v="13"/>
    <x v="1"/>
    <x v="12"/>
    <s v="Luis Ángel Gutiérrez"/>
    <s v="Piero Mavila"/>
    <m/>
    <n v="961068366"/>
    <s v="PMMAVILA@OUTLOOK.ES"/>
    <m/>
    <m/>
    <m/>
    <m/>
    <s v="Lavandería Comercial"/>
    <m/>
    <s v="Web"/>
    <x v="11"/>
    <x v="0"/>
    <m/>
    <m/>
    <m/>
    <m/>
    <n v="41"/>
    <m/>
  </r>
  <r>
    <n v="14"/>
    <x v="1"/>
    <x v="13"/>
    <s v="Luis Ángel Gutiérrez"/>
    <s v="Viviana Leyton Venegas"/>
    <m/>
    <n v="933354736"/>
    <s v="charitoleyton27@gmail.com"/>
    <m/>
    <m/>
    <m/>
    <m/>
    <s v="Lavandería Comercial"/>
    <m/>
    <s v="Web"/>
    <x v="12"/>
    <x v="0"/>
    <m/>
    <m/>
    <m/>
    <m/>
    <n v="41"/>
    <m/>
  </r>
  <r>
    <n v="15"/>
    <x v="1"/>
    <x v="14"/>
    <s v="Luis Ángel Gutiérrez"/>
    <s v="Elmer Galindo"/>
    <m/>
    <n v="943800284"/>
    <s v="EGALIBDO222@HOTMAIL.COM"/>
    <m/>
    <m/>
    <m/>
    <m/>
    <s v="Lavandería Comercial"/>
    <m/>
    <s v="Campo"/>
    <x v="11"/>
    <x v="0"/>
    <m/>
    <m/>
    <m/>
    <m/>
    <n v="41"/>
    <m/>
  </r>
  <r>
    <n v="16"/>
    <x v="1"/>
    <x v="15"/>
    <s v="Luis Ángel Gutiérrez"/>
    <s v="Kennet Levy"/>
    <m/>
    <n v="954754624"/>
    <s v="KENNETHLEVYG@GMAIL.COM"/>
    <m/>
    <m/>
    <m/>
    <m/>
    <s v="Lavandería Comercial"/>
    <m/>
    <s v="Campo"/>
    <x v="13"/>
    <x v="0"/>
    <m/>
    <m/>
    <m/>
    <d v="2025-10-20T00:00:00"/>
    <n v="41"/>
    <m/>
  </r>
  <r>
    <n v="17"/>
    <x v="2"/>
    <x v="16"/>
    <s v="Luis Ángel Gutiérrez"/>
    <s v="Kuwae Higa Dorys Beatriz"/>
    <s v="Gerente"/>
    <n v="947970444"/>
    <s v="lavanderiacityplus.com"/>
    <n v="20101980112"/>
    <m/>
    <s v="Lima"/>
    <s v="San borja"/>
    <s v="Lavanderia Comercial"/>
    <m/>
    <s v="Campo"/>
    <x v="14"/>
    <x v="0"/>
    <m/>
    <m/>
    <m/>
    <m/>
    <n v="42"/>
    <s v="-"/>
  </r>
  <r>
    <n v="18"/>
    <x v="2"/>
    <x v="17"/>
    <s v="Luis Ángel Gutiérrez"/>
    <s v="Eduardo Valera"/>
    <s v="Propietario"/>
    <n v="934207138"/>
    <m/>
    <n v="20521916703"/>
    <m/>
    <s v="Lima"/>
    <s v="San borja"/>
    <s v="Club Adulto Mayor"/>
    <m/>
    <s v="Campo"/>
    <x v="15"/>
    <x v="0"/>
    <m/>
    <m/>
    <m/>
    <m/>
    <n v="42"/>
    <n v="9"/>
  </r>
  <r>
    <n v="19"/>
    <x v="2"/>
    <x v="18"/>
    <s v="Luis Ángel Gutiérrez"/>
    <s v="Miranda Castillo Helard Juan"/>
    <s v="Gerente"/>
    <n v="946164816"/>
    <m/>
    <n v="20469472231"/>
    <m/>
    <s v="Lima"/>
    <s v="San borja"/>
    <s v="Lavanderia Comercial"/>
    <m/>
    <s v="Campo"/>
    <x v="16"/>
    <x v="0"/>
    <m/>
    <m/>
    <m/>
    <m/>
    <n v="42"/>
    <n v="3"/>
  </r>
  <r>
    <n v="20"/>
    <x v="2"/>
    <x v="19"/>
    <s v="Luis Ángel Gutiérrez"/>
    <s v="Moreno Carrascal Javier Enrique"/>
    <s v="Gerente/Titular"/>
    <n v="993442216"/>
    <s v="aquariuslaundryy@gmail.com"/>
    <n v="20603250681"/>
    <m/>
    <s v="Lima"/>
    <s v="San borja"/>
    <s v="Lavanderia Comercial"/>
    <m/>
    <s v="Campo"/>
    <x v="17"/>
    <x v="0"/>
    <m/>
    <m/>
    <m/>
    <m/>
    <n v="42"/>
    <n v="1"/>
  </r>
  <r>
    <n v="21"/>
    <x v="2"/>
    <x v="20"/>
    <s v="Luis Ángel Gutiérrez"/>
    <s v="Mazuelos Monges Carlos Enrique/Selem Ramirez Jessica del Rocio"/>
    <s v="Administración"/>
    <n v="943697381"/>
    <s v="contacto@klix.pe"/>
    <n v="20552429258"/>
    <m/>
    <s v="Lima"/>
    <s v="San borja"/>
    <s v="Lavanderia Comercial"/>
    <m/>
    <s v="Campo"/>
    <x v="18"/>
    <x v="0"/>
    <m/>
    <m/>
    <m/>
    <m/>
    <n v="42"/>
    <n v="1"/>
  </r>
  <r>
    <n v="22"/>
    <x v="2"/>
    <x v="21"/>
    <s v="Luis Ángel Gutiérrez"/>
    <s v="Pareja Mendoza Sonia"/>
    <s v="Gerente"/>
    <s v="941 330 991"/>
    <s v="mariojca17@gmail.com"/>
    <n v="20547359799"/>
    <m/>
    <s v="Lima"/>
    <s v="San borja"/>
    <s v="Lavanderia Comercial"/>
    <m/>
    <s v="Campo"/>
    <x v="19"/>
    <x v="0"/>
    <m/>
    <m/>
    <m/>
    <m/>
    <n v="42"/>
    <n v="9"/>
  </r>
  <r>
    <n v="23"/>
    <x v="2"/>
    <x v="22"/>
    <s v="Luis Ángel Gutiérrez"/>
    <s v="Reich Pinedo Jesus Imelda"/>
    <s v="Gerente"/>
    <n v="2250846"/>
    <s v="alavanderia2021.com@gmail.com"/>
    <n v="20514633151"/>
    <m/>
    <s v="Lima"/>
    <s v="San borja"/>
    <s v="Lavanderia Comercial"/>
    <m/>
    <s v="Campo"/>
    <x v="20"/>
    <x v="0"/>
    <m/>
    <m/>
    <m/>
    <m/>
    <n v="42"/>
    <n v="3"/>
  </r>
  <r>
    <n v="24"/>
    <x v="2"/>
    <x v="23"/>
    <s v="Luis Ángel Gutiérrez"/>
    <s v="Mesias Salazar de Chea Betzabee Dolores"/>
    <s v="Gerente"/>
    <n v="945784187"/>
    <s v="lavanderia.aton@gmail.com"/>
    <n v="20548606412"/>
    <m/>
    <s v="Lima"/>
    <s v="San borja"/>
    <s v="Lavanderia Comercial"/>
    <m/>
    <s v="Campo"/>
    <x v="21"/>
    <x v="0"/>
    <m/>
    <m/>
    <m/>
    <m/>
    <n v="42"/>
    <s v="-"/>
  </r>
  <r>
    <n v="25"/>
    <x v="2"/>
    <x v="24"/>
    <s v="Luis Ángel Gutiérrez"/>
    <s v="Acosta Zarez María Fausts"/>
    <s v="Gerente"/>
    <n v="969321393"/>
    <s v="xxxxxxxxxxxxxxxxxxxxxxxxxx"/>
    <n v="20557432745"/>
    <m/>
    <s v="Lima"/>
    <s v="San borja"/>
    <s v="Lavanderia Comercial"/>
    <m/>
    <s v="Campo"/>
    <x v="22"/>
    <x v="0"/>
    <m/>
    <m/>
    <m/>
    <m/>
    <n v="42"/>
    <n v="3"/>
  </r>
  <r>
    <n v="26"/>
    <x v="2"/>
    <x v="25"/>
    <s v="Luis Ángel Gutiérrez"/>
    <s v="Vega Costa Juan Manuel"/>
    <s v="Gerente"/>
    <s v="2253459/947 296 023"/>
    <s v="clean.surco@yahoo.com"/>
    <n v="20545748861"/>
    <m/>
    <s v="Lima"/>
    <s v="San borja"/>
    <s v="Lavanderia Comercial"/>
    <m/>
    <s v="Campo"/>
    <x v="23"/>
    <x v="0"/>
    <m/>
    <m/>
    <m/>
    <m/>
    <n v="42"/>
    <n v="3"/>
  </r>
  <r>
    <n v="27"/>
    <x v="2"/>
    <x v="26"/>
    <s v="Luis Ángel Gutiérrez"/>
    <s v="Lavado Arroyo Elmer Erick"/>
    <s v="Gerente"/>
    <n v="993574549"/>
    <s v="lavarred@gmail.com"/>
    <n v="20573851031"/>
    <m/>
    <s v="Lima"/>
    <s v="San borja"/>
    <s v="Lavanderia Comercial"/>
    <m/>
    <s v="Campo"/>
    <x v="24"/>
    <x v="0"/>
    <m/>
    <m/>
    <m/>
    <m/>
    <n v="42"/>
    <s v="-"/>
  </r>
  <r>
    <n v="28"/>
    <x v="3"/>
    <x v="27"/>
    <s v="Luis Ángel Gutiérrez"/>
    <s v="IPARRAGUIRRE HONORES YOSELIN VANESA"/>
    <s v="Gerente"/>
    <n v="960644808"/>
    <s v="joseluisneyra@outlook.com"/>
    <n v="20505955014"/>
    <m/>
    <s v="Lima"/>
    <s v="surquillo"/>
    <s v="Lavanderia Comercial"/>
    <m/>
    <s v="Campo"/>
    <x v="25"/>
    <x v="0"/>
    <m/>
    <m/>
    <m/>
    <d v="2025-10-17T00:00:00"/>
    <n v="42"/>
    <m/>
  </r>
  <r>
    <n v="29"/>
    <x v="3"/>
    <x v="28"/>
    <s v="Luis Ángel Gutiérrez"/>
    <s v="PONCE DE LEON MELENDEZ MOISES DAVID"/>
    <s v="Gerente"/>
    <s v="12721911/945 773 289"/>
    <s v="lavatodolavanderias@gmail.com"/>
    <n v="20601983550"/>
    <m/>
    <s v="Lima"/>
    <s v="surquillo"/>
    <s v="Lavanderia Comercial"/>
    <m/>
    <s v="Campo"/>
    <x v="26"/>
    <x v="0"/>
    <m/>
    <m/>
    <m/>
    <d v="2025-10-17T00:00:00"/>
    <n v="42"/>
    <m/>
  </r>
  <r>
    <n v="30"/>
    <x v="3"/>
    <x v="29"/>
    <s v="Luis Ángel Gutiérrez"/>
    <s v="Thalia Verano"/>
    <s v="Gerente"/>
    <n v="987233288"/>
    <m/>
    <n v="20573851031"/>
    <m/>
    <s v="Lima"/>
    <s v="surquillo"/>
    <s v="Lavanderia Comercial"/>
    <m/>
    <s v="Campo"/>
    <x v="27"/>
    <x v="0"/>
    <m/>
    <m/>
    <m/>
    <d v="2025-10-17T00:00:00"/>
    <n v="42"/>
    <m/>
  </r>
  <r>
    <n v="31"/>
    <x v="3"/>
    <x v="30"/>
    <s v="Luis Ángel Gutiérrez"/>
    <s v="Manrique Novoa Gonzalo Alberto"/>
    <s v="Gerente"/>
    <s v="902 558 156"/>
    <s v="servicios.lavagyn@gmail.com"/>
    <n v="20538527000"/>
    <m/>
    <s v="Lima"/>
    <s v="surquillo"/>
    <s v="Lavandería Comercial"/>
    <m/>
    <s v="Campo"/>
    <x v="28"/>
    <x v="0"/>
    <m/>
    <m/>
    <m/>
    <d v="2025-10-16T00:00:00"/>
    <n v="42"/>
    <n v="12"/>
  </r>
  <r>
    <n v="32"/>
    <x v="3"/>
    <x v="31"/>
    <s v="Luis Ángel Gutiérrez"/>
    <s v="RODRIGUEZ TORRES JORGE ERASMO"/>
    <s v="Gerente"/>
    <n v="957598160"/>
    <s v="informes@ecocleangestion.com.pe"/>
    <n v="20602446493"/>
    <m/>
    <s v="Lima"/>
    <s v="surquillo"/>
    <s v="Lavandería Comercial"/>
    <m/>
    <s v="Campo"/>
    <x v="29"/>
    <x v="0"/>
    <m/>
    <m/>
    <m/>
    <d v="2025-10-16T00:00:00"/>
    <n v="42"/>
    <n v="3"/>
  </r>
  <r>
    <n v="33"/>
    <x v="3"/>
    <x v="32"/>
    <s v="Luis Ángel Gutiérrez"/>
    <s v="PONCE SANCHEZ ZAIDA NELLY"/>
    <s v="Gerente"/>
    <s v="955 037 996"/>
    <s v="lavadorita.peru@gmail.com"/>
    <n v="20543890511"/>
    <m/>
    <s v="Lima"/>
    <s v="surquillo"/>
    <s v="Lavandería Comercial"/>
    <m/>
    <s v="Campo"/>
    <x v="30"/>
    <x v="0"/>
    <m/>
    <m/>
    <m/>
    <d v="2025-10-16T00:00:00"/>
    <n v="42"/>
    <s v="."/>
  </r>
  <r>
    <n v="34"/>
    <x v="3"/>
    <x v="33"/>
    <s v="Luis Ángel Gutiérrez"/>
    <s v="MAYORGA ZARATE JUAN MAURICIO"/>
    <s v="Gerente"/>
    <s v="943 335 136"/>
    <s v="_x000a_"/>
    <n v="20490632965"/>
    <m/>
    <s v="Lima"/>
    <s v="surquillo"/>
    <s v="Lavandería Comercial"/>
    <m/>
    <s v="Campo"/>
    <x v="31"/>
    <x v="0"/>
    <m/>
    <m/>
    <m/>
    <d v="2025-10-17T00:00:00"/>
    <n v="42"/>
    <n v="8"/>
  </r>
  <r>
    <n v="35"/>
    <x v="3"/>
    <x v="34"/>
    <s v="Luis Ángel Gutiérrez"/>
    <s v="CIEZA SALDIVAR MAGALI DEL ROCIO"/>
    <s v="Personal"/>
    <m/>
    <s v="."/>
    <n v="20614329794"/>
    <m/>
    <s v="Lima"/>
    <s v="surquillo"/>
    <s v="Lavandería Comercial"/>
    <m/>
    <s v="Campo"/>
    <x v="32"/>
    <x v="0"/>
    <m/>
    <m/>
    <m/>
    <d v="2025-10-17T00:00:00"/>
    <n v="42"/>
    <m/>
  </r>
  <r>
    <n v="36"/>
    <x v="3"/>
    <x v="35"/>
    <s v="Luis Ángel Gutiérrez"/>
    <s v="BRAGA ANGULO PAULO CESAR"/>
    <s v="Personal"/>
    <n v="973486128"/>
    <s v="ecolaund.lavanderias@gmail.com"/>
    <n v="20606705434"/>
    <m/>
    <s v="Lima"/>
    <s v="surquillo"/>
    <s v="Lavandería Comercial"/>
    <m/>
    <s v="Campo"/>
    <x v="33"/>
    <x v="0"/>
    <m/>
    <m/>
    <m/>
    <d v="2025-10-17T00:00:00"/>
    <n v="42"/>
    <m/>
  </r>
  <r>
    <n v="37"/>
    <x v="3"/>
    <x v="36"/>
    <s v="Luis Ángel Gutiérrez"/>
    <s v="Edilberto Kau Rivasplata"/>
    <s v="Gerente"/>
    <n v="987099900"/>
    <s v="lavanderiarivasplata@gmail.com"/>
    <s v="_x000a_10419329032"/>
    <m/>
    <s v="Lima"/>
    <s v="surquillo"/>
    <s v="Lavandería Comercial"/>
    <m/>
    <s v="Campo"/>
    <x v="34"/>
    <x v="0"/>
    <m/>
    <m/>
    <m/>
    <d v="2025-10-17T00:00:00"/>
    <n v="42"/>
    <m/>
  </r>
  <r>
    <n v="38"/>
    <x v="4"/>
    <x v="1"/>
    <s v="Luis Ángel Gutiérrez"/>
    <s v="ALEJO GRADOS PILAR CECILIA"/>
    <s v="Trabajador"/>
    <n v="924997650"/>
    <s v="davidmoreno7353@gmail.com"/>
    <n v="20547728824"/>
    <m/>
    <s v="Lima"/>
    <s v="Lima"/>
    <s v="Otros: Marina/Ejército/Bomberos"/>
    <m/>
    <s v="Campo"/>
    <x v="35"/>
    <x v="1"/>
    <m/>
    <m/>
    <m/>
    <d v="2025-11-01T00:00:00"/>
    <n v="43"/>
    <m/>
  </r>
  <r>
    <n v="39"/>
    <x v="4"/>
    <x v="6"/>
    <s v="Luis Ángel Gutiérrez"/>
    <s v="Yoel Cajo cosanatan"/>
    <s v="hotelero"/>
    <n v="970175949"/>
    <s v="mailto:jcosanatan@gmail.com"/>
    <n v="10774619271"/>
    <m/>
    <s v="Cuzco"/>
    <s v="Cuzco"/>
    <s v="Hotelería"/>
    <m/>
    <s v="Campo"/>
    <x v="36"/>
    <x v="1"/>
    <m/>
    <m/>
    <m/>
    <d v="2025-11-01T00:00:00"/>
    <n v="43"/>
    <m/>
  </r>
  <r>
    <n v="40"/>
    <x v="4"/>
    <x v="12"/>
    <s v="Luis Ángel Gutiérrez"/>
    <s v="Piero Mavila"/>
    <m/>
    <n v="961068366"/>
    <s v="PMMAVILA@OUTLOOK.ES"/>
    <m/>
    <m/>
    <m/>
    <m/>
    <m/>
    <m/>
    <s v="Campo"/>
    <x v="37"/>
    <x v="2"/>
    <m/>
    <m/>
    <m/>
    <m/>
    <n v="43"/>
    <m/>
  </r>
  <r>
    <n v="41"/>
    <x v="4"/>
    <x v="13"/>
    <s v="Luis Ángel Gutiérrez"/>
    <s v="Viviana Leyton Venegas"/>
    <m/>
    <n v="933354736"/>
    <s v="charitoleyton27@gmail.com"/>
    <m/>
    <m/>
    <m/>
    <m/>
    <m/>
    <m/>
    <s v="Campo"/>
    <x v="38"/>
    <x v="0"/>
    <m/>
    <m/>
    <m/>
    <m/>
    <n v="43"/>
    <m/>
  </r>
  <r>
    <n v="42"/>
    <x v="4"/>
    <x v="14"/>
    <s v="Luis Ángel Gutiérrez"/>
    <s v="Elmer Galindo"/>
    <m/>
    <n v="943800284"/>
    <s v="EGALIBDO222@HOTMAIL.COM"/>
    <m/>
    <m/>
    <m/>
    <m/>
    <m/>
    <m/>
    <s v="Campo"/>
    <x v="39"/>
    <x v="0"/>
    <m/>
    <m/>
    <m/>
    <m/>
    <n v="43"/>
    <m/>
  </r>
  <r>
    <n v="43"/>
    <x v="4"/>
    <x v="17"/>
    <s v="Luis Ángel Gutiérrez"/>
    <s v="Eduardo Valera"/>
    <s v="Propietario"/>
    <n v="934207138"/>
    <m/>
    <n v="20521916703"/>
    <m/>
    <s v="Lima"/>
    <s v="San borja"/>
    <s v="Club Adulto Mayor"/>
    <m/>
    <s v="Campo"/>
    <x v="40"/>
    <x v="2"/>
    <m/>
    <m/>
    <m/>
    <m/>
    <n v="43"/>
    <m/>
  </r>
  <r>
    <n v="44"/>
    <x v="4"/>
    <x v="37"/>
    <s v="Luis Ángel Gutiérrez"/>
    <s v="Miranda Castillo Helard Juan"/>
    <s v="Gerente"/>
    <n v="946164816"/>
    <m/>
    <n v="20469472231"/>
    <m/>
    <s v="Lima"/>
    <s v="San borja"/>
    <s v="Lavanderia Comercial"/>
    <m/>
    <s v="Campo"/>
    <x v="41"/>
    <x v="2"/>
    <m/>
    <m/>
    <m/>
    <m/>
    <n v="43"/>
    <m/>
  </r>
  <r>
    <n v="45"/>
    <x v="4"/>
    <x v="19"/>
    <s v="Luis Ángel Gutiérrez"/>
    <s v="Moreno Carrascal Javier Enrique"/>
    <s v="Gerente/Titular"/>
    <n v="993442216"/>
    <s v="aquariuslaundryy@gmail.com"/>
    <n v="20603250681"/>
    <m/>
    <s v="Lima"/>
    <s v="San borja"/>
    <s v="Lavanderia Comercial"/>
    <m/>
    <s v="Campo"/>
    <x v="42"/>
    <x v="2"/>
    <m/>
    <m/>
    <m/>
    <m/>
    <n v="43"/>
    <m/>
  </r>
  <r>
    <n v="46"/>
    <x v="4"/>
    <x v="20"/>
    <s v="Luis Ángel Gutiérrez"/>
    <s v="Mazuelos Monges Carlos Enrique/Selem Ramirez Jessica del Rocio"/>
    <s v="Administración"/>
    <n v="943697381"/>
    <s v="contacto@klix.pe"/>
    <n v="20552429258"/>
    <m/>
    <s v="Lima"/>
    <s v="San borja"/>
    <s v="Lavanderia Comercial"/>
    <m/>
    <s v="Campo"/>
    <x v="43"/>
    <x v="2"/>
    <m/>
    <m/>
    <m/>
    <m/>
    <n v="43"/>
    <m/>
  </r>
  <r>
    <n v="47"/>
    <x v="4"/>
    <x v="21"/>
    <s v="Luis Ángel Gutiérrez"/>
    <s v="Pareja Mendoza Sonia"/>
    <s v="Gerente"/>
    <s v="941 330 991"/>
    <s v="mariojca17@gmail.com"/>
    <n v="20547359799"/>
    <m/>
    <s v="Lima"/>
    <s v="San borja"/>
    <s v="Lavanderia Comercial"/>
    <m/>
    <s v="Campo"/>
    <x v="44"/>
    <x v="2"/>
    <m/>
    <m/>
    <m/>
    <m/>
    <n v="43"/>
    <m/>
  </r>
  <r>
    <n v="48"/>
    <x v="4"/>
    <x v="22"/>
    <s v="Luis Ángel Gutiérrez"/>
    <s v="Reich Pinedo Jesus Imelda"/>
    <s v="Gerente"/>
    <n v="2250846"/>
    <s v="alavanderia2021.com@gmail.com"/>
    <n v="20514633151"/>
    <m/>
    <s v="Lima"/>
    <s v="San borja"/>
    <s v="Lavanderia Comercial"/>
    <m/>
    <s v="Campo"/>
    <x v="45"/>
    <x v="2"/>
    <m/>
    <m/>
    <m/>
    <m/>
    <n v="43"/>
    <m/>
  </r>
  <r>
    <n v="49"/>
    <x v="4"/>
    <x v="38"/>
    <s v="Luis Ángel Gutiérrez"/>
    <s v="Mesias Salazar de Chea Betzabee Dolores"/>
    <s v="Gerente"/>
    <n v="945784187"/>
    <s v="lavanderia.aton@gmail.com"/>
    <n v="20548606412"/>
    <m/>
    <s v="Lima"/>
    <s v="San borja"/>
    <s v="Lavanderia Comercial"/>
    <m/>
    <s v="Campo"/>
    <x v="46"/>
    <x v="2"/>
    <m/>
    <m/>
    <m/>
    <m/>
    <n v="43"/>
    <m/>
  </r>
  <r>
    <n v="50"/>
    <x v="4"/>
    <x v="39"/>
    <s v="Luis Ángel Gutiérrez"/>
    <s v="Acosta Zarez María Fausts"/>
    <s v="Gerente"/>
    <n v="969321393"/>
    <s v="xxxxxxxxxxxxxxxxxxxxxxxxxx"/>
    <n v="20557432745"/>
    <m/>
    <s v="Lima"/>
    <s v="San borja"/>
    <s v="Lavanderia Comercial"/>
    <m/>
    <s v="Campo"/>
    <x v="46"/>
    <x v="2"/>
    <m/>
    <m/>
    <m/>
    <m/>
    <n v="43"/>
    <m/>
  </r>
  <r>
    <n v="51"/>
    <x v="4"/>
    <x v="25"/>
    <s v="Luis Ángel Gutiérrez"/>
    <s v="Vega Costa Juan Manuel"/>
    <s v="Gerente"/>
    <s v="2253459/947 296 023"/>
    <s v="clean.surco@yahoo.com"/>
    <n v="20545748861"/>
    <m/>
    <s v="Lima"/>
    <s v="San borja"/>
    <s v="Lavanderia Comercial"/>
    <m/>
    <s v="Campo"/>
    <x v="47"/>
    <x v="2"/>
    <m/>
    <m/>
    <m/>
    <m/>
    <n v="43"/>
    <m/>
  </r>
  <r>
    <n v="52"/>
    <x v="4"/>
    <x v="26"/>
    <s v="Luis Ángel Gutiérrez"/>
    <s v="Lavado Arroyo Elmer Erick"/>
    <s v="Gerente"/>
    <n v="993574549"/>
    <s v="lavarred@gmail.com"/>
    <n v="20573851031"/>
    <m/>
    <s v="Lima"/>
    <s v="San borja"/>
    <s v="Lavanderia Comercial"/>
    <m/>
    <s v="Campo"/>
    <x v="47"/>
    <x v="2"/>
    <m/>
    <m/>
    <m/>
    <m/>
    <n v="43"/>
    <m/>
  </r>
  <r>
    <n v="53"/>
    <x v="4"/>
    <x v="16"/>
    <s v="Luis Ángel Gutiérrez"/>
    <s v="Kuwae Higa Dorys Beatriz"/>
    <s v="Gerente"/>
    <n v="947970444"/>
    <s v="lavanderiacityplus.com"/>
    <n v="20101980112"/>
    <m/>
    <s v="Lima"/>
    <s v="San borja"/>
    <s v="Lavanderia Comercial"/>
    <m/>
    <s v="Campo"/>
    <x v="48"/>
    <x v="2"/>
    <m/>
    <m/>
    <m/>
    <m/>
    <n v="43"/>
    <m/>
  </r>
  <r>
    <n v="54"/>
    <x v="4"/>
    <x v="27"/>
    <s v="Luis Ángel Gutiérrez"/>
    <s v="IPARRAGUIRRE HONORES YOSELIN VANESA"/>
    <s v="Gerente"/>
    <n v="960644808"/>
    <s v="joseluisneyra@outlook.com"/>
    <n v="20505955014"/>
    <m/>
    <s v="Lima"/>
    <s v="surquillo"/>
    <s v="Lavanderia Comercial"/>
    <m/>
    <s v="Campo"/>
    <x v="49"/>
    <x v="2"/>
    <m/>
    <m/>
    <m/>
    <m/>
    <n v="43"/>
    <m/>
  </r>
  <r>
    <n v="55"/>
    <x v="4"/>
    <x v="28"/>
    <s v="Luis Ángel Gutiérrez"/>
    <s v="PONCE DE LEON MELENDEZ MOISES DAVID"/>
    <s v="Gerente"/>
    <s v="12721911/945 773 289"/>
    <s v="lavatodolavanderias@gmail.com"/>
    <n v="20601983550"/>
    <m/>
    <s v="Lima"/>
    <s v="surquillo"/>
    <s v="Lavanderia Comercial"/>
    <m/>
    <s v="Campo"/>
    <x v="50"/>
    <x v="2"/>
    <m/>
    <m/>
    <m/>
    <m/>
    <n v="43"/>
    <m/>
  </r>
  <r>
    <n v="56"/>
    <x v="4"/>
    <x v="29"/>
    <s v="Luis Ángel Gutiérrez"/>
    <s v="Thalia Verano"/>
    <s v="Gerente"/>
    <n v="987233288"/>
    <m/>
    <n v="20573851031"/>
    <m/>
    <s v="Lima"/>
    <s v="surquillo"/>
    <s v="Lavanderia Comercial"/>
    <m/>
    <s v="Campo"/>
    <x v="51"/>
    <x v="2"/>
    <m/>
    <m/>
    <m/>
    <m/>
    <n v="43"/>
    <m/>
  </r>
  <r>
    <n v="57"/>
    <x v="4"/>
    <x v="30"/>
    <s v="Luis Ángel Gutiérrez"/>
    <s v="Manrique Novoa Gonzalo Alberto"/>
    <s v="Gerente"/>
    <s v="902 558 156"/>
    <s v="servicios.lavagyn@gmail.com"/>
    <n v="20538527000"/>
    <m/>
    <s v="Lima"/>
    <s v="surquillo"/>
    <s v="Lavandería Comercial"/>
    <m/>
    <s v="Campo"/>
    <x v="51"/>
    <x v="2"/>
    <m/>
    <m/>
    <m/>
    <m/>
    <n v="43"/>
    <m/>
  </r>
  <r>
    <n v="58"/>
    <x v="4"/>
    <x v="31"/>
    <s v="Luis Ángel Gutiérrez"/>
    <s v="RODRIGUEZ TORRES JORGE ERASMO"/>
    <s v="Gerente"/>
    <n v="957598160"/>
    <s v="informes@ecocleangestion.com.pe"/>
    <n v="20602446493"/>
    <m/>
    <s v="Lima"/>
    <s v="surquillo"/>
    <s v="Lavandería Comercial"/>
    <m/>
    <s v="Campo"/>
    <x v="52"/>
    <x v="2"/>
    <m/>
    <m/>
    <m/>
    <m/>
    <n v="43"/>
    <m/>
  </r>
  <r>
    <n v="59"/>
    <x v="4"/>
    <x v="32"/>
    <s v="Luis Ángel Gutiérrez"/>
    <s v="PONCE SANCHEZ ZAIDA NELLY"/>
    <s v="Gerente"/>
    <s v="955 037 996"/>
    <s v="lavadorita.peru@gmail.com"/>
    <n v="20543890511"/>
    <m/>
    <s v="Lima"/>
    <s v="surquillo"/>
    <s v="Lavandería Comercial"/>
    <m/>
    <s v="Campo"/>
    <x v="53"/>
    <x v="2"/>
    <m/>
    <m/>
    <m/>
    <m/>
    <n v="43"/>
    <m/>
  </r>
  <r>
    <n v="60"/>
    <x v="4"/>
    <x v="33"/>
    <s v="Luis Ángel Gutiérrez"/>
    <s v="MAYORGA ZARATE JUAN MAURICIO"/>
    <s v="Gerente"/>
    <s v="943 335 136"/>
    <m/>
    <n v="20490632965"/>
    <m/>
    <s v="Lima"/>
    <s v="surquillo"/>
    <s v="Lavandería Comercial"/>
    <m/>
    <s v="Campo"/>
    <x v="54"/>
    <x v="2"/>
    <m/>
    <m/>
    <m/>
    <m/>
    <n v="43"/>
    <m/>
  </r>
  <r>
    <n v="61"/>
    <x v="4"/>
    <x v="35"/>
    <s v="Luis Ángel Gutiérrez"/>
    <s v="BRAGA ANGULO PAULO CESAR"/>
    <s v="Personal"/>
    <n v="973486128"/>
    <s v="ecolaund.lavanderias@gmail.com"/>
    <n v="20606705434"/>
    <m/>
    <s v="Lima"/>
    <s v="surquillo"/>
    <s v="Lavandería Comercial"/>
    <m/>
    <s v="Campo"/>
    <x v="55"/>
    <x v="2"/>
    <m/>
    <m/>
    <m/>
    <m/>
    <n v="43"/>
    <m/>
  </r>
  <r>
    <n v="62"/>
    <x v="4"/>
    <x v="40"/>
    <s v="Luis Ángel Gutiérrez"/>
    <m/>
    <s v="Gerente"/>
    <n v="904811109"/>
    <s v="https://www.facebook.com/nomebusquesmeencontraste/"/>
    <s v="."/>
    <m/>
    <s v="Lima"/>
    <s v="Surco"/>
    <s v="Lavanderia Comercial"/>
    <m/>
    <s v="Campo"/>
    <x v="56"/>
    <x v="2"/>
    <m/>
    <m/>
    <m/>
    <m/>
    <n v="43"/>
    <n v="1"/>
  </r>
  <r>
    <n v="63"/>
    <x v="4"/>
    <x v="41"/>
    <s v="Luis Ángel Gutiérrez"/>
    <m/>
    <s v="Gerente"/>
    <n v="978142785"/>
    <m/>
    <m/>
    <m/>
    <s v="Lima"/>
    <s v="Surco"/>
    <s v="Lavanderia Comercial"/>
    <m/>
    <s v="Campo"/>
    <x v="57"/>
    <x v="2"/>
    <m/>
    <m/>
    <m/>
    <m/>
    <n v="43"/>
    <n v="1"/>
  </r>
  <r>
    <n v="64"/>
    <x v="4"/>
    <x v="42"/>
    <s v="Luis Ángel Gutiérrez"/>
    <s v="AYVAR VALLEJO ELIANA NISKAR"/>
    <s v="Gerente"/>
    <n v="931226096"/>
    <s v="Elizabethroblesprado842@gmail.com"/>
    <n v="20522693694"/>
    <m/>
    <s v="Lima"/>
    <s v="Surco"/>
    <s v="Lavanderia Comercial"/>
    <m/>
    <s v="Campo"/>
    <x v="58"/>
    <x v="2"/>
    <m/>
    <m/>
    <m/>
    <m/>
    <n v="43"/>
    <n v="3"/>
  </r>
  <r>
    <n v="65"/>
    <x v="4"/>
    <x v="43"/>
    <s v="Luis Ángel Gutiérrez"/>
    <s v="RODRIGUEZ MADERA JOSE LUIS"/>
    <s v="Gerente"/>
    <s v="933 362 582"/>
    <s v="instagram.com/lavanderialavalux_"/>
    <n v="20604456666"/>
    <m/>
    <s v="Lima"/>
    <s v="Surco"/>
    <s v="Lavanderia Comercial"/>
    <m/>
    <s v="Campo"/>
    <x v="59"/>
    <x v="2"/>
    <m/>
    <m/>
    <m/>
    <m/>
    <n v="43"/>
    <n v="1"/>
  </r>
  <r>
    <n v="66"/>
    <x v="4"/>
    <x v="44"/>
    <s v="Luis Ángel Gutiérrez"/>
    <s v="BOULOS DE MUFARECH TERESA"/>
    <s v="Gerente"/>
    <n v="917788584"/>
    <s v="drycleanersperu@gmail.com"/>
    <n v="20101027156"/>
    <m/>
    <s v="Lima"/>
    <s v="Surco"/>
    <s v="Lavanderia Comercial"/>
    <m/>
    <s v="Campo"/>
    <x v="60"/>
    <x v="2"/>
    <m/>
    <m/>
    <m/>
    <m/>
    <n v="43"/>
    <n v="1"/>
  </r>
  <r>
    <n v="67"/>
    <x v="4"/>
    <x v="45"/>
    <s v="Luis Ángel Gutiérrez"/>
    <s v="DIAZ HORNA JHEN BLADIMIR"/>
    <s v="Gerente"/>
    <s v="956 723 114"/>
    <s v="atencionalcliente@puntoblanco.pe"/>
    <n v="20614049775"/>
    <m/>
    <s v="Lima"/>
    <s v="Surco"/>
    <s v="Lavanderia Comercial"/>
    <m/>
    <s v="Campo"/>
    <x v="61"/>
    <x v="2"/>
    <m/>
    <m/>
    <m/>
    <m/>
    <n v="43"/>
    <m/>
  </r>
  <r>
    <n v="68"/>
    <x v="4"/>
    <x v="46"/>
    <s v="Luis Ángel Gutiérrez"/>
    <s v="MOSSONI FESTA NICOLA"/>
    <s v="Gerente"/>
    <n v="993522135"/>
    <s v="style.clean101@gmail.com"/>
    <n v="20552651783"/>
    <m/>
    <s v="Lima"/>
    <s v="Surco"/>
    <s v="Lavanderia Comercial"/>
    <m/>
    <s v="Campo"/>
    <x v="62"/>
    <x v="2"/>
    <m/>
    <m/>
    <m/>
    <m/>
    <n v="43"/>
    <n v="8"/>
  </r>
  <r>
    <n v="69"/>
    <x v="4"/>
    <x v="47"/>
    <s v="Luis Ángel Gutiérrez"/>
    <s v="TOKUMOTO GUIBU MIGUEL"/>
    <s v="Gerente"/>
    <s v="998 169 085"/>
    <s v="....."/>
    <n v="20306514726"/>
    <m/>
    <s v="Lima"/>
    <s v="Surco"/>
    <s v="Lavanderia Comercial"/>
    <m/>
    <s v="Campo"/>
    <x v="63"/>
    <x v="2"/>
    <m/>
    <m/>
    <m/>
    <m/>
    <n v="43"/>
    <m/>
  </r>
  <r>
    <n v="70"/>
    <x v="4"/>
    <x v="48"/>
    <s v="Luis Ángel Gutiérrez"/>
    <s v="AYVAR CEVALLOS DANTE ELIAS"/>
    <s v="Gerente"/>
    <n v="958669848"/>
    <s v="info@lavatec.com"/>
    <n v="20335862130"/>
    <m/>
    <s v="Lima"/>
    <s v="Surco"/>
    <s v="Lavanderia Comercial"/>
    <m/>
    <s v="Campo"/>
    <x v="63"/>
    <x v="2"/>
    <m/>
    <m/>
    <m/>
    <m/>
    <n v="43"/>
    <m/>
  </r>
  <r>
    <n v="71"/>
    <x v="4"/>
    <x v="49"/>
    <s v="Luis Ángel Gutiérrez"/>
    <s v="VASQUEZ VERA DE GIBU IRIS MARISOL"/>
    <s v="Gerente"/>
    <n v="977965858"/>
    <s v="https://www.instagram.com/olimpialaundry/?hl=es"/>
    <n v="20503886031"/>
    <m/>
    <s v="Lima"/>
    <s v="Surco"/>
    <s v="Lavanderia Comercial"/>
    <m/>
    <s v="Campo"/>
    <x v="64"/>
    <x v="2"/>
    <m/>
    <m/>
    <m/>
    <m/>
    <n v="43"/>
    <m/>
  </r>
  <r>
    <n v="72"/>
    <x v="4"/>
    <x v="50"/>
    <s v="Luis Ángel Gutiérrez"/>
    <s v="CARRION DEL SOLAR ANDRES FELIPE/DRAGO MATURO MIGUEL MARIO"/>
    <s v="Gerente"/>
    <s v="981 136 452"/>
    <s v="delivery@lavaquick.com"/>
    <n v="20106753751"/>
    <m/>
    <s v="Lima"/>
    <s v="surquillo"/>
    <s v="Lavanderia Comercial"/>
    <m/>
    <s v="Teléfono"/>
    <x v="65"/>
    <x v="2"/>
    <m/>
    <m/>
    <m/>
    <m/>
    <n v="43"/>
    <n v="187"/>
  </r>
  <r>
    <n v="73"/>
    <x v="5"/>
    <x v="51"/>
    <s v="Recuperando datos. Espere unos segundos e intente cortar o copiar de nuevo."/>
    <s v="Li Chu Miguel Angel"/>
    <s v="Gerente"/>
    <s v="(01) 2243563"/>
    <s v="......................................................"/>
    <s v="20380807255_x000a__x000a_"/>
    <m/>
    <s v="Lima"/>
    <s v="San borja"/>
    <s v="Hotelería"/>
    <m/>
    <s v="Campo"/>
    <x v="66"/>
    <x v="2"/>
    <m/>
    <m/>
    <m/>
    <m/>
    <n v="43"/>
    <n v="2"/>
  </r>
  <r>
    <n v="74"/>
    <x v="5"/>
    <x v="52"/>
    <s v="Luis Ángel Gutiérrez"/>
    <m/>
    <s v="Gerente"/>
    <s v="956 677 820"/>
    <m/>
    <n v="10096555097"/>
    <m/>
    <s v="Lima"/>
    <s v="San borja"/>
    <s v="Lavandería Comercial"/>
    <m/>
    <s v="Campo"/>
    <x v="67"/>
    <x v="2"/>
    <m/>
    <m/>
    <m/>
    <m/>
    <n v="44"/>
    <n v="1"/>
  </r>
  <r>
    <n v="75"/>
    <x v="5"/>
    <x v="53"/>
    <s v="Luis Ángel Gutiérrez Gómez"/>
    <s v="Pomasoncco Quispe Kyle Yasmin"/>
    <s v="Gerente"/>
    <n v="933571245"/>
    <s v="lavanderiajys.iqt@gmail.com"/>
    <s v="_x000a_20612603171"/>
    <m/>
    <s v="Lima"/>
    <s v="Canada"/>
    <s v="Lavandería Comercial"/>
    <m/>
    <s v="Campo"/>
    <x v="68"/>
    <x v="2"/>
    <m/>
    <m/>
    <m/>
    <m/>
    <n v="44"/>
    <s v="No existe"/>
  </r>
  <r>
    <n v="76"/>
    <x v="5"/>
    <x v="54"/>
    <s v="Luis Ángel Gutiérrez Gómez"/>
    <s v="Jorge Rosales"/>
    <s v="Gerente"/>
    <n v="989277383"/>
    <s v="......................................................"/>
    <s v="No encontré "/>
    <m/>
    <s v="Lima"/>
    <s v="Canada"/>
    <s v="Lavandería Comercial"/>
    <m/>
    <s v="Campo"/>
    <x v="69"/>
    <x v="2"/>
    <m/>
    <m/>
    <m/>
    <m/>
    <n v="44"/>
    <n v="4"/>
  </r>
  <r>
    <n v="77"/>
    <x v="5"/>
    <x v="55"/>
    <s v="Luis Ángel Gutiérrez Gómez"/>
    <m/>
    <s v="Gerente"/>
    <n v="991574766"/>
    <s v="..............................................."/>
    <n v="20603582552"/>
    <m/>
    <s v="Lima"/>
    <s v="Canada"/>
    <s v="Lavandería Comercial"/>
    <m/>
    <s v="Campo"/>
    <x v="70"/>
    <x v="3"/>
    <m/>
    <m/>
    <m/>
    <m/>
    <n v="44"/>
    <n v="2"/>
  </r>
  <r>
    <n v="78"/>
    <x v="5"/>
    <x v="56"/>
    <s v="Luis Ángel Gutiérrez Gómez"/>
    <s v="_x0009_Crisostomo Pañera Yydalia Nelita"/>
    <s v="Gerente"/>
    <s v="........................"/>
    <s v="......................................................"/>
    <n v="20555003120"/>
    <m/>
    <s v="Lima"/>
    <s v="Canada"/>
    <s v="Lavandería Comercial"/>
    <m/>
    <s v="Campo"/>
    <x v="71"/>
    <x v="2"/>
    <m/>
    <m/>
    <m/>
    <m/>
    <n v="44"/>
    <s v="No hay información"/>
  </r>
  <r>
    <n v="79"/>
    <x v="5"/>
    <x v="43"/>
    <s v="Luis Ángel Gutiérrez Gómez"/>
    <s v="Rodriguez Madera José Luis"/>
    <s v="Gerente"/>
    <n v="913474275"/>
    <s v="_x000a_instagram.com/lavanderialavalux_"/>
    <n v="20604456666"/>
    <m/>
    <s v="Lima"/>
    <s v="Canada"/>
    <s v="Lavandería Comercial"/>
    <m/>
    <s v="Campo"/>
    <x v="72"/>
    <x v="2"/>
    <m/>
    <m/>
    <m/>
    <m/>
    <n v="44"/>
    <s v="No hay información"/>
  </r>
  <r>
    <n v="80"/>
    <x v="5"/>
    <x v="57"/>
    <s v="Luis Ángel Gutiérrez Gómez"/>
    <s v="_x0009_Canales Motta Lizardo"/>
    <s v="Gerente"/>
    <s v="929 751 557"/>
    <s v="............................................."/>
    <n v="20610356100"/>
    <m/>
    <s v="Lima"/>
    <s v="Canada"/>
    <s v="Hotelería"/>
    <m/>
    <s v="Campo"/>
    <x v="73"/>
    <x v="2"/>
    <m/>
    <m/>
    <m/>
    <m/>
    <n v="44"/>
    <n v="3"/>
  </r>
  <r>
    <n v="81"/>
    <x v="5"/>
    <x v="58"/>
    <s v="Luis Ángel Gutiérrez Gómez"/>
    <s v="Echegaray Cuba de Gamarra Elizabeth"/>
    <s v="Gerente"/>
    <s v="(01) 3460119"/>
    <s v="hospedajelavidena@hotmail.com"/>
    <n v="20516019396"/>
    <m/>
    <s v="Lima"/>
    <s v="Canada"/>
    <s v="Hotelería"/>
    <m/>
    <s v="Campo"/>
    <x v="74"/>
    <x v="2"/>
    <m/>
    <m/>
    <m/>
    <m/>
    <n v="44"/>
    <n v="3"/>
  </r>
  <r>
    <n v="82"/>
    <x v="6"/>
    <x v="59"/>
    <s v="Luis Ángel Gutiérrez Gómez"/>
    <s v="LI CHU ALEX HONORIO"/>
    <s v="Gerente"/>
    <s v="(01) 3081668/936828461"/>
    <m/>
    <n v="20380790697"/>
    <m/>
    <s v="Lima"/>
    <s v="Aviación"/>
    <s v="Hotelería"/>
    <m/>
    <s v="Campo"/>
    <x v="75"/>
    <x v="2"/>
    <m/>
    <m/>
    <m/>
    <m/>
    <n v="44"/>
    <n v="4"/>
  </r>
  <r>
    <n v="83"/>
    <x v="6"/>
    <x v="60"/>
    <s v="Luis Ángel Gutiérrez Gómez"/>
    <s v="_x0009_Auris Marca Teodorico"/>
    <s v="Gerente"/>
    <n v="936145836"/>
    <s v=" reservas@hotelnova.com/ pamimasac@gmail.com"/>
    <n v="20503369649"/>
    <m/>
    <s v="Lima"/>
    <s v="Aviación"/>
    <s v="Hotelería"/>
    <m/>
    <s v="Campo"/>
    <x v="76"/>
    <x v="2"/>
    <m/>
    <m/>
    <m/>
    <m/>
    <n v="44"/>
    <n v="5"/>
  </r>
  <r>
    <n v="84"/>
    <x v="6"/>
    <x v="61"/>
    <s v="Luis Ángel Gutiérrez Gómez"/>
    <s v="_x0009_Medina Miranda Daniel Franklin"/>
    <s v="Gerente"/>
    <n v="905442227"/>
    <s v="........................................................."/>
    <n v="20526890401"/>
    <m/>
    <s v="Lima"/>
    <s v="Aviación"/>
    <s v="Hotelería"/>
    <m/>
    <s v="Campo"/>
    <x v="77"/>
    <x v="2"/>
    <m/>
    <m/>
    <m/>
    <m/>
    <n v="44"/>
    <n v="4"/>
  </r>
  <r>
    <n v="85"/>
    <x v="6"/>
    <x v="62"/>
    <s v="Luis Ángel Gutiérrez Gómez"/>
    <s v="_x0009_Cconcha Leon Sixto"/>
    <s v="Gerente"/>
    <s v="1 2231925"/>
    <s v="......................................................."/>
    <n v="20393721007"/>
    <m/>
    <s v="Lima"/>
    <s v="Aviacion"/>
    <s v="Hotelería"/>
    <m/>
    <s v="Campo"/>
    <x v="78"/>
    <x v="2"/>
    <m/>
    <m/>
    <m/>
    <m/>
    <n v="44"/>
    <n v="3"/>
  </r>
  <r>
    <n v="86"/>
    <x v="6"/>
    <x v="63"/>
    <s v="Luis Ángel Gutiérrez Gómez"/>
    <s v="....."/>
    <s v="......"/>
    <n v="960632429"/>
    <s v="................................"/>
    <s v=".............."/>
    <m/>
    <s v="Lima"/>
    <s v="Aviación"/>
    <s v="Lavandería Comercial"/>
    <m/>
    <s v="Campo"/>
    <x v="79"/>
    <x v="2"/>
    <m/>
    <m/>
    <m/>
    <m/>
    <n v="44"/>
    <m/>
  </r>
  <r>
    <n v="87"/>
    <x v="6"/>
    <x v="64"/>
    <s v="Luis Ángel Gutiérrez Gómez"/>
    <s v="Boullosa Chavez Kevin"/>
    <s v="Gerente"/>
    <s v="942432101/957347260"/>
    <s v=".................................."/>
    <n v="20612883018"/>
    <m/>
    <s v="Lima"/>
    <s v="Aviación"/>
    <s v="Lavanderia Comercial"/>
    <m/>
    <s v="Campo"/>
    <x v="80"/>
    <x v="2"/>
    <m/>
    <m/>
    <m/>
    <m/>
    <n v="44"/>
    <n v="4"/>
  </r>
  <r>
    <n v="88"/>
    <x v="6"/>
    <x v="65"/>
    <s v="Luis Ángel Gutiérrez Gómez"/>
    <s v="Empleado"/>
    <s v="........."/>
    <s v="940 294 802"/>
    <s v=".........................................."/>
    <s v=".............."/>
    <s v="_x000a_instagram.com/lavaphilp"/>
    <s v="Lima"/>
    <s v="Aviación"/>
    <s v="Lavanderia Comercial"/>
    <m/>
    <s v="Campo"/>
    <x v="81"/>
    <x v="2"/>
    <m/>
    <m/>
    <m/>
    <m/>
    <n v="44"/>
    <m/>
  </r>
  <r>
    <n v="89"/>
    <x v="6"/>
    <x v="66"/>
    <s v="Luis Ángel Gutiérrez Gómez"/>
    <s v="Xu Wanyi/Chi Hen Yuen/Yang Haizhao"/>
    <s v="Gerentes"/>
    <n v="923824797"/>
    <s v="......................................."/>
    <n v="20521909081"/>
    <m/>
    <s v="Lima"/>
    <s v="Aviación"/>
    <s v="Hotelería"/>
    <m/>
    <s v="Campo"/>
    <x v="82"/>
    <x v="2"/>
    <m/>
    <m/>
    <m/>
    <m/>
    <n v="44"/>
    <n v="5"/>
  </r>
  <r>
    <n v="90"/>
    <x v="6"/>
    <x v="67"/>
    <s v="Luis Ángel Gutiérrez Gómez"/>
    <s v="Florez Loo de Li Magaly Vanessa"/>
    <s v="Gerente"/>
    <s v="(01) 7131721"/>
    <s v="hotelasiatika.com"/>
    <n v="20603682271"/>
    <s v="https://www.facebook.com/p/Asiatika-Hotel-100057112253649/?locale=es_LA"/>
    <s v="Lima"/>
    <s v="Aviación"/>
    <s v="Hotelería"/>
    <m/>
    <s v="Campo"/>
    <x v="83"/>
    <x v="2"/>
    <m/>
    <m/>
    <m/>
    <m/>
    <n v="44"/>
    <n v="9"/>
  </r>
  <r>
    <n v="91"/>
    <x v="6"/>
    <x v="68"/>
    <s v="Luis Ángel Gutiérrez Gómez"/>
    <s v="_x0009_Acevedo Portillo Gruyer Ubaldo"/>
    <s v="Gerente"/>
    <s v="01 2720045"/>
    <s v="hostal.blois@gmail.com"/>
    <n v="20522371221"/>
    <m/>
    <s v="Lima"/>
    <s v="Aviación"/>
    <s v="Hotelería"/>
    <m/>
    <s v="Campo"/>
    <x v="84"/>
    <x v="2"/>
    <m/>
    <m/>
    <m/>
    <m/>
    <n v="44"/>
    <n v="4"/>
  </r>
  <r>
    <n v="92"/>
    <x v="6"/>
    <x v="69"/>
    <s v="Luis Ángel Gutiérrez Gómez"/>
    <s v="Espinoza Chavez Solange"/>
    <s v="Dueña de restaurante"/>
    <n v="920172148"/>
    <s v="espinozacsolange30@gmail.com"/>
    <n v="72344467"/>
    <s v="https://www.linkedin.com/in/solange-espinoza-chavez-192426356/?originalSubdomain=pe"/>
    <s v="Lima"/>
    <s v="Callao"/>
    <s v="Restaurante/Café"/>
    <m/>
    <s v="Teléfono"/>
    <x v="85"/>
    <x v="0"/>
    <m/>
    <m/>
    <m/>
    <m/>
    <n v="44"/>
    <m/>
  </r>
  <r>
    <n v="93"/>
    <x v="6"/>
    <x v="70"/>
    <s v="Luis Ángel Gutiérrez Gómez"/>
    <s v="Armando Alexis Diego"/>
    <s v="Veterinario/Dueño"/>
    <n v="930812622"/>
    <s v="adaas_19@hotmail.com"/>
    <n v="42889736"/>
    <s v="https://www.linkedin.com/in/alexis-diego-armando-araujo-sanchez-21a606125/?originalSubdomain=pe"/>
    <s v="Chiclayo"/>
    <s v="Chiclayo"/>
    <s v="Salud"/>
    <m/>
    <s v="Teléfono"/>
    <x v="86"/>
    <x v="0"/>
    <m/>
    <m/>
    <m/>
    <m/>
    <n v="44"/>
    <m/>
  </r>
  <r>
    <n v="94"/>
    <x v="6"/>
    <x v="71"/>
    <s v="Luis Ángel Gutiérrez Gómez"/>
    <s v="Hubner Salas Arturo Moises"/>
    <s v="Gerente"/>
    <s v="956 677 820"/>
    <s v="info@sagitasa.com.pe"/>
    <n v="20341509239"/>
    <s v="https://sagitasa.com.pe/"/>
    <s v="Lima"/>
    <s v="Calllao"/>
    <s v="Lavandería Industrial"/>
    <m/>
    <s v="Teléfono"/>
    <x v="87"/>
    <x v="2"/>
    <m/>
    <m/>
    <m/>
    <m/>
    <n v="44"/>
    <n v="11"/>
  </r>
  <r>
    <n v="95"/>
    <x v="6"/>
    <x v="6"/>
    <s v="Luis Àngel Gutièrrez Gòmez"/>
    <s v="Yoel Cajo Cosanatan"/>
    <s v="Dueño"/>
    <s v="970 175 949"/>
    <s v="mailto:jcosanatan@gmail.com"/>
    <n v="10774619271"/>
    <m/>
    <s v="Cuzco"/>
    <s v="Cuzco"/>
    <s v="Hotelería"/>
    <m/>
    <s v="Teléfono"/>
    <x v="88"/>
    <x v="4"/>
    <m/>
    <m/>
    <m/>
    <m/>
    <n v="44"/>
    <n v="3"/>
  </r>
  <r>
    <n v="96"/>
    <x v="6"/>
    <x v="1"/>
    <s v="Luis Ángel Gutiérrez Gómez"/>
    <s v="ALEJO GRADOS PILAR CECILIA"/>
    <s v="Trabajador"/>
    <n v="924997650"/>
    <s v="davidmoreno7353@gmail.com"/>
    <n v="20547728824"/>
    <m/>
    <s v="Lima"/>
    <s v="Lima"/>
    <s v="Otros: Marina/Ejército/Bomberos"/>
    <m/>
    <s v="Web"/>
    <x v="89"/>
    <x v="5"/>
    <m/>
    <m/>
    <m/>
    <m/>
    <n v="44"/>
    <m/>
  </r>
  <r>
    <n v="97"/>
    <x v="6"/>
    <x v="55"/>
    <s v="Luis Ángel Gutiérrez Gómez"/>
    <m/>
    <s v="Gerente"/>
    <n v="991574766"/>
    <s v="..............................................."/>
    <n v="20603582552"/>
    <m/>
    <s v="Lima"/>
    <s v="Canada"/>
    <s v="Lavandería Comercial"/>
    <m/>
    <s v="Teléfono"/>
    <x v="90"/>
    <x v="2"/>
    <m/>
    <m/>
    <m/>
    <m/>
    <n v="44"/>
    <m/>
  </r>
  <r>
    <n v="98"/>
    <x v="6"/>
    <x v="6"/>
    <s v="Luis Àngel Gutièrrez Gòmez"/>
    <s v="Yoel Cajo Cosanatan"/>
    <s v="Dueño"/>
    <s v="970 175 949"/>
    <s v="mailto:jcosanatan@gmail.com"/>
    <n v="10774619271"/>
    <m/>
    <s v="Cuzco"/>
    <s v="Cuzco"/>
    <s v="Hotelería"/>
    <m/>
    <s v="Teléfono"/>
    <x v="91"/>
    <x v="2"/>
    <m/>
    <m/>
    <m/>
    <m/>
    <n v="44"/>
    <m/>
  </r>
  <r>
    <n v="99"/>
    <x v="6"/>
    <x v="53"/>
    <s v="Luis Ángel Gutiérrez Gómez"/>
    <s v="Pomasoncco Quispe Kyle Yasmin"/>
    <s v="Gerente"/>
    <n v="933571245"/>
    <s v="lavanderiajys.iqt@gmail.com"/>
    <s v="_x000a_20612603171"/>
    <m/>
    <s v="Lima"/>
    <s v="Canada"/>
    <s v="Lavandería Comercial"/>
    <m/>
    <s v="Teléfono"/>
    <x v="92"/>
    <x v="2"/>
    <m/>
    <m/>
    <m/>
    <m/>
    <n v="44"/>
    <m/>
  </r>
  <r>
    <n v="100"/>
    <x v="6"/>
    <x v="72"/>
    <s v="Luis Ángel Gutiérrez Gómez"/>
    <s v="Rodriguez Madera José Luis"/>
    <s v="Gerente"/>
    <n v="913474275"/>
    <s v="_x000a_instagram.com/lavanderialavalux_"/>
    <n v="20604456666"/>
    <m/>
    <s v="Lima"/>
    <s v="Canada"/>
    <s v="Lavandería Comercial"/>
    <m/>
    <s v="Teléfono"/>
    <x v="93"/>
    <x v="2"/>
    <m/>
    <m/>
    <m/>
    <m/>
    <n v="44"/>
    <n v="3"/>
  </r>
  <r>
    <n v="101"/>
    <x v="6"/>
    <x v="57"/>
    <s v="Luis Ángel Gutiérrez Gómez"/>
    <s v="_x0009_Canales Motta Lizardo"/>
    <s v="Gerente"/>
    <s v="929 751 557"/>
    <s v="............................................."/>
    <n v="20610356100"/>
    <m/>
    <s v="Lima"/>
    <s v="Canada"/>
    <s v="Hotelería"/>
    <m/>
    <s v="Teléfono"/>
    <x v="94"/>
    <x v="2"/>
    <m/>
    <m/>
    <m/>
    <m/>
    <n v="44"/>
    <m/>
  </r>
  <r>
    <n v="102"/>
    <x v="6"/>
    <x v="45"/>
    <s v="Luis Ángel Gutiérrez"/>
    <s v="DIAZ HORNA JHEN BLADIMIR"/>
    <s v="Gerente"/>
    <s v="956 723 114"/>
    <s v="atencionalcliente@puntoblanco.pe"/>
    <n v="20614049775"/>
    <m/>
    <s v="Lima"/>
    <s v="Surco"/>
    <s v="Lavanderia Comercial"/>
    <m/>
    <s v="Teléfono"/>
    <x v="95"/>
    <x v="2"/>
    <m/>
    <m/>
    <m/>
    <m/>
    <n v="44"/>
    <n v="3"/>
  </r>
  <r>
    <n v="103"/>
    <x v="6"/>
    <x v="18"/>
    <s v="Luis Ángel Gutiérrez"/>
    <s v="Miranda Castillo Helard Juan"/>
    <s v="Gerente"/>
    <n v="946164816"/>
    <m/>
    <n v="20469472231"/>
    <m/>
    <s v="Lima"/>
    <s v="San borja"/>
    <s v="Lavanderia Comercial"/>
    <m/>
    <s v="telefono"/>
    <x v="96"/>
    <x v="2"/>
    <m/>
    <m/>
    <m/>
    <m/>
    <n v="44"/>
    <n v="4"/>
  </r>
  <r>
    <n v="104"/>
    <x v="6"/>
    <x v="28"/>
    <s v="Luis Ángel Gutiérrez"/>
    <s v="PONCE DE LEON MELENDEZ MOISES DAVID"/>
    <s v="Gerente"/>
    <s v="12721911/945 773 289"/>
    <s v="lavatodolavanderias@gmail.com"/>
    <n v="20601983550"/>
    <m/>
    <s v="Lima"/>
    <s v="surquillo"/>
    <s v="Lavanderia Comercial"/>
    <m/>
    <s v="telefono"/>
    <x v="97"/>
    <x v="2"/>
    <m/>
    <m/>
    <m/>
    <m/>
    <n v="44"/>
    <n v="1"/>
  </r>
  <r>
    <n v="105"/>
    <x v="6"/>
    <x v="54"/>
    <s v="Luis Ángel Gutiérrez Gómez"/>
    <s v="Jorge Rosales"/>
    <s v="Gerente"/>
    <n v="989277383"/>
    <s v="......................................................"/>
    <s v="No encontré "/>
    <m/>
    <s v="Lima"/>
    <s v="Canada"/>
    <s v="Lavandería Comercial"/>
    <m/>
    <s v="telefono"/>
    <x v="98"/>
    <x v="2"/>
    <m/>
    <m/>
    <m/>
    <m/>
    <n v="44"/>
    <n v="3"/>
  </r>
  <r>
    <n v="106"/>
    <x v="7"/>
    <x v="73"/>
    <s v="Luis Ángel Gutiérrez Gómez"/>
    <s v="_x0009_Ayvar Cevallos Dante Elias "/>
    <s v="Gerente"/>
    <s v="(01) 4367873"/>
    <s v="https://www.instagram.com/lavatec.lavanderia/"/>
    <n v="20335862130"/>
    <s v="https://www.instagram.com/lavatec.lavanderia"/>
    <s v="Lima"/>
    <s v="Monterrico"/>
    <s v="Lavanderia Comercial"/>
    <m/>
    <s v="Campo"/>
    <x v="99"/>
    <x v="0"/>
    <m/>
    <m/>
    <m/>
    <m/>
    <n v="44"/>
    <n v="3"/>
  </r>
  <r>
    <n v="107"/>
    <x v="7"/>
    <x v="74"/>
    <s v="Luis Ángel Gutiérrez Gómez"/>
    <s v="Ore Martinez Epifanio Agustin"/>
    <s v="Gerente"/>
    <n v="998345586"/>
    <s v="ventas@lavanderiaaqua.com"/>
    <n v="20535520641"/>
    <s v="instagram.com/aquadrycleaners"/>
    <s v="Lima"/>
    <s v="Monterrico"/>
    <s v="Lavandería  Comercial"/>
    <m/>
    <s v="Campo"/>
    <x v="100"/>
    <x v="0"/>
    <m/>
    <m/>
    <m/>
    <m/>
    <n v="44"/>
    <n v="6"/>
  </r>
  <r>
    <n v="108"/>
    <x v="7"/>
    <x v="75"/>
    <s v="Luis Ángel Gutiérrez Gómez"/>
    <s v="Tohara Tamayoshi Luis"/>
    <s v="Gerente"/>
    <s v="967 782 837"/>
    <s v="lavanderiakikue@hotmail.com"/>
    <n v="20101153704"/>
    <s v="lavanderiakikue@hotmail.com"/>
    <s v="Lima"/>
    <s v="Monterrico"/>
    <s v="Lavanderia  Comercial"/>
    <m/>
    <s v="Campo"/>
    <x v="101"/>
    <x v="0"/>
    <m/>
    <m/>
    <m/>
    <m/>
    <n v="44"/>
    <n v="8"/>
  </r>
  <r>
    <n v="109"/>
    <x v="7"/>
    <x v="76"/>
    <s v="Luis Ángel Gutiérrez Gómez"/>
    <s v="Duarte Hernandez Andrea Marcela "/>
    <s v="Gerente"/>
    <n v="993227367"/>
    <s v="................................................"/>
    <n v="20550079349"/>
    <s v="................................"/>
    <s v="Lima"/>
    <s v="Monterrici"/>
    <s v="Lavandería Comercial"/>
    <m/>
    <s v="Campo"/>
    <x v="102"/>
    <x v="0"/>
    <m/>
    <m/>
    <m/>
    <m/>
    <n v="44"/>
    <n v="5"/>
  </r>
  <r>
    <n v="110"/>
    <x v="7"/>
    <x v="77"/>
    <s v="Luis Ángel Gutiérrez Gómez"/>
    <m/>
    <s v="Gerente"/>
    <s v="986 848 865"/>
    <s v="lavanderiaespumasae@gmail.com"/>
    <n v="20603760507"/>
    <s v="lavanderiaespumasae@gmail.com"/>
    <s v="Lima"/>
    <s v="Monterrico"/>
    <s v="Lavanderia Comercial"/>
    <m/>
    <s v="Campo"/>
    <x v="103"/>
    <x v="0"/>
    <m/>
    <m/>
    <m/>
    <m/>
    <n v="44"/>
    <n v="1"/>
  </r>
  <r>
    <n v="111"/>
    <x v="7"/>
    <x v="78"/>
    <s v="Luis Ángel Gutiérrez Gómez"/>
    <s v="Vergara Culqui Salomon"/>
    <s v="Gerente"/>
    <s v="998 570 635"/>
    <s v="reservas@monterricohotelperu.com"/>
    <n v="20602664946"/>
    <s v="reservas@monterricohotelperu.com"/>
    <s v="Lima"/>
    <s v="Monterrico"/>
    <s v="Hotelería"/>
    <m/>
    <s v="Campo"/>
    <x v="104"/>
    <x v="0"/>
    <m/>
    <m/>
    <m/>
    <m/>
    <n v="44"/>
    <n v="2"/>
  </r>
  <r>
    <n v="112"/>
    <x v="7"/>
    <x v="79"/>
    <s v="Luis Ángel Gutiérrez Gómez"/>
    <m/>
    <s v="Gerente"/>
    <s v="(01) 2110211"/>
    <s v="https://www.lapositiva.com.pe/wps/portal/corporativo/home"/>
    <n v="20100210909"/>
    <s v="https://www.lapositiva.com.pe/wps/portal/corporativo/home"/>
    <s v="Lima"/>
    <s v="Monterrico"/>
    <s v="Lavanderia Comercial"/>
    <m/>
    <s v="Campo"/>
    <x v="105"/>
    <x v="0"/>
    <m/>
    <m/>
    <m/>
    <m/>
    <n v="44"/>
    <n v="3"/>
  </r>
  <r>
    <n v="113"/>
    <x v="7"/>
    <x v="80"/>
    <s v="Luis Ángel Gutiérrez Gómez"/>
    <m/>
    <s v="Gerente"/>
    <s v="_x000a_991 547 457"/>
    <m/>
    <m/>
    <m/>
    <s v="Lima"/>
    <s v="Monterrico"/>
    <s v="Hotelería"/>
    <m/>
    <s v="Campo"/>
    <x v="52"/>
    <x v="6"/>
    <m/>
    <m/>
    <m/>
    <m/>
    <n v="44"/>
    <n v="3"/>
  </r>
  <r>
    <n v="114"/>
    <x v="7"/>
    <x v="81"/>
    <s v="Luis Ángel Gutiérrez Gómez"/>
    <m/>
    <s v="Gerente"/>
    <m/>
    <m/>
    <m/>
    <m/>
    <s v="Lima"/>
    <s v="Monterrico"/>
    <s v="Lavanderia Comercial"/>
    <m/>
    <s v="Campo"/>
    <x v="52"/>
    <x v="6"/>
    <m/>
    <m/>
    <m/>
    <m/>
    <n v="44"/>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55144B-4197-4549-8D48-273061AFE61D}" name="TablaDiná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F4:G5" firstHeaderRow="1" firstDataRow="1" firstDataCol="1" rowPageCount="2" colPageCount="1"/>
  <pivotFields count="23">
    <pivotField showAll="0"/>
    <pivotField axis="axisPage" numFmtId="14" multipleItemSelectionAllowed="1" showAll="0" defaultSubtotal="0">
      <items count="8">
        <item h="1" x="0"/>
        <item h="1" x="1"/>
        <item h="1" x="2"/>
        <item h="1" x="3"/>
        <item h="1" x="4"/>
        <item h="1" x="5"/>
        <item h="1" x="6"/>
        <item x="7"/>
      </items>
    </pivotField>
    <pivotField axis="axisRow" showAll="0">
      <items count="83">
        <item x="56"/>
        <item x="11"/>
        <item x="9"/>
        <item x="19"/>
        <item x="17"/>
        <item x="25"/>
        <item x="44"/>
        <item x="31"/>
        <item x="55"/>
        <item x="14"/>
        <item x="8"/>
        <item x="2"/>
        <item x="66"/>
        <item x="51"/>
        <item x="68"/>
        <item x="59"/>
        <item x="62"/>
        <item x="54"/>
        <item x="67"/>
        <item x="61"/>
        <item x="5"/>
        <item x="60"/>
        <item x="57"/>
        <item x="3"/>
        <item x="1"/>
        <item x="4"/>
        <item x="15"/>
        <item x="22"/>
        <item x="58"/>
        <item x="42"/>
        <item x="32"/>
        <item x="43"/>
        <item x="38"/>
        <item x="23"/>
        <item x="52"/>
        <item x="47"/>
        <item x="63"/>
        <item x="35"/>
        <item x="24"/>
        <item x="39"/>
        <item x="30"/>
        <item x="53"/>
        <item x="20"/>
        <item x="65"/>
        <item x="34"/>
        <item x="36"/>
        <item x="37"/>
        <item x="18"/>
        <item x="46"/>
        <item x="16"/>
        <item x="33"/>
        <item x="50"/>
        <item x="26"/>
        <item x="48"/>
        <item x="28"/>
        <item x="40"/>
        <item x="10"/>
        <item x="7"/>
        <item x="64"/>
        <item x="49"/>
        <item x="12"/>
        <item x="45"/>
        <item x="29"/>
        <item x="27"/>
        <item x="21"/>
        <item x="0"/>
        <item x="41"/>
        <item x="13"/>
        <item x="6"/>
        <item x="69"/>
        <item x="70"/>
        <item x="71"/>
        <item x="72"/>
        <item x="73"/>
        <item x="74"/>
        <item x="75"/>
        <item x="76"/>
        <item x="77"/>
        <item x="78"/>
        <item x="79"/>
        <item x="80"/>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0">
        <item m="1" x="8"/>
        <item x="5"/>
        <item h="1" x="2"/>
        <item x="3"/>
        <item h="1" x="0"/>
        <item m="1" x="7"/>
        <item x="4"/>
        <item x="1"/>
        <item h="1" x="6"/>
        <item t="default"/>
      </items>
    </pivotField>
    <pivotField showAll="0"/>
    <pivotField showAll="0"/>
    <pivotField showAll="0"/>
    <pivotField showAll="0"/>
    <pivotField showAll="0"/>
    <pivotField showAll="0"/>
  </pivotFields>
  <rowFields count="1">
    <field x="2"/>
  </rowFields>
  <rowItems count="1">
    <i t="grand">
      <x/>
    </i>
  </rowItems>
  <colItems count="1">
    <i/>
  </colItems>
  <pageFields count="2">
    <pageField fld="16" hier="-1"/>
    <pageField fld="1" hier="-1"/>
  </pageFields>
  <dataFields count="1">
    <dataField name="Cuenta de Estado" fld="16" subtotal="count" baseField="0" baseItem="0"/>
  </dataFields>
  <formats count="6">
    <format dxfId="16">
      <pivotArea type="all" dataOnly="0" outline="0" fieldPosition="0"/>
    </format>
    <format dxfId="15">
      <pivotArea outline="0" collapsedLevelsAreSubtotals="1" fieldPosition="0"/>
    </format>
    <format dxfId="14">
      <pivotArea field="1" type="button" dataOnly="0" labelOnly="1" outline="0" axis="axisPage" fieldPosition="1"/>
    </format>
    <format dxfId="13">
      <pivotArea dataOnly="0" labelOnly="1" fieldPosition="0">
        <references count="1">
          <reference field="1" count="0"/>
        </references>
      </pivotArea>
    </format>
    <format dxfId="12">
      <pivotArea dataOnly="0" labelOnly="1" grandRow="1" outline="0"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8CFE05-721E-4109-98D5-409C81FEED8F}" name="TablaDinámica1" cacheId="1" applyNumberFormats="0" applyBorderFormats="0" applyFontFormats="0" applyPatternFormats="0" applyAlignmentFormats="0" applyWidthHeightFormats="1" dataCaption="Valores" updatedVersion="8" minRefreshableVersion="5" useAutoFormatting="1" itemPrintTitles="1" createdVersion="8" indent="0" compact="0" compactData="0" multipleFieldFilters="0">
  <location ref="A18:D29" firstHeaderRow="1" firstDataRow="1" firstDataCol="3"/>
  <pivotFields count="23">
    <pivotField compact="0" outline="0" showAll="0"/>
    <pivotField axis="axisRow" compact="0" outline="0" showAll="0">
      <items count="9">
        <item x="0"/>
        <item x="1"/>
        <item x="2"/>
        <item x="3"/>
        <item x="4"/>
        <item x="5"/>
        <item x="6"/>
        <item x="7"/>
        <item t="default"/>
      </items>
    </pivotField>
    <pivotField axis="axisRow" compact="0" outline="0" showAll="0" defaultSubtotal="0">
      <items count="82">
        <item x="56"/>
        <item x="11"/>
        <item x="9"/>
        <item x="19"/>
        <item x="17"/>
        <item x="25"/>
        <item x="44"/>
        <item x="31"/>
        <item x="55"/>
        <item x="14"/>
        <item x="8"/>
        <item x="2"/>
        <item x="66"/>
        <item x="51"/>
        <item x="68"/>
        <item x="59"/>
        <item x="62"/>
        <item x="54"/>
        <item x="67"/>
        <item x="61"/>
        <item x="5"/>
        <item x="60"/>
        <item x="3"/>
        <item x="1"/>
        <item x="57"/>
        <item x="4"/>
        <item x="15"/>
        <item x="22"/>
        <item x="58"/>
        <item x="42"/>
        <item x="32"/>
        <item x="43"/>
        <item x="38"/>
        <item x="23"/>
        <item x="52"/>
        <item x="47"/>
        <item x="63"/>
        <item x="35"/>
        <item x="24"/>
        <item x="39"/>
        <item x="30"/>
        <item x="53"/>
        <item x="20"/>
        <item x="65"/>
        <item x="34"/>
        <item x="36"/>
        <item x="37"/>
        <item x="18"/>
        <item x="46"/>
        <item x="16"/>
        <item x="33"/>
        <item x="50"/>
        <item x="26"/>
        <item x="48"/>
        <item x="28"/>
        <item x="40"/>
        <item x="10"/>
        <item x="7"/>
        <item x="64"/>
        <item x="49"/>
        <item x="12"/>
        <item x="45"/>
        <item x="29"/>
        <item x="27"/>
        <item x="21"/>
        <item x="0"/>
        <item x="41"/>
        <item x="13"/>
        <item x="6"/>
        <item x="69"/>
        <item x="70"/>
        <item x="71"/>
        <item x="72"/>
        <item x="73"/>
        <item x="74"/>
        <item x="75"/>
        <item x="76"/>
        <item x="77"/>
        <item x="78"/>
        <item x="79"/>
        <item x="80"/>
        <item x="8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109">
        <item x="48"/>
        <item x="38"/>
        <item x="2"/>
        <item x="55"/>
        <item x="34"/>
        <item x="58"/>
        <item x="62"/>
        <item x="61"/>
        <item x="5"/>
        <item x="29"/>
        <item m="1" x="107"/>
        <item x="65"/>
        <item x="6"/>
        <item x="25"/>
        <item x="30"/>
        <item x="20"/>
        <item x="56"/>
        <item x="60"/>
        <item x="23"/>
        <item x="26"/>
        <item x="33"/>
        <item x="7"/>
        <item x="3"/>
        <item x="4"/>
        <item m="1" x="106"/>
        <item x="13"/>
        <item x="22"/>
        <item x="45"/>
        <item x="24"/>
        <item x="0"/>
        <item x="1"/>
        <item x="19"/>
        <item x="21"/>
        <item x="28"/>
        <item x="40"/>
        <item x="36"/>
        <item x="15"/>
        <item x="63"/>
        <item x="18"/>
        <item x="17"/>
        <item x="9"/>
        <item x="50"/>
        <item x="51"/>
        <item x="35"/>
        <item x="47"/>
        <item x="43"/>
        <item x="54"/>
        <item x="42"/>
        <item x="16"/>
        <item x="31"/>
        <item x="46"/>
        <item x="39"/>
        <item x="37"/>
        <item x="10"/>
        <item x="8"/>
        <item x="32"/>
        <item x="11"/>
        <item x="53"/>
        <item x="49"/>
        <item x="27"/>
        <item x="14"/>
        <item x="44"/>
        <item x="59"/>
        <item x="41"/>
        <item x="57"/>
        <item x="64"/>
        <item x="12"/>
        <item x="52"/>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1"/>
    <field x="2"/>
    <field x="15"/>
  </rowFields>
  <rowItems count="11">
    <i>
      <x v="7"/>
      <x v="73"/>
      <x v="101"/>
    </i>
    <i r="1">
      <x v="74"/>
      <x v="102"/>
    </i>
    <i r="1">
      <x v="75"/>
      <x v="103"/>
    </i>
    <i r="1">
      <x v="76"/>
      <x v="104"/>
    </i>
    <i r="1">
      <x v="77"/>
      <x v="105"/>
    </i>
    <i r="1">
      <x v="78"/>
      <x v="106"/>
    </i>
    <i r="1">
      <x v="79"/>
      <x v="107"/>
    </i>
    <i r="1">
      <x v="80"/>
      <x v="67"/>
    </i>
    <i r="1">
      <x v="81"/>
      <x v="67"/>
    </i>
    <i t="default">
      <x v="7"/>
    </i>
    <i t="grand">
      <x/>
    </i>
  </rowItems>
  <colItems count="1">
    <i/>
  </colItems>
  <dataFields count="1">
    <dataField name="Cuenta de Origen del lead" fld="14" subtotal="count" baseField="0" baseItem="0"/>
  </dataFields>
  <formats count="31">
    <format dxfId="47">
      <pivotArea field="15" type="button" dataOnly="0" labelOnly="1" outline="0" axis="axisRow" fieldPosition="2"/>
    </format>
    <format dxfId="46">
      <pivotArea dataOnly="0" labelOnly="1" outline="0" fieldPosition="0">
        <references count="1">
          <reference field="1" count="1" defaultSubtotal="1">
            <x v="0"/>
          </reference>
        </references>
      </pivotArea>
    </format>
    <format dxfId="45">
      <pivotArea dataOnly="0" labelOnly="1" outline="0" fieldPosition="0">
        <references count="1">
          <reference field="1" count="1" defaultSubtotal="1">
            <x v="1"/>
          </reference>
        </references>
      </pivotArea>
    </format>
    <format dxfId="44">
      <pivotArea dataOnly="0" labelOnly="1" outline="0" fieldPosition="0">
        <references count="1">
          <reference field="1" count="1" defaultSubtotal="1">
            <x v="2"/>
          </reference>
        </references>
      </pivotArea>
    </format>
    <format dxfId="43">
      <pivotArea dataOnly="0" labelOnly="1" outline="0" fieldPosition="0">
        <references count="1">
          <reference field="1" count="1" defaultSubtotal="1">
            <x v="3"/>
          </reference>
        </references>
      </pivotArea>
    </format>
    <format dxfId="42">
      <pivotArea dataOnly="0" labelOnly="1" outline="0" fieldPosition="0">
        <references count="1">
          <reference field="1" count="1" defaultSubtotal="1">
            <x v="4"/>
          </reference>
        </references>
      </pivotArea>
    </format>
    <format dxfId="41">
      <pivotArea dataOnly="0" labelOnly="1" grandRow="1" outline="0" fieldPosition="0"/>
    </format>
    <format dxfId="40">
      <pivotArea dataOnly="0" labelOnly="1" outline="0" fieldPosition="0">
        <references count="2">
          <reference field="1" count="1" selected="0">
            <x v="0"/>
          </reference>
          <reference field="15" count="11">
            <x v="2"/>
            <x v="8"/>
            <x v="12"/>
            <x v="21"/>
            <x v="22"/>
            <x v="23"/>
            <x v="24"/>
            <x v="29"/>
            <x v="30"/>
            <x v="40"/>
            <x v="54"/>
          </reference>
        </references>
      </pivotArea>
    </format>
    <format dxfId="39">
      <pivotArea dataOnly="0" labelOnly="1" outline="0" fieldPosition="0">
        <references count="2">
          <reference field="1" count="1" selected="0">
            <x v="1"/>
          </reference>
          <reference field="15" count="5">
            <x v="10"/>
            <x v="25"/>
            <x v="53"/>
            <x v="56"/>
            <x v="66"/>
          </reference>
        </references>
      </pivotArea>
    </format>
    <format dxfId="38">
      <pivotArea dataOnly="0" labelOnly="1" outline="0" fieldPosition="0">
        <references count="2">
          <reference field="1" count="1" selected="0">
            <x v="2"/>
          </reference>
          <reference field="15" count="11">
            <x v="15"/>
            <x v="18"/>
            <x v="26"/>
            <x v="28"/>
            <x v="31"/>
            <x v="32"/>
            <x v="36"/>
            <x v="38"/>
            <x v="39"/>
            <x v="48"/>
            <x v="60"/>
          </reference>
        </references>
      </pivotArea>
    </format>
    <format dxfId="37">
      <pivotArea dataOnly="0" labelOnly="1" outline="0" fieldPosition="0">
        <references count="2">
          <reference field="1" count="1" selected="0">
            <x v="3"/>
          </reference>
          <reference field="15" count="10">
            <x v="4"/>
            <x v="9"/>
            <x v="13"/>
            <x v="14"/>
            <x v="19"/>
            <x v="20"/>
            <x v="33"/>
            <x v="49"/>
            <x v="55"/>
            <x v="59"/>
          </reference>
        </references>
      </pivotArea>
    </format>
    <format dxfId="36">
      <pivotArea dataOnly="0" labelOnly="1" outline="0" fieldPosition="0">
        <references count="2">
          <reference field="1" count="1" selected="0">
            <x v="4"/>
          </reference>
          <reference field="15" count="31">
            <x v="0"/>
            <x v="1"/>
            <x v="3"/>
            <x v="5"/>
            <x v="6"/>
            <x v="7"/>
            <x v="11"/>
            <x v="16"/>
            <x v="17"/>
            <x v="27"/>
            <x v="34"/>
            <x v="35"/>
            <x v="37"/>
            <x v="41"/>
            <x v="42"/>
            <x v="43"/>
            <x v="44"/>
            <x v="45"/>
            <x v="46"/>
            <x v="47"/>
            <x v="50"/>
            <x v="51"/>
            <x v="52"/>
            <x v="57"/>
            <x v="58"/>
            <x v="61"/>
            <x v="62"/>
            <x v="63"/>
            <x v="64"/>
            <x v="65"/>
            <x v="67"/>
          </reference>
        </references>
      </pivotArea>
    </format>
    <format dxfId="35">
      <pivotArea dataOnly="0" labelOnly="1" outline="0" fieldPosition="0">
        <references count="3">
          <reference field="1" count="1" selected="0">
            <x v="6"/>
          </reference>
          <reference field="2" count="1" selected="0">
            <x v="8"/>
          </reference>
          <reference field="15" count="1">
            <x v="92"/>
          </reference>
        </references>
      </pivotArea>
    </format>
    <format dxfId="34">
      <pivotArea dataOnly="0" labelOnly="1" outline="0" fieldPosition="0">
        <references count="3">
          <reference field="1" count="1" selected="0">
            <x v="6"/>
          </reference>
          <reference field="2" count="1" selected="0">
            <x v="12"/>
          </reference>
          <reference field="15" count="1">
            <x v="84"/>
          </reference>
        </references>
      </pivotArea>
    </format>
    <format dxfId="33">
      <pivotArea dataOnly="0" labelOnly="1" outline="0" fieldPosition="0">
        <references count="3">
          <reference field="1" count="1" selected="0">
            <x v="6"/>
          </reference>
          <reference field="2" count="1" selected="0">
            <x v="14"/>
          </reference>
          <reference field="15" count="1">
            <x v="86"/>
          </reference>
        </references>
      </pivotArea>
    </format>
    <format dxfId="32">
      <pivotArea dataOnly="0" labelOnly="1" outline="0" fieldPosition="0">
        <references count="3">
          <reference field="1" count="1" selected="0">
            <x v="6"/>
          </reference>
          <reference field="2" count="1" selected="0">
            <x v="15"/>
          </reference>
          <reference field="15" count="1">
            <x v="77"/>
          </reference>
        </references>
      </pivotArea>
    </format>
    <format dxfId="31">
      <pivotArea dataOnly="0" labelOnly="1" outline="0" fieldPosition="0">
        <references count="3">
          <reference field="1" count="1" selected="0">
            <x v="6"/>
          </reference>
          <reference field="2" count="1" selected="0">
            <x v="16"/>
          </reference>
          <reference field="15" count="1">
            <x v="80"/>
          </reference>
        </references>
      </pivotArea>
    </format>
    <format dxfId="30">
      <pivotArea dataOnly="0" labelOnly="1" outline="0" fieldPosition="0">
        <references count="3">
          <reference field="1" count="1" selected="0">
            <x v="6"/>
          </reference>
          <reference field="2" count="1" selected="0">
            <x v="18"/>
          </reference>
          <reference field="15" count="1">
            <x v="85"/>
          </reference>
        </references>
      </pivotArea>
    </format>
    <format dxfId="29">
      <pivotArea dataOnly="0" labelOnly="1" outline="0" fieldPosition="0">
        <references count="3">
          <reference field="1" count="1" selected="0">
            <x v="6"/>
          </reference>
          <reference field="2" count="1" selected="0">
            <x v="19"/>
          </reference>
          <reference field="15" count="1">
            <x v="79"/>
          </reference>
        </references>
      </pivotArea>
    </format>
    <format dxfId="28">
      <pivotArea dataOnly="0" labelOnly="1" outline="0" fieldPosition="0">
        <references count="3">
          <reference field="1" count="1" selected="0">
            <x v="6"/>
          </reference>
          <reference field="2" count="1" selected="0">
            <x v="21"/>
          </reference>
          <reference field="15" count="1">
            <x v="78"/>
          </reference>
        </references>
      </pivotArea>
    </format>
    <format dxfId="27">
      <pivotArea dataOnly="0" labelOnly="1" outline="0" fieldPosition="0">
        <references count="3">
          <reference field="1" count="1" selected="0">
            <x v="6"/>
          </reference>
          <reference field="2" count="1" selected="0">
            <x v="24"/>
          </reference>
          <reference field="15" count="1">
            <x v="96"/>
          </reference>
        </references>
      </pivotArea>
    </format>
    <format dxfId="26">
      <pivotArea dataOnly="0" labelOnly="1" outline="0" fieldPosition="0">
        <references count="3">
          <reference field="1" count="1" selected="0">
            <x v="6"/>
          </reference>
          <reference field="2" count="1" selected="0">
            <x v="23"/>
          </reference>
          <reference field="15" count="1">
            <x v="91"/>
          </reference>
        </references>
      </pivotArea>
    </format>
    <format dxfId="25">
      <pivotArea dataOnly="0" labelOnly="1" outline="0" fieldPosition="0">
        <references count="3">
          <reference field="1" count="1" selected="0">
            <x v="6"/>
          </reference>
          <reference field="2" count="1" selected="0">
            <x v="36"/>
          </reference>
          <reference field="15" count="1">
            <x v="81"/>
          </reference>
        </references>
      </pivotArea>
    </format>
    <format dxfId="24">
      <pivotArea dataOnly="0" labelOnly="1" outline="0" fieldPosition="0">
        <references count="3">
          <reference field="1" count="1" selected="0">
            <x v="6"/>
          </reference>
          <reference field="2" count="1" selected="0">
            <x v="41"/>
          </reference>
          <reference field="15" count="1">
            <x v="94"/>
          </reference>
        </references>
      </pivotArea>
    </format>
    <format dxfId="23">
      <pivotArea dataOnly="0" labelOnly="1" outline="0" fieldPosition="0">
        <references count="3">
          <reference field="1" count="1" selected="0">
            <x v="6"/>
          </reference>
          <reference field="2" count="1" selected="0">
            <x v="43"/>
          </reference>
          <reference field="15" count="1">
            <x v="83"/>
          </reference>
        </references>
      </pivotArea>
    </format>
    <format dxfId="22">
      <pivotArea dataOnly="0" labelOnly="1" outline="0" fieldPosition="0">
        <references count="3">
          <reference field="1" count="1" selected="0">
            <x v="6"/>
          </reference>
          <reference field="2" count="1" selected="0">
            <x v="58"/>
          </reference>
          <reference field="15" count="1">
            <x v="82"/>
          </reference>
        </references>
      </pivotArea>
    </format>
    <format dxfId="21">
      <pivotArea dataOnly="0" labelOnly="1" outline="0" fieldPosition="0">
        <references count="3">
          <reference field="1" count="1" selected="0">
            <x v="6"/>
          </reference>
          <reference field="2" count="1" selected="0">
            <x v="68"/>
          </reference>
          <reference field="15" count="2">
            <x v="90"/>
            <x v="93"/>
          </reference>
        </references>
      </pivotArea>
    </format>
    <format dxfId="20">
      <pivotArea dataOnly="0" labelOnly="1" outline="0" fieldPosition="0">
        <references count="3">
          <reference field="1" count="1" selected="0">
            <x v="6"/>
          </reference>
          <reference field="2" count="1" selected="0">
            <x v="69"/>
          </reference>
          <reference field="15" count="1">
            <x v="87"/>
          </reference>
        </references>
      </pivotArea>
    </format>
    <format dxfId="19">
      <pivotArea dataOnly="0" labelOnly="1" outline="0" fieldPosition="0">
        <references count="3">
          <reference field="1" count="1" selected="0">
            <x v="6"/>
          </reference>
          <reference field="2" count="1" selected="0">
            <x v="70"/>
          </reference>
          <reference field="15" count="1">
            <x v="88"/>
          </reference>
        </references>
      </pivotArea>
    </format>
    <format dxfId="18">
      <pivotArea dataOnly="0" labelOnly="1" outline="0" fieldPosition="0">
        <references count="3">
          <reference field="1" count="1" selected="0">
            <x v="6"/>
          </reference>
          <reference field="2" count="1" selected="0">
            <x v="71"/>
          </reference>
          <reference field="15" count="1">
            <x v="89"/>
          </reference>
        </references>
      </pivotArea>
    </format>
    <format dxfId="17">
      <pivotArea dataOnly="0" labelOnly="1" outline="0" fieldPosition="0">
        <references count="3">
          <reference field="1" count="1" selected="0">
            <x v="6"/>
          </reference>
          <reference field="2" count="1" selected="0">
            <x v="72"/>
          </reference>
          <reference field="15" count="1">
            <x v="95"/>
          </reference>
        </references>
      </pivotArea>
    </format>
  </formats>
  <pivotTableStyleInfo name="PivotStyleLight16" showRowHeaders="1" showColHeaders="1" showRowStripes="0" showColStripes="0" showLastColumn="1"/>
  <filters count="1">
    <filter fld="1" type="dateEqual" evalOrder="-1" id="68" name="Fecha">
      <autoFilter ref="A1">
        <filterColumn colId="0">
          <customFilters>
            <customFilter val="459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4037DD-C640-44E8-AA1E-9F9C078DD6AE}" name="TablaDinámica4"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13" firstHeaderRow="1" firstDataRow="1" firstDataCol="1"/>
  <pivotFields count="23">
    <pivotField showAll="0"/>
    <pivotField axis="axisRow" dataField="1" numFmtId="14"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Cuenta de Fecha" fld="1" subtotal="count" baseField="0" baseItem="0"/>
  </dataFields>
  <formats count="6">
    <format dxfId="53">
      <pivotArea type="all" dataOnly="0" outline="0" fieldPosition="0"/>
    </format>
    <format dxfId="52">
      <pivotArea outline="0" collapsedLevelsAreSubtotals="1" fieldPosition="0"/>
    </format>
    <format dxfId="51">
      <pivotArea field="1" type="button" dataOnly="0" labelOnly="1" outline="0" axis="axisRow" fieldPosition="0"/>
    </format>
    <format dxfId="50">
      <pivotArea dataOnly="0" labelOnly="1" fieldPosition="0">
        <references count="1">
          <reference field="1" count="0"/>
        </references>
      </pivotArea>
    </format>
    <format dxfId="49">
      <pivotArea dataOnly="0" labelOnly="1" grandRow="1" outline="0"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6D22DC-945E-4422-9109-0FACA69C53FB}" name="CRM" displayName="CRM" ref="A2:V118" totalsRowShown="0" headerRowDxfId="10" headerRowBorderDxfId="9" tableBorderDxfId="8">
  <autoFilter ref="A2:V118" xr:uid="{316D22DC-945E-4422-9109-0FACA69C53FB}"/>
  <tableColumns count="22">
    <tableColumn id="1" xr3:uid="{9F7BD3E7-9D8B-43DD-8A09-80782607F3FD}" name="No."/>
    <tableColumn id="3" xr3:uid="{918C7001-FF10-4E61-8371-7DA2308E83CF}" name="Fecha"/>
    <tableColumn id="4" xr3:uid="{0546BA07-5885-4D75-8063-08485248C69A}" name="Asesor" dataDxfId="7"/>
    <tableColumn id="5" xr3:uid="{82F56FA6-C27F-4059-8CEB-61FC463B1EBB}" name="Contacto" dataDxfId="6"/>
    <tableColumn id="6" xr3:uid="{726A969D-30A5-4360-8EE7-11FE40969B5A}" name="Cargo" dataDxfId="5"/>
    <tableColumn id="7" xr3:uid="{7407339D-FE7A-43DC-8868-86862C76F45E}" name="teléfono"/>
    <tableColumn id="8" xr3:uid="{272479BC-873F-4BB6-9C9C-53F02BF5260D}" name="Mail"/>
    <tableColumn id="9" xr3:uid="{51C94EB7-797D-4572-825D-46562C6259FE}" name="Razón Social" dataDxfId="4"/>
    <tableColumn id="10" xr3:uid="{8A1A6035-DAD9-4A8E-8A9F-D5513BC82BC8}" name="RUC" dataDxfId="3"/>
    <tableColumn id="2" xr3:uid="{22E8D976-51CC-114E-A447-62AC0980CDBB}" name="Web"/>
    <tableColumn id="11" xr3:uid="{6446EDEC-68EE-4E10-805A-BEE4019E6D93}" name="Departamento"/>
    <tableColumn id="12" xr3:uid="{6EE5F2FA-BCD1-4A7A-AE1F-747817516559}" name="Distrito"/>
    <tableColumn id="13" xr3:uid="{21792762-BC9D-4BEC-BAB6-4FC84C490385}" name="Rubro"/>
    <tableColumn id="22" xr3:uid="{C86DD3C1-4653-4043-AE66-DBBB9832613E}" name="Tipo de producto"/>
    <tableColumn id="14" xr3:uid="{ACCFEF3F-8430-446F-8960-BDD2AD697669}" name="Origen del lead" dataDxfId="2"/>
    <tableColumn id="15" xr3:uid="{F9F9467E-20C6-41C5-AD53-5CC51A0D27A4}" name="Descripción" dataDxfId="1"/>
    <tableColumn id="16" xr3:uid="{2D774AF0-9708-4ADB-B352-087A8912FF27}" name="Estado"/>
    <tableColumn id="21" xr3:uid="{49353322-6FAA-4192-BE45-4A6F45F91E06}" name="Monto de la oportunidad"/>
    <tableColumn id="17" xr3:uid="{2DAC1E58-17ED-4E6F-B35F-8466D7D4A69C}" name="No. Cotización"/>
    <tableColumn id="18" xr3:uid="{F8EA6CCC-6236-48F0-8DFC-A71CCCD508B7}" name="Valor Cotización"/>
    <tableColumn id="19" xr3:uid="{995F9AE6-3950-42C7-BC21-D585E6D7CFDF}" name="Fecha seguimiento"/>
    <tableColumn id="23" xr3:uid="{907CCCFB-DAD3-4EAD-851C-D2D3E396E90A}" name="Semana" dataDxfId="0">
      <calculatedColumnFormula>WEEKNUM(CRM[[#This Row],[Fecha]])</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 xr10:uid="{F8AB510F-BFAE-4D1D-89EF-8046D056EA3C}" sourceName="Fecha">
  <pivotTables>
    <pivotTable tabId="5" name="TablaDinámica1"/>
  </pivotTables>
  <state minimalRefreshVersion="6" lastRefreshVersion="6" pivotCacheId="597545275" filterType="dateEqual">
    <selection startDate="2025-10-29T00:00:00" endDate="2025-10-29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2" xr10:uid="{160F913E-016D-4B20-984C-CF6A8D53D09F}" cache="NativeTimeline_Fecha" caption="Fecha" level="2" selectionLevel="3" scrollPosition="2025-05-18T00:00:00"/>
  <timeline name="Fecha 3" xr10:uid="{3D122158-24D9-45C8-8854-A2610A0844E7}" cache="NativeTimeline_Fecha" caption="Fecha" level="3" selectionLevel="3" scrollPosition="2025-10-2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mailto:informes@ecocleangestion.com.pe" TargetMode="External"/><Relationship Id="rId18" Type="http://schemas.openxmlformats.org/officeDocument/2006/relationships/hyperlink" Target="mailto:jcosanatan@gmail.com" TargetMode="External"/><Relationship Id="rId26" Type="http://schemas.openxmlformats.org/officeDocument/2006/relationships/hyperlink" Target="https://www.instagram.com/olimpialaundry/?hl=es" TargetMode="External"/><Relationship Id="rId39" Type="http://schemas.openxmlformats.org/officeDocument/2006/relationships/hyperlink" Target="mailto:davidmoreno7353@gmail.com" TargetMode="External"/><Relationship Id="rId21" Type="http://schemas.openxmlformats.org/officeDocument/2006/relationships/hyperlink" Target="mailto:informes@ecocleangestion.com.pe" TargetMode="External"/><Relationship Id="rId34" Type="http://schemas.openxmlformats.org/officeDocument/2006/relationships/hyperlink" Target="https://www.linkedin.com/in/solange-espinoza-chavez-192426356/?originalSubdomain=pe" TargetMode="External"/><Relationship Id="rId42" Type="http://schemas.openxmlformats.org/officeDocument/2006/relationships/hyperlink" Target="https://www.google.com/search?q=lavatec+numero&amp;rlz=1C1VDKB_esUS1156US1156&amp;oq=lavatec+numero&amp;gs_lcrp=EgZjaHJvbWUyBggAEEUYOTIICAEQABgWGB4yCggCEAAYogQYiQUyCggDEAAYgAQYogQyBwgEEAAY7wUyCggFEAAYgAQYogQyBwgGEAAY7wXSAQgzMTg0ajBqN6gCALACAA&amp;sourceid=chrome&amp;ie=UTF-8&amp;lqi=Cg5sYXZhdGVjIG51bWVybyICEAFIkYTxja6vgIAIWg0QABgAIgdsYXZhdGVjkgEPbGF1bmRyeV9zZXJ2aWNl" TargetMode="External"/><Relationship Id="rId47" Type="http://schemas.openxmlformats.org/officeDocument/2006/relationships/hyperlink" Target="https://www.instagram.com/allclean.lavanderia/?hl=es-la" TargetMode="External"/><Relationship Id="rId50" Type="http://schemas.openxmlformats.org/officeDocument/2006/relationships/table" Target="../tables/table1.xml"/><Relationship Id="rId7" Type="http://schemas.openxmlformats.org/officeDocument/2006/relationships/hyperlink" Target="mailto:jcosanatan@gmail.com" TargetMode="External"/><Relationship Id="rId2" Type="http://schemas.openxmlformats.org/officeDocument/2006/relationships/hyperlink" Target="mailto:davidmoreno7353@gmail.com" TargetMode="External"/><Relationship Id="rId16" Type="http://schemas.openxmlformats.org/officeDocument/2006/relationships/hyperlink" Target="mailto:lavanderiarivasplata@gmail.com" TargetMode="External"/><Relationship Id="rId29" Type="http://schemas.openxmlformats.org/officeDocument/2006/relationships/hyperlink" Target="mailto:hospedajelavidena@hotmail.com" TargetMode="External"/><Relationship Id="rId11" Type="http://schemas.openxmlformats.org/officeDocument/2006/relationships/hyperlink" Target="https://l.facebook.com/l.php?u=http%3A%2F%2Fwww.lavanderiacityplus.com%2F&amp;h=AT3fAok9QRhB9Kl2aGN7wiSpP6CkJEwzlLJ48-MW2dyyW_vfAiP2UEF6RwezuBX-zdbUUSUyxAH166ziDEuvJn34U96ciJQFHhxq0INC-DZKk54H0vL-tdO47OIy-GyWUTWW-ZnPhrucd0RLdOGiHA" TargetMode="External"/><Relationship Id="rId24" Type="http://schemas.openxmlformats.org/officeDocument/2006/relationships/hyperlink" Target="https://www.facebook.com/nomebusquesmeencontraste/" TargetMode="External"/><Relationship Id="rId32" Type="http://schemas.openxmlformats.org/officeDocument/2006/relationships/hyperlink" Target="mailto:hostal.blois@gmail.com" TargetMode="External"/><Relationship Id="rId37" Type="http://schemas.openxmlformats.org/officeDocument/2006/relationships/hyperlink" Target="https://sagitasa.com.pe/" TargetMode="External"/><Relationship Id="rId40" Type="http://schemas.openxmlformats.org/officeDocument/2006/relationships/hyperlink" Target="mailto:jcosanatan@gmail.com" TargetMode="External"/><Relationship Id="rId45" Type="http://schemas.openxmlformats.org/officeDocument/2006/relationships/hyperlink" Target="mailto:reservas@monterricohotelperu.com" TargetMode="External"/><Relationship Id="rId5" Type="http://schemas.openxmlformats.org/officeDocument/2006/relationships/hyperlink" Target="mailto:skemyherlinyolimar@gmail.com" TargetMode="External"/><Relationship Id="rId15" Type="http://schemas.openxmlformats.org/officeDocument/2006/relationships/hyperlink" Target="https://www.google.com/search?q=LAVAPRO+RUC&amp;sca_esv=ff3a164b2762a5c0&amp;rlz=1C1VDKB_esPE1178PE1178&amp;sxsrf=AE3TifOgJkcw7Nq7lBajHUUCOYAQImLI0Q%3A1760113725684&amp;ei=PTTpaM7CKZrd5OUP9tTemA0&amp;ved=0ahUKEwiO1YjLhpqQAxWaLrkGHXaqF9MQ4dUDCBA&amp;uact=5&amp;oq=LAVAPRO+RUC&amp;gs_lp=Egxnd3Mtd2l6LXNlcnAiC0xBVkFQUk8gUlVDMgUQABjvBTIIEAAYgAQYogQyCBAAGIAEGKIEMggQABiABBiiBEjCngRQAFjSmwRwAXgAkAEAmAGtAaABmwyqAQQwLjExuAEDyAEA-AEBmAIMoALDDagCEMICBxAjGCcY6gLCAg0QLhiABBgnGIoFGOoCwgIUEAAYgAQYkQIYtAIYigUY6gLYAQHCAgQQIxgnwgILEAAYgAQYkQIYigXCAgUQABiABMICBRAuGIAEwgILEC4YgAQY0QMYxwHCAgoQABiABBgUGIcCwgIIEAAYgAQYywHCAggQLhiABBjLAcICBhAAGBYYHpgDFvEFsMtAwBgyw2S6BgYIARABGAGSBwQxLjExoAe4WLIHBDAuMTG4B6wNwgcHMi00LjcuMcgHgAE&amp;sclient=gws-wiz-serp" TargetMode="External"/><Relationship Id="rId23" Type="http://schemas.openxmlformats.org/officeDocument/2006/relationships/hyperlink" Target="https://www.google.com/search?q=LAVAPRO+RUC&amp;sca_esv=ff3a164b2762a5c0&amp;rlz=1C1VDKB_esPE1178PE1178&amp;sxsrf=AE3TifOgJkcw7Nq7lBajHUUCOYAQImLI0Q%3A1760113725684&amp;ei=PTTpaM7CKZrd5OUP9tTemA0&amp;ved=0ahUKEwiO1YjLhpqQAxWaLrkGHXaqF9MQ4dUDCBA&amp;uact=5&amp;oq=LAVAPRO+RUC&amp;gs_lp=Egxnd3Mtd2l6LXNlcnAiC0xBVkFQUk8gUlVDMgUQABjvBTIIEAAYgAQYogQyCBAAGIAEGKIEMggQABiABBiiBEjCngRQAFjSmwRwAXgAkAEAmAGtAaABmwyqAQQwLjExuAEDyAEA-AEBmAIMoALDDagCEMICBxAjGCcY6gLCAg0QLhiABBgnGIoFGOoCwgIUEAAYgAQYkQIYtAIYigUY6gLYAQHCAgQQIxgnwgILEAAYgAQYkQIYigXCAgUQABiABMICBRAuGIAEwgILEC4YgAQY0QMYxwHCAgoQABiABBgUGIcCwgIIEAAYgAQYywHCAggQLhiABBjLAcICBhAAGBYYHpgDFvEFsMtAwBgyw2S6BgYIARABGAGSBwQxLjExoAe4WLIHBDAuMTG4B6wNwgcHMi00LjcuMcgHgAE&amp;sclient=gws-wiz-serp" TargetMode="External"/><Relationship Id="rId28" Type="http://schemas.openxmlformats.org/officeDocument/2006/relationships/hyperlink" Target="mailto:lavanderiajys.iqt@gmail.com" TargetMode="External"/><Relationship Id="rId36" Type="http://schemas.openxmlformats.org/officeDocument/2006/relationships/hyperlink" Target="https://www.linkedin.com/in/alexis-diego-armando-araujo-sanchez-21a606125/?originalSubdomain=pe" TargetMode="External"/><Relationship Id="rId49" Type="http://schemas.openxmlformats.org/officeDocument/2006/relationships/printerSettings" Target="../printerSettings/printerSettings1.bin"/><Relationship Id="rId10" Type="http://schemas.openxmlformats.org/officeDocument/2006/relationships/hyperlink" Target="mailto:Anthonygarcia982@gmail.com" TargetMode="External"/><Relationship Id="rId19" Type="http://schemas.openxmlformats.org/officeDocument/2006/relationships/hyperlink" Target="https://l.facebook.com/l.php?u=http%3A%2F%2Fwww.lavanderiacityplus.com%2F&amp;h=AT3fAok9QRhB9Kl2aGN7wiSpP6CkJEwzlLJ48-MW2dyyW_vfAiP2UEF6RwezuBX-zdbUUSUyxAH166ziDEuvJn34U96ciJQFHhxq0INC-DZKk54H0vL-tdO47OIy-GyWUTWW-ZnPhrucd0RLdOGiHA" TargetMode="External"/><Relationship Id="rId31" Type="http://schemas.openxmlformats.org/officeDocument/2006/relationships/hyperlink" Target="https://www.facebook.com/p/Asiatika-Hotel-100057112253649/?locale=es_LA" TargetMode="External"/><Relationship Id="rId44" Type="http://schemas.openxmlformats.org/officeDocument/2006/relationships/hyperlink" Target="mailto:ventas@lavanderiaaqua.com" TargetMode="External"/><Relationship Id="rId4" Type="http://schemas.openxmlformats.org/officeDocument/2006/relationships/hyperlink" Target="mailto:PAREDESMATTA90@GMAIL.COM" TargetMode="External"/><Relationship Id="rId9" Type="http://schemas.openxmlformats.org/officeDocument/2006/relationships/hyperlink" Target="mailto:ruthvc335@gmail.com" TargetMode="External"/><Relationship Id="rId14" Type="http://schemas.openxmlformats.org/officeDocument/2006/relationships/hyperlink" Target="mailto:lavadorita.peru@gmail.com" TargetMode="External"/><Relationship Id="rId22" Type="http://schemas.openxmlformats.org/officeDocument/2006/relationships/hyperlink" Target="mailto:lavadorita.peru@gmail.com" TargetMode="External"/><Relationship Id="rId27" Type="http://schemas.openxmlformats.org/officeDocument/2006/relationships/hyperlink" Target="mailto:eventos@losincas.com.pe" TargetMode="External"/><Relationship Id="rId30" Type="http://schemas.openxmlformats.org/officeDocument/2006/relationships/hyperlink" Target="https://l.facebook.com/l.php?u=https%3A%2F%2Fwww.hotelasiatika.com%2F&amp;h=AT3BLoX-uB6lAgPYUdzvCFWd34U-5QgTrlDKWCoNFJfWkoQffny_AEXzAKk_lY2DLB0gY7KyvpFM63NJvi6yai7_51TaLaUT2eNsEdsztogHA_EETyfrnmXmY2NJ5ePwl02kDsVzshly1rMg9pRJpw" TargetMode="External"/><Relationship Id="rId35" Type="http://schemas.openxmlformats.org/officeDocument/2006/relationships/hyperlink" Target="mailto:adaas_19@hotmail.com" TargetMode="External"/><Relationship Id="rId43" Type="http://schemas.openxmlformats.org/officeDocument/2006/relationships/hyperlink" Target="https://www.instagram.com/lavatec.lavanderia" TargetMode="External"/><Relationship Id="rId48" Type="http://schemas.openxmlformats.org/officeDocument/2006/relationships/hyperlink" Target="mailto:jcosanatan@gmail.com" TargetMode="External"/><Relationship Id="rId8" Type="http://schemas.openxmlformats.org/officeDocument/2006/relationships/hyperlink" Target="mailto:karilin4369@gmail.com" TargetMode="External"/><Relationship Id="rId3" Type="http://schemas.openxmlformats.org/officeDocument/2006/relationships/hyperlink" Target="mailto:patriciaalarcon889@gmail.com" TargetMode="External"/><Relationship Id="rId12" Type="http://schemas.openxmlformats.org/officeDocument/2006/relationships/hyperlink" Target="mailto:servicios.lavagyn@gmail.com" TargetMode="External"/><Relationship Id="rId17" Type="http://schemas.openxmlformats.org/officeDocument/2006/relationships/hyperlink" Target="mailto:davidmoreno7353@gmail.com" TargetMode="External"/><Relationship Id="rId25" Type="http://schemas.openxmlformats.org/officeDocument/2006/relationships/hyperlink" Target="https://l.facebook.com/l.php?u=https%3A%2F%2Fwww.instagram.com%2Flavanderialavalux_%2F&amp;h=AT01zNSlSK0g6_5HNS6nZCERFvB2pkC06WFLYX20MuCx7DNvmbPAEGUmT3qCVZ_3gk1_OO_6a9Hu9Kah9LK-lhceD6r_5fJOH60y8mT0UAKmmHUCACeVj1vc_Gw95y-cHDYblk7uRj6frP6nqVBvDw" TargetMode="External"/><Relationship Id="rId33" Type="http://schemas.openxmlformats.org/officeDocument/2006/relationships/hyperlink" Target="mailto:espinozacsolange30@gmail.com" TargetMode="External"/><Relationship Id="rId38" Type="http://schemas.openxmlformats.org/officeDocument/2006/relationships/hyperlink" Target="mailto:jcosanatan@gmail.com" TargetMode="External"/><Relationship Id="rId46" Type="http://schemas.openxmlformats.org/officeDocument/2006/relationships/hyperlink" Target="https://www.lapositiva.com.pe/wps/portal/corporativo/home" TargetMode="External"/><Relationship Id="rId20" Type="http://schemas.openxmlformats.org/officeDocument/2006/relationships/hyperlink" Target="mailto:servicios.lavagyn@gmail.com" TargetMode="External"/><Relationship Id="rId41" Type="http://schemas.openxmlformats.org/officeDocument/2006/relationships/hyperlink" Target="mailto:lavanderiajys.iqt@gmail.com" TargetMode="External"/><Relationship Id="rId1" Type="http://schemas.openxmlformats.org/officeDocument/2006/relationships/hyperlink" Target="mailto:transportes.jasa61@gmail.com" TargetMode="External"/><Relationship Id="rId6" Type="http://schemas.openxmlformats.org/officeDocument/2006/relationships/hyperlink" Target="https://www.google.com/search?q=los+incas+numero%7D+hoteal%7D&amp;sca_esv=679517c3ba0a5d08&amp;rlz=1C1VDKB_esPE1178PE1178&amp;sxsrf=AE3TifMcPEY3K4KC2QrIaBjfb7qTc91ZxQ%3A1760136697285&amp;ei=-Y3paNSZEfGq5OUPv7m0CQ&amp;ved=0ahUKEwiU-uOU3JqQAxVxFbkGHb8cLQEQ4dUDCBA&amp;uact=5&amp;oq=los+incas+numero%7D+hoteal%7D&amp;gs_lp=Egxnd3Mtd2l6LXNlcnAiGWxvcyBpbmNhcyBudW1lcm99IGhvdGVhbH0yBxAhGKABGAoyBxAhGKABGAoyBxAhGKABGAoyBxAhGKABGAoyBRAhGJ8FMgUQIRifBTIFECEYnwUyBRAhGJ8FMgUQIRifBTIFECEYnwVItRlQpwFYqhJwAXgBkAEAmAGCAqABzQmqAQUwLjcuMbgBA8gBAPgBAZgCCaACjQrCAgoQABiwAxjWBBhHwgIEECMYJ8ICBRAAGO8FwgIFECEYoAGYAwCIBgGQBgiSBwUxLjcuMaAH9BiyBwUwLjcuMbgHhwrCBwUwLjIuN8gHIQ&amp;sclient=gws-wiz-serp&amp;lqi=Chhsb3MgaW5jYXMgbnVtZXJvfSBob3RlbH0iAhABSMTIhufrgICACFofEAAQARgAGAEiC2luY2FzIGhvdGVsKgQIAxABMgJlc5IBBWhvdGVsqgFFEAEqDyILaW5jYXMgaG90ZWwoDjIfEAEiG_CRY0X3qS3b0X-ZUFuepwY7cM1R5_uI6BgmHzIPEAIiC2luY2FzIGhvdGV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E28A-51F8-44DA-BE0C-9D624CE87477}">
  <dimension ref="A1:G92"/>
  <sheetViews>
    <sheetView zoomScale="46" workbookViewId="0">
      <selection activeCell="A15" sqref="A15"/>
    </sheetView>
  </sheetViews>
  <sheetFormatPr baseColWidth="10" defaultColWidth="8.7109375" defaultRowHeight="15" x14ac:dyDescent="0.25"/>
  <cols>
    <col min="1" max="1" width="19.85546875" bestFit="1" customWidth="1"/>
    <col min="2" max="2" width="16.5703125" style="27" bestFit="1" customWidth="1"/>
    <col min="3" max="3" width="255.5703125" bestFit="1" customWidth="1"/>
    <col min="4" max="4" width="22.42578125" bestFit="1" customWidth="1"/>
    <col min="6" max="6" width="19.85546875" bestFit="1" customWidth="1"/>
    <col min="7" max="7" width="22.42578125" bestFit="1" customWidth="1"/>
    <col min="8" max="8" width="24.140625" bestFit="1" customWidth="1"/>
    <col min="9" max="9" width="11" bestFit="1" customWidth="1"/>
    <col min="10" max="10" width="19.85546875" bestFit="1" customWidth="1"/>
    <col min="11" max="11" width="12.28515625" bestFit="1" customWidth="1"/>
    <col min="12" max="12" width="14.140625" bestFit="1" customWidth="1"/>
  </cols>
  <sheetData>
    <row r="1" spans="1:7" x14ac:dyDescent="0.25">
      <c r="F1" s="41" t="s">
        <v>0</v>
      </c>
      <c r="G1" s="42" t="s">
        <v>1</v>
      </c>
    </row>
    <row r="2" spans="1:7" x14ac:dyDescent="0.25">
      <c r="F2" s="41" t="s">
        <v>2</v>
      </c>
      <c r="G2" s="43">
        <v>45959</v>
      </c>
    </row>
    <row r="3" spans="1:7" x14ac:dyDescent="0.25">
      <c r="A3" t="s">
        <v>3</v>
      </c>
    </row>
    <row r="4" spans="1:7" x14ac:dyDescent="0.25">
      <c r="A4" s="41" t="s">
        <v>4</v>
      </c>
      <c r="B4" s="42" t="s">
        <v>5</v>
      </c>
      <c r="F4" s="41" t="s">
        <v>4</v>
      </c>
      <c r="G4" s="42" t="s">
        <v>6</v>
      </c>
    </row>
    <row r="5" spans="1:7" x14ac:dyDescent="0.25">
      <c r="A5" s="43">
        <v>45940</v>
      </c>
      <c r="B5" s="42">
        <v>10</v>
      </c>
      <c r="F5" s="44" t="s">
        <v>7</v>
      </c>
      <c r="G5" s="42"/>
    </row>
    <row r="6" spans="1:7" x14ac:dyDescent="0.25">
      <c r="A6" s="43">
        <v>45941</v>
      </c>
      <c r="B6" s="42">
        <v>6</v>
      </c>
    </row>
    <row r="7" spans="1:7" x14ac:dyDescent="0.25">
      <c r="A7" s="43">
        <v>45944</v>
      </c>
      <c r="B7" s="42">
        <v>11</v>
      </c>
    </row>
    <row r="8" spans="1:7" x14ac:dyDescent="0.25">
      <c r="A8" s="43">
        <v>45946</v>
      </c>
      <c r="B8" s="42">
        <v>10</v>
      </c>
    </row>
    <row r="9" spans="1:7" x14ac:dyDescent="0.25">
      <c r="A9" s="43">
        <v>45950</v>
      </c>
      <c r="B9" s="42">
        <v>35</v>
      </c>
    </row>
    <row r="10" spans="1:7" x14ac:dyDescent="0.25">
      <c r="A10" s="43">
        <v>45956</v>
      </c>
      <c r="B10" s="42">
        <v>9</v>
      </c>
    </row>
    <row r="11" spans="1:7" x14ac:dyDescent="0.25">
      <c r="A11" s="43">
        <v>45957</v>
      </c>
      <c r="B11" s="42">
        <v>24</v>
      </c>
    </row>
    <row r="12" spans="1:7" x14ac:dyDescent="0.25">
      <c r="A12" s="43">
        <v>45959</v>
      </c>
      <c r="B12" s="42">
        <v>9</v>
      </c>
    </row>
    <row r="13" spans="1:7" x14ac:dyDescent="0.25">
      <c r="A13" s="43" t="s">
        <v>7</v>
      </c>
      <c r="B13" s="42">
        <v>114</v>
      </c>
    </row>
    <row r="18" spans="1:4" x14ac:dyDescent="0.25">
      <c r="A18" s="3" t="s">
        <v>2</v>
      </c>
      <c r="B18" s="3" t="s">
        <v>8</v>
      </c>
      <c r="C18" s="28" t="s">
        <v>9</v>
      </c>
      <c r="D18" t="s">
        <v>10</v>
      </c>
    </row>
    <row r="19" spans="1:4" x14ac:dyDescent="0.25">
      <c r="A19" s="26">
        <v>45959</v>
      </c>
      <c r="B19" t="s">
        <v>11</v>
      </c>
      <c r="C19" t="s">
        <v>12</v>
      </c>
      <c r="D19">
        <v>1</v>
      </c>
    </row>
    <row r="20" spans="1:4" x14ac:dyDescent="0.25">
      <c r="B20" t="s">
        <v>13</v>
      </c>
      <c r="C20" t="s">
        <v>14</v>
      </c>
      <c r="D20">
        <v>1</v>
      </c>
    </row>
    <row r="21" spans="1:4" x14ac:dyDescent="0.25">
      <c r="B21" t="s">
        <v>15</v>
      </c>
      <c r="C21" t="s">
        <v>16</v>
      </c>
      <c r="D21">
        <v>1</v>
      </c>
    </row>
    <row r="22" spans="1:4" x14ac:dyDescent="0.25">
      <c r="B22" t="s">
        <v>17</v>
      </c>
      <c r="C22" t="s">
        <v>18</v>
      </c>
      <c r="D22">
        <v>1</v>
      </c>
    </row>
    <row r="23" spans="1:4" x14ac:dyDescent="0.25">
      <c r="B23" t="s">
        <v>19</v>
      </c>
      <c r="C23" t="s">
        <v>20</v>
      </c>
      <c r="D23">
        <v>1</v>
      </c>
    </row>
    <row r="24" spans="1:4" x14ac:dyDescent="0.25">
      <c r="B24" t="s">
        <v>21</v>
      </c>
      <c r="C24" t="s">
        <v>22</v>
      </c>
      <c r="D24">
        <v>1</v>
      </c>
    </row>
    <row r="25" spans="1:4" x14ac:dyDescent="0.25">
      <c r="B25" t="s">
        <v>23</v>
      </c>
      <c r="C25" t="s">
        <v>24</v>
      </c>
      <c r="D25">
        <v>1</v>
      </c>
    </row>
    <row r="26" spans="1:4" x14ac:dyDescent="0.25">
      <c r="B26" t="s">
        <v>25</v>
      </c>
      <c r="C26" t="s">
        <v>26</v>
      </c>
      <c r="D26">
        <v>1</v>
      </c>
    </row>
    <row r="27" spans="1:4" x14ac:dyDescent="0.25">
      <c r="B27" t="s">
        <v>27</v>
      </c>
      <c r="C27" t="s">
        <v>26</v>
      </c>
      <c r="D27">
        <v>1</v>
      </c>
    </row>
    <row r="28" spans="1:4" x14ac:dyDescent="0.25">
      <c r="A28" t="s">
        <v>28</v>
      </c>
      <c r="B28"/>
      <c r="D28">
        <v>9</v>
      </c>
    </row>
    <row r="29" spans="1:4" x14ac:dyDescent="0.25">
      <c r="A29" s="27" t="s">
        <v>7</v>
      </c>
      <c r="C29" s="27"/>
      <c r="D29">
        <v>9</v>
      </c>
    </row>
    <row r="30" spans="1:4" x14ac:dyDescent="0.25">
      <c r="B30"/>
    </row>
    <row r="31" spans="1:4" x14ac:dyDescent="0.25">
      <c r="B31"/>
    </row>
    <row r="32" spans="1:4"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C4E76-E006-4DD6-B559-96D9C797FB7C}">
  <dimension ref="A1:V1048575"/>
  <sheetViews>
    <sheetView zoomScale="58" zoomScaleNormal="100" workbookViewId="0">
      <pane xSplit="1" ySplit="2" topLeftCell="B3" activePane="bottomRight" state="frozen"/>
      <selection pane="topRight" activeCell="B1" sqref="B1"/>
      <selection pane="bottomLeft" activeCell="A3" sqref="A3"/>
      <selection pane="bottomRight" activeCell="I12" sqref="I12"/>
    </sheetView>
  </sheetViews>
  <sheetFormatPr baseColWidth="10" defaultColWidth="11.42578125" defaultRowHeight="15" x14ac:dyDescent="0.25"/>
  <cols>
    <col min="1" max="1" width="12" customWidth="1"/>
    <col min="2" max="2" width="11" bestFit="1" customWidth="1"/>
    <col min="3" max="3" width="24.140625" customWidth="1"/>
    <col min="8" max="8" width="16.5703125" customWidth="1"/>
    <col min="9" max="9" width="36.5703125" bestFit="1" customWidth="1"/>
    <col min="11" max="11" width="18.85546875" customWidth="1"/>
    <col min="12" max="12" width="11.140625" bestFit="1" customWidth="1"/>
    <col min="13" max="13" width="20.5703125" style="33" bestFit="1" customWidth="1"/>
    <col min="14" max="14" width="14" bestFit="1" customWidth="1"/>
    <col min="15" max="15" width="7.42578125" bestFit="1" customWidth="1"/>
    <col min="16" max="16" width="52.140625" customWidth="1"/>
    <col min="17" max="19" width="12.42578125" customWidth="1"/>
    <col min="20" max="20" width="52.5703125" customWidth="1"/>
    <col min="21" max="21" width="19.5703125" bestFit="1" customWidth="1"/>
    <col min="23" max="23" width="16.42578125" customWidth="1"/>
    <col min="24" max="24" width="17.5703125" customWidth="1"/>
    <col min="25" max="26" width="20.140625" customWidth="1"/>
    <col min="27" max="27" width="24.85546875" customWidth="1"/>
  </cols>
  <sheetData>
    <row r="1" spans="1:22" x14ac:dyDescent="0.25">
      <c r="I1" s="33"/>
      <c r="M1"/>
    </row>
    <row r="2" spans="1:22" ht="30.75" thickBot="1" x14ac:dyDescent="0.3">
      <c r="A2" s="38" t="s">
        <v>29</v>
      </c>
      <c r="B2" s="1" t="s">
        <v>2</v>
      </c>
      <c r="C2" s="1" t="s">
        <v>461</v>
      </c>
      <c r="D2" s="1" t="s">
        <v>30</v>
      </c>
      <c r="E2" s="1" t="s">
        <v>31</v>
      </c>
      <c r="F2" s="1" t="s">
        <v>32</v>
      </c>
      <c r="G2" s="1" t="s">
        <v>33</v>
      </c>
      <c r="H2" s="1" t="s">
        <v>8</v>
      </c>
      <c r="I2" s="29" t="s">
        <v>34</v>
      </c>
      <c r="J2" s="2" t="s">
        <v>35</v>
      </c>
      <c r="K2" s="1" t="s">
        <v>36</v>
      </c>
      <c r="L2" s="1" t="s">
        <v>37</v>
      </c>
      <c r="M2" s="1" t="s">
        <v>38</v>
      </c>
      <c r="N2" s="1" t="s">
        <v>39</v>
      </c>
      <c r="O2" s="1" t="s">
        <v>40</v>
      </c>
      <c r="P2" s="1" t="s">
        <v>9</v>
      </c>
      <c r="Q2" s="4" t="s">
        <v>0</v>
      </c>
      <c r="R2" s="4" t="s">
        <v>41</v>
      </c>
      <c r="S2" s="2" t="s">
        <v>42</v>
      </c>
      <c r="T2" s="2" t="s">
        <v>43</v>
      </c>
      <c r="U2" s="2" t="s">
        <v>44</v>
      </c>
      <c r="V2" s="2" t="s">
        <v>45</v>
      </c>
    </row>
    <row r="3" spans="1:22" ht="60.75" thickBot="1" x14ac:dyDescent="0.3">
      <c r="A3" s="39">
        <v>1</v>
      </c>
      <c r="B3" s="35">
        <v>45940</v>
      </c>
      <c r="C3" s="8" t="s">
        <v>47</v>
      </c>
      <c r="D3" s="8" t="s">
        <v>48</v>
      </c>
      <c r="E3" s="7" t="s">
        <v>49</v>
      </c>
      <c r="F3" s="9">
        <v>968447484</v>
      </c>
      <c r="G3" s="10" t="s">
        <v>50</v>
      </c>
      <c r="H3" s="8" t="s">
        <v>46</v>
      </c>
      <c r="I3" s="30">
        <v>20525908683</v>
      </c>
      <c r="J3" s="7"/>
      <c r="K3" s="8" t="s">
        <v>51</v>
      </c>
      <c r="L3" s="8" t="s">
        <v>52</v>
      </c>
      <c r="M3" s="8" t="s">
        <v>53</v>
      </c>
      <c r="N3" s="7"/>
      <c r="O3" s="7" t="s">
        <v>35</v>
      </c>
      <c r="P3" s="11" t="s">
        <v>54</v>
      </c>
      <c r="Q3" s="8" t="s">
        <v>55</v>
      </c>
      <c r="R3" s="7"/>
      <c r="S3" s="7"/>
      <c r="T3" s="7"/>
      <c r="U3" s="12">
        <v>45950</v>
      </c>
      <c r="V3" s="7">
        <f>WEEKNUM(CRM[[#This Row],[Fecha]])</f>
        <v>41</v>
      </c>
    </row>
    <row r="4" spans="1:22" ht="60.75" thickBot="1" x14ac:dyDescent="0.3">
      <c r="A4" s="40">
        <v>2</v>
      </c>
      <c r="B4" s="36">
        <v>45940</v>
      </c>
      <c r="C4" s="14" t="s">
        <v>47</v>
      </c>
      <c r="D4" s="14" t="s">
        <v>57</v>
      </c>
      <c r="E4" s="14" t="s">
        <v>58</v>
      </c>
      <c r="F4" s="15">
        <v>924997650</v>
      </c>
      <c r="G4" s="16" t="s">
        <v>59</v>
      </c>
      <c r="H4" s="14" t="s">
        <v>56</v>
      </c>
      <c r="I4" s="31">
        <v>20547728824</v>
      </c>
      <c r="J4" s="13"/>
      <c r="K4" s="14" t="s">
        <v>51</v>
      </c>
      <c r="L4" s="20" t="s">
        <v>51</v>
      </c>
      <c r="M4" s="14" t="s">
        <v>53</v>
      </c>
      <c r="N4" s="13"/>
      <c r="O4" s="13" t="s">
        <v>35</v>
      </c>
      <c r="P4" s="17" t="s">
        <v>60</v>
      </c>
      <c r="Q4" s="14" t="s">
        <v>55</v>
      </c>
      <c r="R4" s="13"/>
      <c r="S4" s="13"/>
      <c r="T4" s="13"/>
      <c r="U4" s="18">
        <v>45950</v>
      </c>
      <c r="V4" s="13">
        <f>WEEKNUM(CRM[[#This Row],[Fecha]])</f>
        <v>41</v>
      </c>
    </row>
    <row r="5" spans="1:22" ht="60.75" thickBot="1" x14ac:dyDescent="0.3">
      <c r="A5" s="39">
        <v>3</v>
      </c>
      <c r="B5" s="37">
        <v>45940</v>
      </c>
      <c r="C5" s="20" t="s">
        <v>47</v>
      </c>
      <c r="D5" s="21" t="s">
        <v>62</v>
      </c>
      <c r="E5" s="20" t="s">
        <v>63</v>
      </c>
      <c r="F5" s="22">
        <v>943794776</v>
      </c>
      <c r="G5" s="23" t="s">
        <v>64</v>
      </c>
      <c r="H5" s="20" t="s">
        <v>61</v>
      </c>
      <c r="I5" s="32">
        <v>20340120591</v>
      </c>
      <c r="J5" s="19"/>
      <c r="K5" s="20" t="s">
        <v>51</v>
      </c>
      <c r="L5" s="20" t="s">
        <v>51</v>
      </c>
      <c r="M5" s="20" t="s">
        <v>53</v>
      </c>
      <c r="N5" s="19"/>
      <c r="O5" s="19" t="s">
        <v>35</v>
      </c>
      <c r="P5" s="21" t="s">
        <v>65</v>
      </c>
      <c r="Q5" s="20" t="s">
        <v>55</v>
      </c>
      <c r="R5" s="19"/>
      <c r="S5" s="19"/>
      <c r="T5" s="19"/>
      <c r="U5" s="24">
        <v>45950</v>
      </c>
      <c r="V5" s="19">
        <f>WEEKNUM(CRM[[#This Row],[Fecha]])</f>
        <v>41</v>
      </c>
    </row>
    <row r="6" spans="1:22" ht="45.75" thickBot="1" x14ac:dyDescent="0.3">
      <c r="A6" s="40">
        <v>4</v>
      </c>
      <c r="B6" s="36">
        <v>45940</v>
      </c>
      <c r="C6" s="14" t="s">
        <v>47</v>
      </c>
      <c r="D6" s="13"/>
      <c r="E6" s="13"/>
      <c r="F6" s="15">
        <v>928554925</v>
      </c>
      <c r="G6" s="16" t="s">
        <v>67</v>
      </c>
      <c r="H6" s="14" t="s">
        <v>66</v>
      </c>
      <c r="I6" s="31"/>
      <c r="J6" s="13"/>
      <c r="K6" s="13"/>
      <c r="L6" s="13"/>
      <c r="M6" s="13"/>
      <c r="N6" s="13"/>
      <c r="O6" s="13" t="s">
        <v>35</v>
      </c>
      <c r="P6" s="17" t="s">
        <v>68</v>
      </c>
      <c r="Q6" s="17" t="s">
        <v>55</v>
      </c>
      <c r="R6" s="13"/>
      <c r="S6" s="13"/>
      <c r="T6" s="13"/>
      <c r="U6" s="25">
        <v>45950</v>
      </c>
      <c r="V6" s="13">
        <f>WEEKNUM(CRM[[#This Row],[Fecha]])</f>
        <v>41</v>
      </c>
    </row>
    <row r="7" spans="1:22" ht="45.75" thickBot="1" x14ac:dyDescent="0.3">
      <c r="A7" s="40">
        <v>5</v>
      </c>
      <c r="B7" s="36">
        <v>45940</v>
      </c>
      <c r="C7" s="14" t="s">
        <v>47</v>
      </c>
      <c r="D7" s="13"/>
      <c r="E7" s="13"/>
      <c r="F7" s="15">
        <v>900818310</v>
      </c>
      <c r="G7" s="16" t="s">
        <v>71</v>
      </c>
      <c r="H7" s="14" t="s">
        <v>69</v>
      </c>
      <c r="I7" s="31" t="s">
        <v>70</v>
      </c>
      <c r="J7" s="13"/>
      <c r="K7" s="13" t="s">
        <v>51</v>
      </c>
      <c r="L7" s="13" t="s">
        <v>72</v>
      </c>
      <c r="M7" s="13"/>
      <c r="N7" s="13"/>
      <c r="O7" s="13" t="s">
        <v>35</v>
      </c>
      <c r="P7" s="17" t="s">
        <v>73</v>
      </c>
      <c r="Q7" s="17" t="s">
        <v>55</v>
      </c>
      <c r="R7" s="13"/>
      <c r="S7" s="13"/>
      <c r="T7" s="13"/>
      <c r="U7" s="25">
        <v>45950</v>
      </c>
      <c r="V7" s="13">
        <f>WEEKNUM(CRM[[#This Row],[Fecha]])</f>
        <v>41</v>
      </c>
    </row>
    <row r="8" spans="1:22" ht="45.75" thickBot="1" x14ac:dyDescent="0.3">
      <c r="A8" s="40">
        <v>6</v>
      </c>
      <c r="B8" s="36">
        <v>45940</v>
      </c>
      <c r="C8" s="14" t="s">
        <v>47</v>
      </c>
      <c r="D8" s="13"/>
      <c r="E8" s="13" t="s">
        <v>75</v>
      </c>
      <c r="F8" s="15" t="s">
        <v>76</v>
      </c>
      <c r="G8" s="16" t="s">
        <v>77</v>
      </c>
      <c r="H8" s="14" t="s">
        <v>74</v>
      </c>
      <c r="I8" s="31">
        <v>20348851251</v>
      </c>
      <c r="J8" s="13"/>
      <c r="K8" s="13" t="s">
        <v>51</v>
      </c>
      <c r="L8" s="13" t="s">
        <v>238</v>
      </c>
      <c r="M8" s="13" t="s">
        <v>78</v>
      </c>
      <c r="N8" s="13"/>
      <c r="O8" s="13" t="s">
        <v>35</v>
      </c>
      <c r="P8" s="17" t="s">
        <v>79</v>
      </c>
      <c r="Q8" s="17" t="s">
        <v>55</v>
      </c>
      <c r="R8" s="13"/>
      <c r="S8" s="13"/>
      <c r="T8" s="13"/>
      <c r="U8" s="25">
        <v>45950</v>
      </c>
      <c r="V8" s="13">
        <f>WEEKNUM(CRM[[#This Row],[Fecha]])</f>
        <v>41</v>
      </c>
    </row>
    <row r="9" spans="1:22" ht="45.75" thickBot="1" x14ac:dyDescent="0.3">
      <c r="A9" s="40">
        <v>7</v>
      </c>
      <c r="B9" s="36">
        <v>45940</v>
      </c>
      <c r="C9" s="14" t="s">
        <v>47</v>
      </c>
      <c r="D9" s="13" t="s">
        <v>81</v>
      </c>
      <c r="E9" s="13" t="s">
        <v>460</v>
      </c>
      <c r="F9" s="15">
        <v>970175949</v>
      </c>
      <c r="G9" s="16" t="s">
        <v>83</v>
      </c>
      <c r="H9" s="14" t="s">
        <v>80</v>
      </c>
      <c r="I9" s="31">
        <v>10774619271</v>
      </c>
      <c r="J9" s="13"/>
      <c r="K9" s="13" t="s">
        <v>84</v>
      </c>
      <c r="L9" s="13" t="s">
        <v>84</v>
      </c>
      <c r="M9" s="13" t="s">
        <v>78</v>
      </c>
      <c r="N9" s="13"/>
      <c r="O9" s="13" t="s">
        <v>35</v>
      </c>
      <c r="P9" s="17" t="s">
        <v>85</v>
      </c>
      <c r="Q9" s="17" t="s">
        <v>86</v>
      </c>
      <c r="R9" s="13"/>
      <c r="S9" s="13"/>
      <c r="T9" s="13"/>
      <c r="U9" s="25">
        <v>45950</v>
      </c>
      <c r="V9" s="13">
        <f>WEEKNUM(CRM[[#This Row],[Fecha]])</f>
        <v>41</v>
      </c>
    </row>
    <row r="10" spans="1:22" ht="45.75" thickBot="1" x14ac:dyDescent="0.3">
      <c r="A10" s="40">
        <v>8</v>
      </c>
      <c r="B10" s="36">
        <v>45940</v>
      </c>
      <c r="C10" s="14" t="s">
        <v>47</v>
      </c>
      <c r="D10" s="13"/>
      <c r="E10" s="13"/>
      <c r="F10" s="15">
        <v>941937424</v>
      </c>
      <c r="G10" s="16" t="s">
        <v>88</v>
      </c>
      <c r="H10" s="14" t="s">
        <v>87</v>
      </c>
      <c r="I10" s="31"/>
      <c r="J10" s="13"/>
      <c r="K10" s="13"/>
      <c r="L10" s="13"/>
      <c r="M10" s="13" t="s">
        <v>89</v>
      </c>
      <c r="N10" s="13"/>
      <c r="O10" s="13" t="s">
        <v>35</v>
      </c>
      <c r="P10" s="17" t="s">
        <v>90</v>
      </c>
      <c r="Q10" s="17" t="s">
        <v>55</v>
      </c>
      <c r="R10" s="13"/>
      <c r="S10" s="13"/>
      <c r="T10" s="13"/>
      <c r="U10" s="25">
        <v>45950</v>
      </c>
      <c r="V10" s="13">
        <f>WEEKNUM(CRM[[#This Row],[Fecha]])</f>
        <v>41</v>
      </c>
    </row>
    <row r="11" spans="1:22" ht="30.75" thickBot="1" x14ac:dyDescent="0.3">
      <c r="A11" s="40">
        <v>9</v>
      </c>
      <c r="B11" s="36">
        <v>45940</v>
      </c>
      <c r="C11" s="14" t="s">
        <v>47</v>
      </c>
      <c r="D11" s="13" t="s">
        <v>92</v>
      </c>
      <c r="E11" s="13"/>
      <c r="F11" s="15">
        <v>927574481</v>
      </c>
      <c r="G11" s="16" t="s">
        <v>93</v>
      </c>
      <c r="H11" s="14" t="s">
        <v>91</v>
      </c>
      <c r="I11" s="31"/>
      <c r="J11" s="13"/>
      <c r="K11" s="13"/>
      <c r="L11" s="13"/>
      <c r="M11" s="13"/>
      <c r="N11" s="13"/>
      <c r="O11" s="13" t="s">
        <v>35</v>
      </c>
      <c r="P11" s="17" t="s">
        <v>94</v>
      </c>
      <c r="Q11" s="17" t="s">
        <v>55</v>
      </c>
      <c r="R11" s="13"/>
      <c r="S11" s="13"/>
      <c r="T11" s="13"/>
      <c r="U11" s="25">
        <v>45950</v>
      </c>
      <c r="V11" s="13">
        <f>WEEKNUM(CRM[[#This Row],[Fecha]])</f>
        <v>41</v>
      </c>
    </row>
    <row r="12" spans="1:22" ht="45.75" thickBot="1" x14ac:dyDescent="0.3">
      <c r="A12" s="40">
        <v>10</v>
      </c>
      <c r="B12" s="36">
        <v>45940</v>
      </c>
      <c r="C12" s="14" t="s">
        <v>47</v>
      </c>
      <c r="D12" s="13"/>
      <c r="E12" s="13"/>
      <c r="F12" s="15">
        <v>918364871</v>
      </c>
      <c r="G12" s="16" t="s">
        <v>96</v>
      </c>
      <c r="H12" s="14" t="s">
        <v>95</v>
      </c>
      <c r="I12" s="31"/>
      <c r="J12" s="13"/>
      <c r="K12" s="13"/>
      <c r="L12" s="13"/>
      <c r="M12" s="13"/>
      <c r="N12" s="13"/>
      <c r="O12" s="13" t="s">
        <v>35</v>
      </c>
      <c r="P12" s="17" t="s">
        <v>97</v>
      </c>
      <c r="Q12" s="17" t="s">
        <v>55</v>
      </c>
      <c r="R12" s="13"/>
      <c r="S12" s="13"/>
      <c r="T12" s="13"/>
      <c r="U12" s="25">
        <v>45950</v>
      </c>
      <c r="V12" s="13">
        <f>WEEKNUM(CRM[[#This Row],[Fecha]])</f>
        <v>41</v>
      </c>
    </row>
    <row r="13" spans="1:22" ht="75.75" thickBot="1" x14ac:dyDescent="0.3">
      <c r="A13" s="40">
        <v>11</v>
      </c>
      <c r="B13" s="36">
        <v>45941</v>
      </c>
      <c r="C13" s="14" t="s">
        <v>47</v>
      </c>
      <c r="D13" s="13" t="s">
        <v>98</v>
      </c>
      <c r="E13" s="13"/>
      <c r="F13" s="15">
        <v>929289542</v>
      </c>
      <c r="G13" s="16" t="s">
        <v>99</v>
      </c>
      <c r="H13" s="14" t="s">
        <v>98</v>
      </c>
      <c r="I13" s="31"/>
      <c r="J13" s="13"/>
      <c r="K13" s="13"/>
      <c r="L13" s="13"/>
      <c r="M13" s="13" t="s">
        <v>89</v>
      </c>
      <c r="N13" s="13"/>
      <c r="O13" s="13" t="s">
        <v>35</v>
      </c>
      <c r="P13" s="17" t="s">
        <v>100</v>
      </c>
      <c r="Q13" s="17" t="s">
        <v>55</v>
      </c>
      <c r="R13" s="13"/>
      <c r="S13" s="13"/>
      <c r="T13" s="13"/>
      <c r="U13" s="25">
        <v>45950</v>
      </c>
      <c r="V13" s="13">
        <f>WEEKNUM(CRM[[#This Row],[Fecha]])</f>
        <v>41</v>
      </c>
    </row>
    <row r="14" spans="1:22" ht="45.75" thickBot="1" x14ac:dyDescent="0.3">
      <c r="A14" s="40">
        <v>12</v>
      </c>
      <c r="B14" s="36">
        <v>45941</v>
      </c>
      <c r="C14" s="14" t="s">
        <v>47</v>
      </c>
      <c r="D14" s="13" t="s">
        <v>101</v>
      </c>
      <c r="E14" s="13"/>
      <c r="F14" s="15">
        <v>901907653</v>
      </c>
      <c r="G14" s="16" t="s">
        <v>102</v>
      </c>
      <c r="H14" s="14" t="s">
        <v>101</v>
      </c>
      <c r="I14" s="31"/>
      <c r="J14" s="13"/>
      <c r="K14" s="13"/>
      <c r="L14" s="13"/>
      <c r="M14" s="13" t="s">
        <v>89</v>
      </c>
      <c r="N14" s="13"/>
      <c r="O14" s="13" t="s">
        <v>35</v>
      </c>
      <c r="P14" s="17" t="s">
        <v>103</v>
      </c>
      <c r="Q14" s="17" t="s">
        <v>55</v>
      </c>
      <c r="R14" s="13"/>
      <c r="S14" s="13"/>
      <c r="T14" s="13"/>
      <c r="U14" s="25">
        <v>45950</v>
      </c>
      <c r="V14" s="13">
        <f>WEEKNUM(CRM[[#This Row],[Fecha]])</f>
        <v>41</v>
      </c>
    </row>
    <row r="15" spans="1:22" ht="45.75" thickBot="1" x14ac:dyDescent="0.3">
      <c r="A15" s="40">
        <v>13</v>
      </c>
      <c r="B15" s="36">
        <v>45941</v>
      </c>
      <c r="C15" s="14" t="s">
        <v>47</v>
      </c>
      <c r="D15" s="13" t="s">
        <v>104</v>
      </c>
      <c r="E15" s="13"/>
      <c r="F15" s="15">
        <v>961068366</v>
      </c>
      <c r="G15" s="16" t="s">
        <v>105</v>
      </c>
      <c r="H15" s="14" t="s">
        <v>104</v>
      </c>
      <c r="I15" s="31"/>
      <c r="J15" s="13"/>
      <c r="K15" s="13"/>
      <c r="L15" s="13"/>
      <c r="M15" s="13" t="s">
        <v>89</v>
      </c>
      <c r="N15" s="13"/>
      <c r="O15" s="13" t="s">
        <v>35</v>
      </c>
      <c r="P15" s="17" t="s">
        <v>106</v>
      </c>
      <c r="Q15" s="17" t="s">
        <v>55</v>
      </c>
      <c r="R15" s="13"/>
      <c r="S15" s="13"/>
      <c r="T15" s="13"/>
      <c r="U15" s="25"/>
      <c r="V15" s="13">
        <f>WEEKNUM(CRM[[#This Row],[Fecha]])</f>
        <v>41</v>
      </c>
    </row>
    <row r="16" spans="1:22" ht="45.75" thickBot="1" x14ac:dyDescent="0.3">
      <c r="A16" s="40">
        <v>14</v>
      </c>
      <c r="B16" s="36">
        <v>45941</v>
      </c>
      <c r="C16" s="14" t="s">
        <v>47</v>
      </c>
      <c r="D16" s="13" t="s">
        <v>107</v>
      </c>
      <c r="E16" s="13"/>
      <c r="F16" s="15">
        <v>933354736</v>
      </c>
      <c r="G16" s="16" t="s">
        <v>108</v>
      </c>
      <c r="H16" s="14" t="s">
        <v>107</v>
      </c>
      <c r="I16" s="31"/>
      <c r="J16" s="13"/>
      <c r="K16" s="13"/>
      <c r="L16" s="13"/>
      <c r="M16" s="13" t="s">
        <v>89</v>
      </c>
      <c r="N16" s="13"/>
      <c r="O16" s="13" t="s">
        <v>35</v>
      </c>
      <c r="P16" s="17" t="s">
        <v>109</v>
      </c>
      <c r="Q16" s="17" t="s">
        <v>55</v>
      </c>
      <c r="R16" s="13"/>
      <c r="S16" s="13"/>
      <c r="T16" s="13"/>
      <c r="U16" s="25"/>
      <c r="V16" s="13">
        <f>WEEKNUM(CRM[[#This Row],[Fecha]])</f>
        <v>41</v>
      </c>
    </row>
    <row r="17" spans="1:22" ht="45.75" thickBot="1" x14ac:dyDescent="0.3">
      <c r="A17" s="40">
        <v>15</v>
      </c>
      <c r="B17" s="36">
        <v>45941</v>
      </c>
      <c r="C17" s="14" t="s">
        <v>47</v>
      </c>
      <c r="D17" s="13" t="s">
        <v>110</v>
      </c>
      <c r="E17" s="13"/>
      <c r="F17" s="15">
        <v>943800284</v>
      </c>
      <c r="G17" s="16" t="s">
        <v>111</v>
      </c>
      <c r="H17" s="14" t="s">
        <v>110</v>
      </c>
      <c r="I17" s="31"/>
      <c r="J17" s="13"/>
      <c r="K17" s="13"/>
      <c r="L17" s="13"/>
      <c r="M17" s="13" t="s">
        <v>89</v>
      </c>
      <c r="N17" s="13"/>
      <c r="O17" s="13" t="s">
        <v>112</v>
      </c>
      <c r="P17" s="17" t="s">
        <v>106</v>
      </c>
      <c r="Q17" s="17" t="s">
        <v>55</v>
      </c>
      <c r="R17" s="13"/>
      <c r="S17" s="13"/>
      <c r="T17" s="13"/>
      <c r="U17" s="25"/>
      <c r="V17" s="13">
        <f>WEEKNUM(CRM[[#This Row],[Fecha]])</f>
        <v>41</v>
      </c>
    </row>
    <row r="18" spans="1:22" ht="45.75" thickBot="1" x14ac:dyDescent="0.3">
      <c r="A18" s="40">
        <v>16</v>
      </c>
      <c r="B18" s="36">
        <v>45941</v>
      </c>
      <c r="C18" s="14" t="s">
        <v>47</v>
      </c>
      <c r="D18" s="13" t="s">
        <v>113</v>
      </c>
      <c r="E18" s="13"/>
      <c r="F18" s="15">
        <v>954754624</v>
      </c>
      <c r="G18" s="16" t="s">
        <v>114</v>
      </c>
      <c r="H18" s="14" t="s">
        <v>113</v>
      </c>
      <c r="I18" s="31"/>
      <c r="J18" s="13"/>
      <c r="K18" s="13"/>
      <c r="L18" s="13"/>
      <c r="M18" s="13" t="s">
        <v>89</v>
      </c>
      <c r="N18" s="13"/>
      <c r="O18" s="13" t="s">
        <v>112</v>
      </c>
      <c r="P18" s="17" t="s">
        <v>115</v>
      </c>
      <c r="Q18" s="17" t="s">
        <v>55</v>
      </c>
      <c r="R18" s="13"/>
      <c r="S18" s="13"/>
      <c r="T18" s="13"/>
      <c r="U18" s="25">
        <v>45950</v>
      </c>
      <c r="V18" s="13">
        <f>WEEKNUM(CRM[[#This Row],[Fecha]])</f>
        <v>41</v>
      </c>
    </row>
    <row r="19" spans="1:22" ht="45.75" thickBot="1" x14ac:dyDescent="0.3">
      <c r="A19" s="40">
        <v>17</v>
      </c>
      <c r="B19" s="36">
        <v>45944</v>
      </c>
      <c r="C19" s="14" t="s">
        <v>47</v>
      </c>
      <c r="D19" s="13" t="s">
        <v>117</v>
      </c>
      <c r="E19" s="13" t="s">
        <v>118</v>
      </c>
      <c r="F19" s="15">
        <v>947970444</v>
      </c>
      <c r="G19" s="16" t="s">
        <v>119</v>
      </c>
      <c r="H19" s="14" t="s">
        <v>116</v>
      </c>
      <c r="I19" s="31">
        <v>20101980112</v>
      </c>
      <c r="J19" s="13"/>
      <c r="K19" s="13" t="s">
        <v>51</v>
      </c>
      <c r="L19" s="13" t="s">
        <v>120</v>
      </c>
      <c r="M19" s="13" t="s">
        <v>121</v>
      </c>
      <c r="N19" s="13"/>
      <c r="O19" s="13" t="s">
        <v>112</v>
      </c>
      <c r="P19" s="17" t="s">
        <v>122</v>
      </c>
      <c r="Q19" s="17" t="s">
        <v>55</v>
      </c>
      <c r="R19" s="13"/>
      <c r="S19" s="13"/>
      <c r="T19" s="13"/>
      <c r="U19" s="25"/>
      <c r="V19" s="13">
        <f>WEEKNUM(CRM[[#This Row],[Fecha]])</f>
        <v>42</v>
      </c>
    </row>
    <row r="20" spans="1:22" ht="45.75" thickBot="1" x14ac:dyDescent="0.3">
      <c r="A20" s="40">
        <v>18</v>
      </c>
      <c r="B20" s="36">
        <v>45944</v>
      </c>
      <c r="C20" s="14" t="s">
        <v>47</v>
      </c>
      <c r="D20" s="13" t="s">
        <v>124</v>
      </c>
      <c r="E20" s="13" t="s">
        <v>125</v>
      </c>
      <c r="F20" s="15">
        <v>934207138</v>
      </c>
      <c r="G20" s="16"/>
      <c r="H20" s="14" t="s">
        <v>123</v>
      </c>
      <c r="I20" s="31">
        <v>20521916703</v>
      </c>
      <c r="J20" s="13"/>
      <c r="K20" s="13" t="s">
        <v>51</v>
      </c>
      <c r="L20" s="13" t="s">
        <v>120</v>
      </c>
      <c r="M20" s="13" t="s">
        <v>126</v>
      </c>
      <c r="N20" s="13"/>
      <c r="O20" s="13" t="s">
        <v>112</v>
      </c>
      <c r="P20" s="17" t="s">
        <v>127</v>
      </c>
      <c r="Q20" s="17" t="s">
        <v>55</v>
      </c>
      <c r="R20" s="13"/>
      <c r="S20" s="13"/>
      <c r="T20" s="13"/>
      <c r="U20" s="25"/>
      <c r="V20" s="13">
        <f>WEEKNUM(CRM[[#This Row],[Fecha]])</f>
        <v>42</v>
      </c>
    </row>
    <row r="21" spans="1:22" ht="57.75" thickBot="1" x14ac:dyDescent="0.3">
      <c r="A21" s="40">
        <v>19</v>
      </c>
      <c r="B21" s="36">
        <v>45944</v>
      </c>
      <c r="C21" s="14" t="s">
        <v>47</v>
      </c>
      <c r="D21" s="13" t="s">
        <v>129</v>
      </c>
      <c r="E21" s="13" t="s">
        <v>118</v>
      </c>
      <c r="F21" s="15">
        <v>946164816</v>
      </c>
      <c r="G21" s="16"/>
      <c r="H21" s="14" t="s">
        <v>128</v>
      </c>
      <c r="I21" s="31">
        <v>20469472231</v>
      </c>
      <c r="J21" s="13"/>
      <c r="K21" s="13" t="s">
        <v>51</v>
      </c>
      <c r="L21" s="13" t="s">
        <v>120</v>
      </c>
      <c r="M21" s="13" t="s">
        <v>121</v>
      </c>
      <c r="N21" s="13"/>
      <c r="O21" s="13" t="s">
        <v>112</v>
      </c>
      <c r="P21" s="17" t="s">
        <v>130</v>
      </c>
      <c r="Q21" s="17" t="s">
        <v>55</v>
      </c>
      <c r="R21" s="13"/>
      <c r="S21" s="13"/>
      <c r="T21" s="13"/>
      <c r="U21" s="25"/>
      <c r="V21" s="13">
        <f>WEEKNUM(CRM[[#This Row],[Fecha]])</f>
        <v>42</v>
      </c>
    </row>
    <row r="22" spans="1:22" ht="60.75" thickBot="1" x14ac:dyDescent="0.3">
      <c r="A22" s="40">
        <v>20</v>
      </c>
      <c r="B22" s="36">
        <v>45944</v>
      </c>
      <c r="C22" s="14" t="s">
        <v>47</v>
      </c>
      <c r="D22" s="13" t="s">
        <v>132</v>
      </c>
      <c r="E22" s="13" t="s">
        <v>49</v>
      </c>
      <c r="F22" s="15">
        <v>993442216</v>
      </c>
      <c r="G22" s="16" t="s">
        <v>133</v>
      </c>
      <c r="H22" s="14" t="s">
        <v>131</v>
      </c>
      <c r="I22" s="31">
        <v>20603250681</v>
      </c>
      <c r="J22" s="13"/>
      <c r="K22" s="13" t="s">
        <v>51</v>
      </c>
      <c r="L22" s="13" t="s">
        <v>120</v>
      </c>
      <c r="M22" s="13" t="s">
        <v>121</v>
      </c>
      <c r="N22" s="13"/>
      <c r="O22" s="13" t="s">
        <v>112</v>
      </c>
      <c r="P22" s="17" t="s">
        <v>134</v>
      </c>
      <c r="Q22" s="17" t="s">
        <v>55</v>
      </c>
      <c r="R22" s="13"/>
      <c r="S22" s="13"/>
      <c r="T22" s="13"/>
      <c r="U22" s="25"/>
      <c r="V22" s="13">
        <f>WEEKNUM(CRM[[#This Row],[Fecha]])</f>
        <v>42</v>
      </c>
    </row>
    <row r="23" spans="1:22" ht="105.75" thickBot="1" x14ac:dyDescent="0.3">
      <c r="A23" s="40">
        <v>21</v>
      </c>
      <c r="B23" s="36">
        <v>45944</v>
      </c>
      <c r="C23" s="14" t="s">
        <v>47</v>
      </c>
      <c r="D23" s="13" t="s">
        <v>136</v>
      </c>
      <c r="E23" s="13" t="s">
        <v>137</v>
      </c>
      <c r="F23" s="15">
        <v>943697381</v>
      </c>
      <c r="G23" s="16" t="s">
        <v>138</v>
      </c>
      <c r="H23" s="14" t="s">
        <v>135</v>
      </c>
      <c r="I23" s="31">
        <v>20552429258</v>
      </c>
      <c r="J23" s="13"/>
      <c r="K23" s="13" t="s">
        <v>51</v>
      </c>
      <c r="L23" s="13" t="s">
        <v>120</v>
      </c>
      <c r="M23" s="13" t="s">
        <v>121</v>
      </c>
      <c r="N23" s="13"/>
      <c r="O23" s="13" t="s">
        <v>112</v>
      </c>
      <c r="P23" s="17" t="s">
        <v>139</v>
      </c>
      <c r="Q23" s="17" t="s">
        <v>55</v>
      </c>
      <c r="R23" s="13"/>
      <c r="S23" s="13"/>
      <c r="T23" s="13"/>
      <c r="U23" s="25"/>
      <c r="V23" s="13">
        <f>WEEKNUM(CRM[[#This Row],[Fecha]])</f>
        <v>42</v>
      </c>
    </row>
    <row r="24" spans="1:22" ht="45.75" thickBot="1" x14ac:dyDescent="0.3">
      <c r="A24" s="40">
        <v>22</v>
      </c>
      <c r="B24" s="36">
        <v>45944</v>
      </c>
      <c r="C24" s="14" t="s">
        <v>47</v>
      </c>
      <c r="D24" s="13" t="s">
        <v>141</v>
      </c>
      <c r="E24" s="13" t="s">
        <v>118</v>
      </c>
      <c r="F24" s="15" t="s">
        <v>142</v>
      </c>
      <c r="G24" s="16" t="s">
        <v>143</v>
      </c>
      <c r="H24" s="14" t="s">
        <v>140</v>
      </c>
      <c r="I24" s="31">
        <v>20547359799</v>
      </c>
      <c r="J24" s="13"/>
      <c r="K24" s="13" t="s">
        <v>51</v>
      </c>
      <c r="L24" s="13" t="s">
        <v>120</v>
      </c>
      <c r="M24" s="13" t="s">
        <v>121</v>
      </c>
      <c r="N24" s="13"/>
      <c r="O24" s="13" t="s">
        <v>112</v>
      </c>
      <c r="P24" s="17" t="s">
        <v>144</v>
      </c>
      <c r="Q24" s="17" t="s">
        <v>55</v>
      </c>
      <c r="R24" s="13"/>
      <c r="S24" s="13"/>
      <c r="T24" s="13"/>
      <c r="U24" s="25"/>
      <c r="V24" s="13">
        <f>WEEKNUM(CRM[[#This Row],[Fecha]])</f>
        <v>42</v>
      </c>
    </row>
    <row r="25" spans="1:22" ht="60.75" thickBot="1" x14ac:dyDescent="0.3">
      <c r="A25" s="40">
        <v>23</v>
      </c>
      <c r="B25" s="36">
        <v>45944</v>
      </c>
      <c r="C25" s="14" t="s">
        <v>47</v>
      </c>
      <c r="D25" s="13" t="s">
        <v>146</v>
      </c>
      <c r="E25" s="13" t="s">
        <v>118</v>
      </c>
      <c r="F25" s="15">
        <v>2250846</v>
      </c>
      <c r="G25" s="16" t="s">
        <v>147</v>
      </c>
      <c r="H25" s="14" t="s">
        <v>145</v>
      </c>
      <c r="I25" s="31">
        <v>20514633151</v>
      </c>
      <c r="J25" s="13"/>
      <c r="K25" s="13" t="s">
        <v>51</v>
      </c>
      <c r="L25" s="13" t="s">
        <v>120</v>
      </c>
      <c r="M25" s="13" t="s">
        <v>121</v>
      </c>
      <c r="N25" s="13"/>
      <c r="O25" s="13" t="s">
        <v>112</v>
      </c>
      <c r="P25" s="17" t="s">
        <v>148</v>
      </c>
      <c r="Q25" s="17" t="s">
        <v>55</v>
      </c>
      <c r="R25" s="13"/>
      <c r="S25" s="13"/>
      <c r="T25" s="13"/>
      <c r="U25" s="25"/>
      <c r="V25" s="13">
        <f>WEEKNUM(CRM[[#This Row],[Fecha]])</f>
        <v>42</v>
      </c>
    </row>
    <row r="26" spans="1:22" ht="75.75" thickBot="1" x14ac:dyDescent="0.3">
      <c r="A26" s="40">
        <v>24</v>
      </c>
      <c r="B26" s="36">
        <v>45944</v>
      </c>
      <c r="C26" s="14" t="s">
        <v>47</v>
      </c>
      <c r="D26" s="13" t="s">
        <v>150</v>
      </c>
      <c r="E26" s="13" t="s">
        <v>118</v>
      </c>
      <c r="F26" s="15">
        <v>945784187</v>
      </c>
      <c r="G26" s="16" t="s">
        <v>151</v>
      </c>
      <c r="H26" s="14" t="s">
        <v>149</v>
      </c>
      <c r="I26" s="31">
        <v>20548606412</v>
      </c>
      <c r="J26" s="13"/>
      <c r="K26" s="13" t="s">
        <v>51</v>
      </c>
      <c r="L26" s="13" t="s">
        <v>120</v>
      </c>
      <c r="M26" s="13" t="s">
        <v>121</v>
      </c>
      <c r="N26" s="13"/>
      <c r="O26" s="13" t="s">
        <v>112</v>
      </c>
      <c r="P26" s="17" t="s">
        <v>152</v>
      </c>
      <c r="Q26" s="17" t="s">
        <v>55</v>
      </c>
      <c r="R26" s="13"/>
      <c r="S26" s="13"/>
      <c r="T26" s="13"/>
      <c r="U26" s="25"/>
      <c r="V26" s="13">
        <f>WEEKNUM(CRM[[#This Row],[Fecha]])</f>
        <v>42</v>
      </c>
    </row>
    <row r="27" spans="1:22" ht="45.75" thickBot="1" x14ac:dyDescent="0.3">
      <c r="A27" s="40">
        <v>25</v>
      </c>
      <c r="B27" s="36">
        <v>45944</v>
      </c>
      <c r="C27" s="14" t="s">
        <v>47</v>
      </c>
      <c r="D27" s="13" t="s">
        <v>154</v>
      </c>
      <c r="E27" s="13" t="s">
        <v>118</v>
      </c>
      <c r="F27" s="15">
        <v>969321393</v>
      </c>
      <c r="G27" s="16"/>
      <c r="H27" s="14" t="s">
        <v>153</v>
      </c>
      <c r="I27" s="31">
        <v>20557432745</v>
      </c>
      <c r="J27" s="13"/>
      <c r="K27" s="13" t="s">
        <v>51</v>
      </c>
      <c r="L27" s="13" t="s">
        <v>120</v>
      </c>
      <c r="M27" s="13" t="s">
        <v>121</v>
      </c>
      <c r="N27" s="13"/>
      <c r="O27" s="13" t="s">
        <v>112</v>
      </c>
      <c r="P27" s="17" t="s">
        <v>155</v>
      </c>
      <c r="Q27" s="17" t="s">
        <v>55</v>
      </c>
      <c r="R27" s="13"/>
      <c r="S27" s="13"/>
      <c r="T27" s="13"/>
      <c r="U27" s="25"/>
      <c r="V27" s="13">
        <f>WEEKNUM(CRM[[#This Row],[Fecha]])</f>
        <v>42</v>
      </c>
    </row>
    <row r="28" spans="1:22" ht="45.75" thickBot="1" x14ac:dyDescent="0.3">
      <c r="A28" s="40">
        <v>26</v>
      </c>
      <c r="B28" s="36">
        <v>45944</v>
      </c>
      <c r="C28" s="14" t="s">
        <v>47</v>
      </c>
      <c r="D28" s="13" t="s">
        <v>157</v>
      </c>
      <c r="E28" s="13" t="s">
        <v>118</v>
      </c>
      <c r="F28" s="15" t="s">
        <v>158</v>
      </c>
      <c r="G28" s="16" t="s">
        <v>159</v>
      </c>
      <c r="H28" s="14" t="s">
        <v>156</v>
      </c>
      <c r="I28" s="31">
        <v>20545748861</v>
      </c>
      <c r="J28" s="13"/>
      <c r="K28" s="13" t="s">
        <v>51</v>
      </c>
      <c r="L28" s="13" t="s">
        <v>120</v>
      </c>
      <c r="M28" s="13" t="s">
        <v>121</v>
      </c>
      <c r="N28" s="13"/>
      <c r="O28" s="13" t="s">
        <v>112</v>
      </c>
      <c r="P28" s="17" t="s">
        <v>160</v>
      </c>
      <c r="Q28" s="17" t="s">
        <v>55</v>
      </c>
      <c r="R28" s="13"/>
      <c r="S28" s="13"/>
      <c r="T28" s="13"/>
      <c r="U28" s="25"/>
      <c r="V28" s="13">
        <f>WEEKNUM(CRM[[#This Row],[Fecha]])</f>
        <v>42</v>
      </c>
    </row>
    <row r="29" spans="1:22" ht="45.75" thickBot="1" x14ac:dyDescent="0.3">
      <c r="A29" s="40">
        <v>27</v>
      </c>
      <c r="B29" s="36">
        <v>45944</v>
      </c>
      <c r="C29" s="14" t="s">
        <v>47</v>
      </c>
      <c r="D29" s="13" t="s">
        <v>162</v>
      </c>
      <c r="E29" s="13" t="s">
        <v>118</v>
      </c>
      <c r="F29" s="15">
        <v>993574549</v>
      </c>
      <c r="G29" s="16" t="s">
        <v>163</v>
      </c>
      <c r="H29" s="14" t="s">
        <v>161</v>
      </c>
      <c r="I29" s="31">
        <v>20573851031</v>
      </c>
      <c r="J29" s="13"/>
      <c r="K29" s="13" t="s">
        <v>51</v>
      </c>
      <c r="L29" s="13" t="s">
        <v>120</v>
      </c>
      <c r="M29" s="13" t="s">
        <v>121</v>
      </c>
      <c r="N29" s="13"/>
      <c r="O29" s="13" t="s">
        <v>112</v>
      </c>
      <c r="P29" s="17" t="s">
        <v>164</v>
      </c>
      <c r="Q29" s="17" t="s">
        <v>55</v>
      </c>
      <c r="R29" s="13"/>
      <c r="S29" s="13"/>
      <c r="T29" s="13"/>
      <c r="U29" s="25"/>
      <c r="V29" s="13">
        <f>WEEKNUM(CRM[[#This Row],[Fecha]])</f>
        <v>42</v>
      </c>
    </row>
    <row r="30" spans="1:22" ht="75.75" thickBot="1" x14ac:dyDescent="0.3">
      <c r="A30" s="40">
        <v>28</v>
      </c>
      <c r="B30" s="36">
        <v>45946</v>
      </c>
      <c r="C30" s="14" t="s">
        <v>47</v>
      </c>
      <c r="D30" s="13" t="s">
        <v>166</v>
      </c>
      <c r="E30" s="13" t="s">
        <v>118</v>
      </c>
      <c r="F30" s="15">
        <v>960644808</v>
      </c>
      <c r="G30" s="16" t="s">
        <v>167</v>
      </c>
      <c r="H30" s="14" t="s">
        <v>165</v>
      </c>
      <c r="I30" s="31">
        <v>20505955014</v>
      </c>
      <c r="J30" s="13"/>
      <c r="K30" s="13" t="s">
        <v>51</v>
      </c>
      <c r="L30" s="13" t="s">
        <v>168</v>
      </c>
      <c r="M30" s="13" t="s">
        <v>121</v>
      </c>
      <c r="N30" s="13"/>
      <c r="O30" s="13" t="s">
        <v>112</v>
      </c>
      <c r="P30" s="17" t="s">
        <v>169</v>
      </c>
      <c r="Q30" s="17" t="s">
        <v>55</v>
      </c>
      <c r="R30" s="13"/>
      <c r="S30" s="13"/>
      <c r="T30" s="13"/>
      <c r="U30" s="25">
        <v>45947</v>
      </c>
      <c r="V30" s="13">
        <f>WEEKNUM(CRM[[#This Row],[Fecha]])</f>
        <v>42</v>
      </c>
    </row>
    <row r="31" spans="1:22" ht="75.75" thickBot="1" x14ac:dyDescent="0.3">
      <c r="A31" s="40">
        <v>29</v>
      </c>
      <c r="B31" s="36">
        <v>45946</v>
      </c>
      <c r="C31" s="14" t="s">
        <v>47</v>
      </c>
      <c r="D31" s="13" t="s">
        <v>171</v>
      </c>
      <c r="E31" s="13" t="s">
        <v>118</v>
      </c>
      <c r="F31" s="15" t="s">
        <v>172</v>
      </c>
      <c r="G31" s="16" t="s">
        <v>173</v>
      </c>
      <c r="H31" s="14" t="s">
        <v>170</v>
      </c>
      <c r="I31" s="31">
        <v>20601983550</v>
      </c>
      <c r="J31" s="13"/>
      <c r="K31" s="13" t="s">
        <v>51</v>
      </c>
      <c r="L31" s="13" t="s">
        <v>168</v>
      </c>
      <c r="M31" s="13" t="s">
        <v>121</v>
      </c>
      <c r="N31" s="13"/>
      <c r="O31" s="13" t="s">
        <v>112</v>
      </c>
      <c r="P31" s="17" t="s">
        <v>174</v>
      </c>
      <c r="Q31" s="17" t="s">
        <v>55</v>
      </c>
      <c r="R31" s="13"/>
      <c r="S31" s="13"/>
      <c r="T31" s="13"/>
      <c r="U31" s="25">
        <v>45947</v>
      </c>
      <c r="V31" s="13">
        <f>WEEKNUM(CRM[[#This Row],[Fecha]])</f>
        <v>42</v>
      </c>
    </row>
    <row r="32" spans="1:22" ht="30.75" thickBot="1" x14ac:dyDescent="0.3">
      <c r="A32" s="40">
        <v>30</v>
      </c>
      <c r="B32" s="36">
        <v>45946</v>
      </c>
      <c r="C32" s="14" t="s">
        <v>47</v>
      </c>
      <c r="D32" s="13" t="s">
        <v>176</v>
      </c>
      <c r="E32" s="13" t="s">
        <v>118</v>
      </c>
      <c r="F32" s="15">
        <v>987233288</v>
      </c>
      <c r="G32" s="16"/>
      <c r="H32" s="14" t="s">
        <v>175</v>
      </c>
      <c r="I32" s="31">
        <v>20573851031</v>
      </c>
      <c r="J32" s="13"/>
      <c r="K32" s="13" t="s">
        <v>51</v>
      </c>
      <c r="L32" s="13" t="s">
        <v>168</v>
      </c>
      <c r="M32" s="13" t="s">
        <v>121</v>
      </c>
      <c r="N32" s="13"/>
      <c r="O32" s="13" t="s">
        <v>112</v>
      </c>
      <c r="P32" s="17" t="s">
        <v>177</v>
      </c>
      <c r="Q32" s="17" t="s">
        <v>55</v>
      </c>
      <c r="R32" s="13"/>
      <c r="S32" s="13"/>
      <c r="T32" s="13"/>
      <c r="U32" s="25">
        <v>45947</v>
      </c>
      <c r="V32" s="13">
        <f>WEEKNUM(CRM[[#This Row],[Fecha]])</f>
        <v>42</v>
      </c>
    </row>
    <row r="33" spans="1:22" ht="60.75" thickBot="1" x14ac:dyDescent="0.3">
      <c r="A33" s="40">
        <v>31</v>
      </c>
      <c r="B33" s="36">
        <v>45946</v>
      </c>
      <c r="C33" s="14" t="s">
        <v>47</v>
      </c>
      <c r="D33" s="13" t="s">
        <v>179</v>
      </c>
      <c r="E33" s="13" t="s">
        <v>118</v>
      </c>
      <c r="F33" s="15" t="s">
        <v>180</v>
      </c>
      <c r="G33" s="16" t="s">
        <v>181</v>
      </c>
      <c r="H33" s="14" t="s">
        <v>178</v>
      </c>
      <c r="I33" s="31">
        <v>20538527000</v>
      </c>
      <c r="J33" s="13"/>
      <c r="K33" s="13" t="s">
        <v>51</v>
      </c>
      <c r="L33" s="13" t="s">
        <v>182</v>
      </c>
      <c r="M33" s="13" t="s">
        <v>89</v>
      </c>
      <c r="N33" s="13"/>
      <c r="O33" s="13" t="s">
        <v>112</v>
      </c>
      <c r="P33" s="17" t="s">
        <v>183</v>
      </c>
      <c r="Q33" s="17" t="s">
        <v>55</v>
      </c>
      <c r="R33" s="13"/>
      <c r="S33" s="13"/>
      <c r="T33" s="13"/>
      <c r="U33" s="25">
        <v>45946</v>
      </c>
      <c r="V33" s="13">
        <f>WEEKNUM(CRM[[#This Row],[Fecha]])</f>
        <v>42</v>
      </c>
    </row>
    <row r="34" spans="1:22" ht="60.75" thickBot="1" x14ac:dyDescent="0.3">
      <c r="A34" s="40">
        <v>32</v>
      </c>
      <c r="B34" s="36">
        <v>45946</v>
      </c>
      <c r="C34" s="14" t="s">
        <v>47</v>
      </c>
      <c r="D34" s="13" t="s">
        <v>185</v>
      </c>
      <c r="E34" s="13" t="s">
        <v>118</v>
      </c>
      <c r="F34" s="15">
        <v>957598160</v>
      </c>
      <c r="G34" s="16" t="s">
        <v>186</v>
      </c>
      <c r="H34" s="14" t="s">
        <v>184</v>
      </c>
      <c r="I34" s="31">
        <v>20602446493</v>
      </c>
      <c r="J34" s="13"/>
      <c r="K34" s="13" t="s">
        <v>51</v>
      </c>
      <c r="L34" s="13" t="s">
        <v>182</v>
      </c>
      <c r="M34" s="13" t="s">
        <v>89</v>
      </c>
      <c r="N34" s="13"/>
      <c r="O34" s="13" t="s">
        <v>112</v>
      </c>
      <c r="P34" s="17" t="s">
        <v>187</v>
      </c>
      <c r="Q34" s="17" t="s">
        <v>55</v>
      </c>
      <c r="R34" s="13"/>
      <c r="S34" s="13"/>
      <c r="T34" s="13"/>
      <c r="U34" s="25">
        <v>45946</v>
      </c>
      <c r="V34" s="13">
        <f>WEEKNUM(CRM[[#This Row],[Fecha]])</f>
        <v>42</v>
      </c>
    </row>
    <row r="35" spans="1:22" ht="60.75" thickBot="1" x14ac:dyDescent="0.3">
      <c r="A35" s="40">
        <v>33</v>
      </c>
      <c r="B35" s="36">
        <v>45946</v>
      </c>
      <c r="C35" s="14" t="s">
        <v>47</v>
      </c>
      <c r="D35" s="13" t="s">
        <v>189</v>
      </c>
      <c r="E35" s="13" t="s">
        <v>118</v>
      </c>
      <c r="F35" s="15" t="s">
        <v>190</v>
      </c>
      <c r="G35" s="16" t="s">
        <v>191</v>
      </c>
      <c r="H35" s="14" t="s">
        <v>188</v>
      </c>
      <c r="I35" s="31">
        <v>20543890511</v>
      </c>
      <c r="J35" s="13"/>
      <c r="K35" s="13" t="s">
        <v>51</v>
      </c>
      <c r="L35" s="13" t="s">
        <v>182</v>
      </c>
      <c r="M35" s="13" t="s">
        <v>89</v>
      </c>
      <c r="N35" s="13"/>
      <c r="O35" s="13" t="s">
        <v>112</v>
      </c>
      <c r="P35" s="17" t="s">
        <v>192</v>
      </c>
      <c r="Q35" s="17" t="s">
        <v>55</v>
      </c>
      <c r="R35" s="13"/>
      <c r="S35" s="13"/>
      <c r="T35" s="13"/>
      <c r="U35" s="25">
        <v>45946</v>
      </c>
      <c r="V35" s="13">
        <f>WEEKNUM(CRM[[#This Row],[Fecha]])</f>
        <v>42</v>
      </c>
    </row>
    <row r="36" spans="1:22" ht="60.75" thickBot="1" x14ac:dyDescent="0.3">
      <c r="A36" s="40">
        <v>34</v>
      </c>
      <c r="B36" s="36">
        <v>45946</v>
      </c>
      <c r="C36" s="14" t="s">
        <v>47</v>
      </c>
      <c r="D36" s="13" t="s">
        <v>194</v>
      </c>
      <c r="E36" s="13" t="s">
        <v>118</v>
      </c>
      <c r="F36" s="15" t="s">
        <v>195</v>
      </c>
      <c r="G36" s="16"/>
      <c r="H36" s="14" t="s">
        <v>193</v>
      </c>
      <c r="I36" s="31">
        <v>20490632965</v>
      </c>
      <c r="J36" s="13"/>
      <c r="K36" s="13" t="s">
        <v>51</v>
      </c>
      <c r="L36" s="13" t="s">
        <v>182</v>
      </c>
      <c r="M36" s="13" t="s">
        <v>89</v>
      </c>
      <c r="N36" s="13"/>
      <c r="O36" s="13" t="s">
        <v>112</v>
      </c>
      <c r="P36" s="17" t="s">
        <v>196</v>
      </c>
      <c r="Q36" s="17" t="s">
        <v>55</v>
      </c>
      <c r="R36" s="13"/>
      <c r="S36" s="13"/>
      <c r="T36" s="13"/>
      <c r="U36" s="25">
        <v>45947</v>
      </c>
      <c r="V36" s="13">
        <f>WEEKNUM(CRM[[#This Row],[Fecha]])</f>
        <v>42</v>
      </c>
    </row>
    <row r="37" spans="1:22" ht="60.75" thickBot="1" x14ac:dyDescent="0.3">
      <c r="A37" s="40">
        <v>35</v>
      </c>
      <c r="B37" s="36">
        <v>45946</v>
      </c>
      <c r="C37" s="14" t="s">
        <v>47</v>
      </c>
      <c r="D37" s="13" t="s">
        <v>198</v>
      </c>
      <c r="E37" s="13" t="s">
        <v>199</v>
      </c>
      <c r="F37" s="15"/>
      <c r="G37" s="16"/>
      <c r="H37" s="14" t="s">
        <v>197</v>
      </c>
      <c r="I37" s="31">
        <v>20614329794</v>
      </c>
      <c r="J37" s="13"/>
      <c r="K37" s="13" t="s">
        <v>51</v>
      </c>
      <c r="L37" s="13" t="s">
        <v>182</v>
      </c>
      <c r="M37" s="13" t="s">
        <v>89</v>
      </c>
      <c r="N37" s="13"/>
      <c r="O37" s="13" t="s">
        <v>112</v>
      </c>
      <c r="P37" s="17" t="s">
        <v>200</v>
      </c>
      <c r="Q37" s="17" t="s">
        <v>55</v>
      </c>
      <c r="R37" s="13"/>
      <c r="S37" s="13"/>
      <c r="T37" s="13"/>
      <c r="U37" s="25">
        <v>45947</v>
      </c>
      <c r="V37" s="13">
        <f>WEEKNUM(CRM[[#This Row],[Fecha]])</f>
        <v>42</v>
      </c>
    </row>
    <row r="38" spans="1:22" ht="60.75" thickBot="1" x14ac:dyDescent="0.3">
      <c r="A38" s="40">
        <v>36</v>
      </c>
      <c r="B38" s="36">
        <v>45946</v>
      </c>
      <c r="C38" s="14" t="s">
        <v>47</v>
      </c>
      <c r="D38" s="13" t="s">
        <v>202</v>
      </c>
      <c r="E38" s="13" t="s">
        <v>199</v>
      </c>
      <c r="F38" s="15">
        <v>973486128</v>
      </c>
      <c r="G38" s="16" t="s">
        <v>203</v>
      </c>
      <c r="H38" s="14" t="s">
        <v>201</v>
      </c>
      <c r="I38" s="31">
        <v>20606705434</v>
      </c>
      <c r="J38" s="13"/>
      <c r="K38" s="13" t="s">
        <v>51</v>
      </c>
      <c r="L38" s="13" t="s">
        <v>182</v>
      </c>
      <c r="M38" s="13" t="s">
        <v>89</v>
      </c>
      <c r="N38" s="13"/>
      <c r="O38" s="13" t="s">
        <v>112</v>
      </c>
      <c r="P38" s="17" t="s">
        <v>204</v>
      </c>
      <c r="Q38" s="17" t="s">
        <v>55</v>
      </c>
      <c r="R38" s="13"/>
      <c r="S38" s="13"/>
      <c r="T38" s="13"/>
      <c r="U38" s="25">
        <v>45947</v>
      </c>
      <c r="V38" s="13">
        <f>WEEKNUM(CRM[[#This Row],[Fecha]])</f>
        <v>42</v>
      </c>
    </row>
    <row r="39" spans="1:22" ht="45.75" thickBot="1" x14ac:dyDescent="0.3">
      <c r="A39" s="40">
        <v>37</v>
      </c>
      <c r="B39" s="36">
        <v>45946</v>
      </c>
      <c r="C39" s="14" t="s">
        <v>47</v>
      </c>
      <c r="D39" s="13" t="s">
        <v>206</v>
      </c>
      <c r="E39" s="13" t="s">
        <v>118</v>
      </c>
      <c r="F39" s="15">
        <v>987099900</v>
      </c>
      <c r="G39" s="16" t="s">
        <v>207</v>
      </c>
      <c r="H39" s="14" t="s">
        <v>205</v>
      </c>
      <c r="I39" s="31" t="s">
        <v>208</v>
      </c>
      <c r="J39" s="13"/>
      <c r="K39" s="13" t="s">
        <v>51</v>
      </c>
      <c r="L39" s="13" t="s">
        <v>182</v>
      </c>
      <c r="M39" s="13" t="s">
        <v>89</v>
      </c>
      <c r="N39" s="13"/>
      <c r="O39" s="13" t="s">
        <v>112</v>
      </c>
      <c r="P39" s="17" t="s">
        <v>209</v>
      </c>
      <c r="Q39" s="17" t="s">
        <v>55</v>
      </c>
      <c r="R39" s="13"/>
      <c r="S39" s="13"/>
      <c r="T39" s="13"/>
      <c r="U39" s="25">
        <v>45947</v>
      </c>
      <c r="V39" s="13">
        <f>WEEKNUM(CRM[[#This Row],[Fecha]])</f>
        <v>42</v>
      </c>
    </row>
    <row r="40" spans="1:22" ht="72" thickBot="1" x14ac:dyDescent="0.3">
      <c r="A40" s="40">
        <v>38</v>
      </c>
      <c r="B40" s="36">
        <v>45950</v>
      </c>
      <c r="C40" s="14" t="s">
        <v>47</v>
      </c>
      <c r="D40" s="13" t="s">
        <v>57</v>
      </c>
      <c r="E40" s="13" t="s">
        <v>58</v>
      </c>
      <c r="F40" s="15">
        <v>924997650</v>
      </c>
      <c r="G40" s="16" t="s">
        <v>59</v>
      </c>
      <c r="H40" s="14" t="s">
        <v>56</v>
      </c>
      <c r="I40" s="31">
        <v>20547728824</v>
      </c>
      <c r="J40" s="13"/>
      <c r="K40" s="13" t="s">
        <v>51</v>
      </c>
      <c r="L40" s="13" t="s">
        <v>210</v>
      </c>
      <c r="M40" s="13" t="s">
        <v>53</v>
      </c>
      <c r="N40" s="13"/>
      <c r="O40" s="13" t="s">
        <v>112</v>
      </c>
      <c r="P40" s="17" t="s">
        <v>211</v>
      </c>
      <c r="Q40" s="17" t="s">
        <v>86</v>
      </c>
      <c r="R40" s="13"/>
      <c r="S40" s="13"/>
      <c r="T40" s="13"/>
      <c r="U40" s="25">
        <v>45962</v>
      </c>
      <c r="V40" s="13">
        <f>WEEKNUM(CRM[[#This Row],[Fecha]])</f>
        <v>43</v>
      </c>
    </row>
    <row r="41" spans="1:22" ht="86.25" thickBot="1" x14ac:dyDescent="0.3">
      <c r="A41" s="40">
        <v>39</v>
      </c>
      <c r="B41" s="36">
        <v>45950</v>
      </c>
      <c r="C41" s="14" t="s">
        <v>47</v>
      </c>
      <c r="D41" s="13" t="s">
        <v>81</v>
      </c>
      <c r="E41" s="13" t="s">
        <v>82</v>
      </c>
      <c r="F41" s="15">
        <v>970175949</v>
      </c>
      <c r="G41" s="16" t="s">
        <v>212</v>
      </c>
      <c r="H41" s="14" t="s">
        <v>80</v>
      </c>
      <c r="I41" s="31">
        <v>10774619271</v>
      </c>
      <c r="J41" s="13"/>
      <c r="K41" s="13" t="s">
        <v>84</v>
      </c>
      <c r="L41" s="13" t="s">
        <v>84</v>
      </c>
      <c r="M41" s="13" t="s">
        <v>78</v>
      </c>
      <c r="N41" s="13"/>
      <c r="O41" s="13" t="s">
        <v>112</v>
      </c>
      <c r="P41" s="17" t="s">
        <v>213</v>
      </c>
      <c r="Q41" s="17" t="s">
        <v>86</v>
      </c>
      <c r="R41" s="13"/>
      <c r="S41" s="13"/>
      <c r="T41" s="13"/>
      <c r="U41" s="25">
        <v>45962</v>
      </c>
      <c r="V41" s="13">
        <f>WEEKNUM(CRM[[#This Row],[Fecha]])</f>
        <v>43</v>
      </c>
    </row>
    <row r="42" spans="1:22" ht="45.75" thickBot="1" x14ac:dyDescent="0.3">
      <c r="A42" s="40">
        <v>40</v>
      </c>
      <c r="B42" s="36">
        <v>45950</v>
      </c>
      <c r="C42" s="14" t="s">
        <v>47</v>
      </c>
      <c r="D42" s="13" t="s">
        <v>104</v>
      </c>
      <c r="E42" s="13"/>
      <c r="F42" s="15">
        <v>961068366</v>
      </c>
      <c r="G42" s="16" t="s">
        <v>105</v>
      </c>
      <c r="H42" s="14" t="s">
        <v>104</v>
      </c>
      <c r="I42" s="31"/>
      <c r="J42" s="13"/>
      <c r="K42" s="13" t="s">
        <v>51</v>
      </c>
      <c r="L42" s="13" t="s">
        <v>168</v>
      </c>
      <c r="M42" s="13" t="s">
        <v>89</v>
      </c>
      <c r="N42" s="13"/>
      <c r="O42" s="13" t="s">
        <v>112</v>
      </c>
      <c r="P42" s="17" t="s">
        <v>214</v>
      </c>
      <c r="Q42" s="17" t="s">
        <v>215</v>
      </c>
      <c r="R42" s="13"/>
      <c r="S42" s="13"/>
      <c r="T42" s="13"/>
      <c r="U42" s="25"/>
      <c r="V42" s="13">
        <f>WEEKNUM(CRM[[#This Row],[Fecha]])</f>
        <v>43</v>
      </c>
    </row>
    <row r="43" spans="1:22" ht="45.75" thickBot="1" x14ac:dyDescent="0.3">
      <c r="A43" s="40">
        <v>41</v>
      </c>
      <c r="B43" s="36">
        <v>45950</v>
      </c>
      <c r="C43" s="14" t="s">
        <v>47</v>
      </c>
      <c r="D43" s="13" t="s">
        <v>107</v>
      </c>
      <c r="E43" s="13"/>
      <c r="F43" s="15">
        <v>933354736</v>
      </c>
      <c r="G43" s="16" t="s">
        <v>108</v>
      </c>
      <c r="H43" s="14" t="s">
        <v>107</v>
      </c>
      <c r="I43" s="31"/>
      <c r="J43" s="13"/>
      <c r="K43" s="13" t="s">
        <v>51</v>
      </c>
      <c r="L43" s="13" t="s">
        <v>168</v>
      </c>
      <c r="M43" s="13" t="s">
        <v>89</v>
      </c>
      <c r="N43" s="13"/>
      <c r="O43" s="13" t="s">
        <v>112</v>
      </c>
      <c r="P43" s="17" t="s">
        <v>216</v>
      </c>
      <c r="Q43" s="17" t="s">
        <v>55</v>
      </c>
      <c r="R43" s="13"/>
      <c r="S43" s="13"/>
      <c r="T43" s="13"/>
      <c r="U43" s="25"/>
      <c r="V43" s="13">
        <f>WEEKNUM(CRM[[#This Row],[Fecha]])</f>
        <v>43</v>
      </c>
    </row>
    <row r="44" spans="1:22" ht="45.75" thickBot="1" x14ac:dyDescent="0.3">
      <c r="A44" s="40">
        <v>42</v>
      </c>
      <c r="B44" s="36">
        <v>45950</v>
      </c>
      <c r="C44" s="14" t="s">
        <v>47</v>
      </c>
      <c r="D44" s="13" t="s">
        <v>110</v>
      </c>
      <c r="E44" s="13"/>
      <c r="F44" s="15">
        <v>943800284</v>
      </c>
      <c r="G44" s="16" t="s">
        <v>111</v>
      </c>
      <c r="H44" s="14" t="s">
        <v>110</v>
      </c>
      <c r="I44" s="31"/>
      <c r="J44" s="13"/>
      <c r="K44" s="13" t="s">
        <v>51</v>
      </c>
      <c r="L44" s="13" t="s">
        <v>168</v>
      </c>
      <c r="M44" s="13" t="s">
        <v>89</v>
      </c>
      <c r="N44" s="13"/>
      <c r="O44" s="13" t="s">
        <v>112</v>
      </c>
      <c r="P44" s="17" t="s">
        <v>217</v>
      </c>
      <c r="Q44" s="17" t="s">
        <v>55</v>
      </c>
      <c r="R44" s="13"/>
      <c r="S44" s="13"/>
      <c r="T44" s="13"/>
      <c r="U44" s="25"/>
      <c r="V44" s="13">
        <f>WEEKNUM(CRM[[#This Row],[Fecha]])</f>
        <v>43</v>
      </c>
    </row>
    <row r="45" spans="1:22" ht="45.75" thickBot="1" x14ac:dyDescent="0.3">
      <c r="A45" s="40">
        <v>43</v>
      </c>
      <c r="B45" s="36">
        <v>45950</v>
      </c>
      <c r="C45" s="14" t="s">
        <v>47</v>
      </c>
      <c r="D45" s="13" t="s">
        <v>124</v>
      </c>
      <c r="E45" s="13" t="s">
        <v>125</v>
      </c>
      <c r="F45" s="15">
        <v>934207138</v>
      </c>
      <c r="G45" s="16"/>
      <c r="H45" s="14" t="s">
        <v>123</v>
      </c>
      <c r="I45" s="31">
        <v>20521916703</v>
      </c>
      <c r="J45" s="13"/>
      <c r="K45" s="13" t="s">
        <v>51</v>
      </c>
      <c r="L45" s="13" t="s">
        <v>120</v>
      </c>
      <c r="M45" s="13" t="s">
        <v>126</v>
      </c>
      <c r="N45" s="13"/>
      <c r="O45" s="13" t="s">
        <v>112</v>
      </c>
      <c r="P45" s="17" t="s">
        <v>218</v>
      </c>
      <c r="Q45" s="17" t="s">
        <v>215</v>
      </c>
      <c r="R45" s="13"/>
      <c r="S45" s="13"/>
      <c r="T45" s="13"/>
      <c r="U45" s="25"/>
      <c r="V45" s="13">
        <f>WEEKNUM(CRM[[#This Row],[Fecha]])</f>
        <v>43</v>
      </c>
    </row>
    <row r="46" spans="1:22" ht="45.75" thickBot="1" x14ac:dyDescent="0.3">
      <c r="A46" s="40">
        <v>44</v>
      </c>
      <c r="B46" s="36">
        <v>45950</v>
      </c>
      <c r="C46" s="14" t="s">
        <v>47</v>
      </c>
      <c r="D46" s="13" t="s">
        <v>129</v>
      </c>
      <c r="E46" s="13" t="s">
        <v>118</v>
      </c>
      <c r="F46" s="15">
        <v>946164816</v>
      </c>
      <c r="G46" s="16"/>
      <c r="H46" s="14" t="s">
        <v>219</v>
      </c>
      <c r="I46" s="31">
        <v>20469472231</v>
      </c>
      <c r="J46" s="13"/>
      <c r="K46" s="13" t="s">
        <v>51</v>
      </c>
      <c r="L46" s="13" t="s">
        <v>120</v>
      </c>
      <c r="M46" s="13" t="s">
        <v>121</v>
      </c>
      <c r="N46" s="13"/>
      <c r="O46" s="13" t="s">
        <v>112</v>
      </c>
      <c r="P46" s="17" t="s">
        <v>220</v>
      </c>
      <c r="Q46" s="17" t="s">
        <v>215</v>
      </c>
      <c r="R46" s="13"/>
      <c r="S46" s="13"/>
      <c r="T46" s="13"/>
      <c r="U46" s="25"/>
      <c r="V46" s="13">
        <f>WEEKNUM(CRM[[#This Row],[Fecha]])</f>
        <v>43</v>
      </c>
    </row>
    <row r="47" spans="1:22" ht="60.75" thickBot="1" x14ac:dyDescent="0.3">
      <c r="A47" s="40">
        <v>45</v>
      </c>
      <c r="B47" s="36">
        <v>45950</v>
      </c>
      <c r="C47" s="14" t="s">
        <v>47</v>
      </c>
      <c r="D47" s="13" t="s">
        <v>132</v>
      </c>
      <c r="E47" s="13" t="s">
        <v>49</v>
      </c>
      <c r="F47" s="15">
        <v>993442216</v>
      </c>
      <c r="G47" s="16" t="s">
        <v>133</v>
      </c>
      <c r="H47" s="14" t="s">
        <v>131</v>
      </c>
      <c r="I47" s="31">
        <v>20603250681</v>
      </c>
      <c r="J47" s="13"/>
      <c r="K47" s="13" t="s">
        <v>51</v>
      </c>
      <c r="L47" s="13" t="s">
        <v>120</v>
      </c>
      <c r="M47" s="13" t="s">
        <v>121</v>
      </c>
      <c r="N47" s="13"/>
      <c r="O47" s="13" t="s">
        <v>112</v>
      </c>
      <c r="P47" s="17" t="s">
        <v>221</v>
      </c>
      <c r="Q47" s="17" t="s">
        <v>215</v>
      </c>
      <c r="R47" s="13"/>
      <c r="S47" s="13"/>
      <c r="T47" s="13"/>
      <c r="U47" s="25"/>
      <c r="V47" s="13">
        <f>WEEKNUM(CRM[[#This Row],[Fecha]])</f>
        <v>43</v>
      </c>
    </row>
    <row r="48" spans="1:22" ht="105.75" thickBot="1" x14ac:dyDescent="0.3">
      <c r="A48" s="40">
        <v>46</v>
      </c>
      <c r="B48" s="36">
        <v>45950</v>
      </c>
      <c r="C48" s="14" t="s">
        <v>47</v>
      </c>
      <c r="D48" s="13" t="s">
        <v>136</v>
      </c>
      <c r="E48" s="13" t="s">
        <v>137</v>
      </c>
      <c r="F48" s="15">
        <v>943697381</v>
      </c>
      <c r="G48" s="16" t="s">
        <v>138</v>
      </c>
      <c r="H48" s="14" t="s">
        <v>135</v>
      </c>
      <c r="I48" s="31">
        <v>20552429258</v>
      </c>
      <c r="J48" s="13"/>
      <c r="K48" s="13" t="s">
        <v>51</v>
      </c>
      <c r="L48" s="13" t="s">
        <v>120</v>
      </c>
      <c r="M48" s="13" t="s">
        <v>121</v>
      </c>
      <c r="N48" s="13"/>
      <c r="O48" s="13" t="s">
        <v>112</v>
      </c>
      <c r="P48" s="17" t="s">
        <v>222</v>
      </c>
      <c r="Q48" s="17" t="s">
        <v>215</v>
      </c>
      <c r="R48" s="13"/>
      <c r="S48" s="13"/>
      <c r="T48" s="13"/>
      <c r="U48" s="25"/>
      <c r="V48" s="13">
        <f>WEEKNUM(CRM[[#This Row],[Fecha]])</f>
        <v>43</v>
      </c>
    </row>
    <row r="49" spans="1:22" ht="45.75" thickBot="1" x14ac:dyDescent="0.3">
      <c r="A49" s="40">
        <v>47</v>
      </c>
      <c r="B49" s="36">
        <v>45950</v>
      </c>
      <c r="C49" s="14" t="s">
        <v>47</v>
      </c>
      <c r="D49" s="13" t="s">
        <v>141</v>
      </c>
      <c r="E49" s="13" t="s">
        <v>118</v>
      </c>
      <c r="F49" s="15" t="s">
        <v>142</v>
      </c>
      <c r="G49" s="16" t="s">
        <v>143</v>
      </c>
      <c r="H49" s="14" t="s">
        <v>140</v>
      </c>
      <c r="I49" s="31">
        <v>20547359799</v>
      </c>
      <c r="J49" s="13"/>
      <c r="K49" s="13" t="s">
        <v>51</v>
      </c>
      <c r="L49" s="13" t="s">
        <v>120</v>
      </c>
      <c r="M49" s="13" t="s">
        <v>121</v>
      </c>
      <c r="N49" s="13"/>
      <c r="O49" s="13" t="s">
        <v>112</v>
      </c>
      <c r="P49" s="17" t="s">
        <v>223</v>
      </c>
      <c r="Q49" s="17" t="s">
        <v>215</v>
      </c>
      <c r="R49" s="13"/>
      <c r="S49" s="13"/>
      <c r="T49" s="13"/>
      <c r="U49" s="25"/>
      <c r="V49" s="13">
        <f>WEEKNUM(CRM[[#This Row],[Fecha]])</f>
        <v>43</v>
      </c>
    </row>
    <row r="50" spans="1:22" ht="60.75" thickBot="1" x14ac:dyDescent="0.3">
      <c r="A50" s="40">
        <v>48</v>
      </c>
      <c r="B50" s="36">
        <v>45950</v>
      </c>
      <c r="C50" s="14" t="s">
        <v>47</v>
      </c>
      <c r="D50" s="13" t="s">
        <v>146</v>
      </c>
      <c r="E50" s="13" t="s">
        <v>118</v>
      </c>
      <c r="F50" s="15">
        <v>2250846</v>
      </c>
      <c r="G50" s="16" t="s">
        <v>147</v>
      </c>
      <c r="H50" s="14" t="s">
        <v>145</v>
      </c>
      <c r="I50" s="31">
        <v>20514633151</v>
      </c>
      <c r="J50" s="13"/>
      <c r="K50" s="13" t="s">
        <v>51</v>
      </c>
      <c r="L50" s="13" t="s">
        <v>120</v>
      </c>
      <c r="M50" s="13" t="s">
        <v>121</v>
      </c>
      <c r="N50" s="13"/>
      <c r="O50" s="13" t="s">
        <v>112</v>
      </c>
      <c r="P50" s="17" t="s">
        <v>224</v>
      </c>
      <c r="Q50" s="17" t="s">
        <v>215</v>
      </c>
      <c r="R50" s="13"/>
      <c r="S50" s="13"/>
      <c r="T50" s="13"/>
      <c r="U50" s="25"/>
      <c r="V50" s="13">
        <f>WEEKNUM(CRM[[#This Row],[Fecha]])</f>
        <v>43</v>
      </c>
    </row>
    <row r="51" spans="1:22" ht="75.75" thickBot="1" x14ac:dyDescent="0.3">
      <c r="A51" s="40">
        <v>49</v>
      </c>
      <c r="B51" s="36">
        <v>45950</v>
      </c>
      <c r="C51" s="14" t="s">
        <v>47</v>
      </c>
      <c r="D51" s="13" t="s">
        <v>150</v>
      </c>
      <c r="E51" s="13" t="s">
        <v>118</v>
      </c>
      <c r="F51" s="15">
        <v>945784187</v>
      </c>
      <c r="G51" s="16" t="s">
        <v>151</v>
      </c>
      <c r="H51" s="14" t="s">
        <v>225</v>
      </c>
      <c r="I51" s="31">
        <v>20548606412</v>
      </c>
      <c r="J51" s="13"/>
      <c r="K51" s="13" t="s">
        <v>51</v>
      </c>
      <c r="L51" s="13" t="s">
        <v>120</v>
      </c>
      <c r="M51" s="13" t="s">
        <v>121</v>
      </c>
      <c r="N51" s="13"/>
      <c r="O51" s="13" t="s">
        <v>112</v>
      </c>
      <c r="P51" s="17" t="s">
        <v>226</v>
      </c>
      <c r="Q51" s="17" t="s">
        <v>215</v>
      </c>
      <c r="R51" s="13"/>
      <c r="S51" s="13"/>
      <c r="T51" s="13"/>
      <c r="U51" s="25"/>
      <c r="V51" s="13">
        <f>WEEKNUM(CRM[[#This Row],[Fecha]])</f>
        <v>43</v>
      </c>
    </row>
    <row r="52" spans="1:22" ht="45.75" thickBot="1" x14ac:dyDescent="0.3">
      <c r="A52" s="40">
        <v>50</v>
      </c>
      <c r="B52" s="36">
        <v>45950</v>
      </c>
      <c r="C52" s="14" t="s">
        <v>47</v>
      </c>
      <c r="D52" s="13" t="s">
        <v>154</v>
      </c>
      <c r="E52" s="13" t="s">
        <v>118</v>
      </c>
      <c r="F52" s="15">
        <v>969321393</v>
      </c>
      <c r="G52" s="16"/>
      <c r="H52" s="14" t="s">
        <v>227</v>
      </c>
      <c r="I52" s="31">
        <v>20557432745</v>
      </c>
      <c r="J52" s="13"/>
      <c r="K52" s="13" t="s">
        <v>51</v>
      </c>
      <c r="L52" s="13" t="s">
        <v>120</v>
      </c>
      <c r="M52" s="13" t="s">
        <v>121</v>
      </c>
      <c r="N52" s="13"/>
      <c r="O52" s="13" t="s">
        <v>112</v>
      </c>
      <c r="P52" s="17" t="s">
        <v>226</v>
      </c>
      <c r="Q52" s="17" t="s">
        <v>215</v>
      </c>
      <c r="R52" s="13"/>
      <c r="S52" s="13"/>
      <c r="T52" s="13"/>
      <c r="U52" s="25"/>
      <c r="V52" s="13">
        <f>WEEKNUM(CRM[[#This Row],[Fecha]])</f>
        <v>43</v>
      </c>
    </row>
    <row r="53" spans="1:22" ht="45.75" thickBot="1" x14ac:dyDescent="0.3">
      <c r="A53" s="40">
        <v>51</v>
      </c>
      <c r="B53" s="36">
        <v>45950</v>
      </c>
      <c r="C53" s="14" t="s">
        <v>47</v>
      </c>
      <c r="D53" s="13" t="s">
        <v>157</v>
      </c>
      <c r="E53" s="13" t="s">
        <v>118</v>
      </c>
      <c r="F53" s="15" t="s">
        <v>158</v>
      </c>
      <c r="G53" s="16" t="s">
        <v>159</v>
      </c>
      <c r="H53" s="14" t="s">
        <v>156</v>
      </c>
      <c r="I53" s="31">
        <v>20545748861</v>
      </c>
      <c r="J53" s="13"/>
      <c r="K53" s="13" t="s">
        <v>51</v>
      </c>
      <c r="L53" s="13" t="s">
        <v>120</v>
      </c>
      <c r="M53" s="13" t="s">
        <v>121</v>
      </c>
      <c r="N53" s="13"/>
      <c r="O53" s="13" t="s">
        <v>112</v>
      </c>
      <c r="P53" s="17" t="s">
        <v>228</v>
      </c>
      <c r="Q53" s="17" t="s">
        <v>215</v>
      </c>
      <c r="R53" s="13"/>
      <c r="S53" s="13"/>
      <c r="T53" s="13"/>
      <c r="U53" s="25"/>
      <c r="V53" s="13">
        <f>WEEKNUM(CRM[[#This Row],[Fecha]])</f>
        <v>43</v>
      </c>
    </row>
    <row r="54" spans="1:22" ht="45.75" thickBot="1" x14ac:dyDescent="0.3">
      <c r="A54" s="40">
        <v>52</v>
      </c>
      <c r="B54" s="36">
        <v>45950</v>
      </c>
      <c r="C54" s="14" t="s">
        <v>47</v>
      </c>
      <c r="D54" s="13" t="s">
        <v>162</v>
      </c>
      <c r="E54" s="13" t="s">
        <v>118</v>
      </c>
      <c r="F54" s="15">
        <v>993574549</v>
      </c>
      <c r="G54" s="16" t="s">
        <v>163</v>
      </c>
      <c r="H54" s="14" t="s">
        <v>161</v>
      </c>
      <c r="I54" s="31">
        <v>20573851031</v>
      </c>
      <c r="J54" s="13"/>
      <c r="K54" s="13" t="s">
        <v>51</v>
      </c>
      <c r="L54" s="13" t="s">
        <v>120</v>
      </c>
      <c r="M54" s="13" t="s">
        <v>121</v>
      </c>
      <c r="N54" s="13"/>
      <c r="O54" s="13" t="s">
        <v>112</v>
      </c>
      <c r="P54" s="17" t="s">
        <v>228</v>
      </c>
      <c r="Q54" s="17" t="s">
        <v>215</v>
      </c>
      <c r="R54" s="13"/>
      <c r="S54" s="13"/>
      <c r="T54" s="13"/>
      <c r="U54" s="25"/>
      <c r="V54" s="13">
        <f>WEEKNUM(CRM[[#This Row],[Fecha]])</f>
        <v>43</v>
      </c>
    </row>
    <row r="55" spans="1:22" ht="45.75" thickBot="1" x14ac:dyDescent="0.3">
      <c r="A55" s="40">
        <v>53</v>
      </c>
      <c r="B55" s="36">
        <v>45950</v>
      </c>
      <c r="C55" s="14" t="s">
        <v>47</v>
      </c>
      <c r="D55" s="13" t="s">
        <v>117</v>
      </c>
      <c r="E55" s="13" t="s">
        <v>118</v>
      </c>
      <c r="F55" s="15">
        <v>947970444</v>
      </c>
      <c r="G55" s="16" t="s">
        <v>119</v>
      </c>
      <c r="H55" s="14" t="s">
        <v>116</v>
      </c>
      <c r="I55" s="31">
        <v>20101980112</v>
      </c>
      <c r="J55" s="13"/>
      <c r="K55" s="13" t="s">
        <v>51</v>
      </c>
      <c r="L55" s="13" t="s">
        <v>120</v>
      </c>
      <c r="M55" s="13" t="s">
        <v>121</v>
      </c>
      <c r="N55" s="13"/>
      <c r="O55" s="13" t="s">
        <v>112</v>
      </c>
      <c r="P55" s="17" t="s">
        <v>229</v>
      </c>
      <c r="Q55" s="17" t="s">
        <v>215</v>
      </c>
      <c r="R55" s="13"/>
      <c r="S55" s="13"/>
      <c r="T55" s="13"/>
      <c r="U55" s="25"/>
      <c r="V55" s="13">
        <f>WEEKNUM(CRM[[#This Row],[Fecha]])</f>
        <v>43</v>
      </c>
    </row>
    <row r="56" spans="1:22" ht="75.75" thickBot="1" x14ac:dyDescent="0.3">
      <c r="A56" s="40">
        <v>54</v>
      </c>
      <c r="B56" s="36">
        <v>45950</v>
      </c>
      <c r="C56" s="14" t="s">
        <v>47</v>
      </c>
      <c r="D56" s="13" t="s">
        <v>166</v>
      </c>
      <c r="E56" s="13" t="s">
        <v>118</v>
      </c>
      <c r="F56" s="15">
        <v>960644808</v>
      </c>
      <c r="G56" s="16" t="s">
        <v>167</v>
      </c>
      <c r="H56" s="14" t="s">
        <v>165</v>
      </c>
      <c r="I56" s="31">
        <v>20505955014</v>
      </c>
      <c r="J56" s="13"/>
      <c r="K56" s="13" t="s">
        <v>51</v>
      </c>
      <c r="L56" s="13" t="s">
        <v>168</v>
      </c>
      <c r="M56" s="13" t="s">
        <v>121</v>
      </c>
      <c r="N56" s="13"/>
      <c r="O56" s="13" t="s">
        <v>112</v>
      </c>
      <c r="P56" s="17" t="s">
        <v>230</v>
      </c>
      <c r="Q56" s="17" t="s">
        <v>215</v>
      </c>
      <c r="R56" s="13"/>
      <c r="S56" s="13"/>
      <c r="T56" s="13"/>
      <c r="U56" s="25"/>
      <c r="V56" s="13">
        <f>WEEKNUM(CRM[[#This Row],[Fecha]])</f>
        <v>43</v>
      </c>
    </row>
    <row r="57" spans="1:22" ht="75.75" thickBot="1" x14ac:dyDescent="0.3">
      <c r="A57" s="40">
        <v>55</v>
      </c>
      <c r="B57" s="36">
        <v>45950</v>
      </c>
      <c r="C57" s="14" t="s">
        <v>47</v>
      </c>
      <c r="D57" s="13" t="s">
        <v>171</v>
      </c>
      <c r="E57" s="13" t="s">
        <v>118</v>
      </c>
      <c r="F57" s="15" t="s">
        <v>172</v>
      </c>
      <c r="G57" s="16" t="s">
        <v>173</v>
      </c>
      <c r="H57" s="14" t="s">
        <v>170</v>
      </c>
      <c r="I57" s="31">
        <v>20601983550</v>
      </c>
      <c r="J57" s="13"/>
      <c r="K57" s="13" t="s">
        <v>51</v>
      </c>
      <c r="L57" s="13" t="s">
        <v>168</v>
      </c>
      <c r="M57" s="13" t="s">
        <v>121</v>
      </c>
      <c r="N57" s="13"/>
      <c r="O57" s="13" t="s">
        <v>112</v>
      </c>
      <c r="P57" s="17" t="s">
        <v>231</v>
      </c>
      <c r="Q57" s="17" t="s">
        <v>215</v>
      </c>
      <c r="R57" s="13"/>
      <c r="S57" s="13"/>
      <c r="T57" s="13"/>
      <c r="U57" s="25"/>
      <c r="V57" s="13">
        <f>WEEKNUM(CRM[[#This Row],[Fecha]])</f>
        <v>43</v>
      </c>
    </row>
    <row r="58" spans="1:22" ht="30.75" thickBot="1" x14ac:dyDescent="0.3">
      <c r="A58" s="40">
        <v>56</v>
      </c>
      <c r="B58" s="36">
        <v>45950</v>
      </c>
      <c r="C58" s="14" t="s">
        <v>47</v>
      </c>
      <c r="D58" s="13" t="s">
        <v>176</v>
      </c>
      <c r="E58" s="13" t="s">
        <v>118</v>
      </c>
      <c r="F58" s="15">
        <v>987233288</v>
      </c>
      <c r="G58" s="16"/>
      <c r="H58" s="14" t="s">
        <v>175</v>
      </c>
      <c r="I58" s="31">
        <v>20573851031</v>
      </c>
      <c r="J58" s="13"/>
      <c r="K58" s="13" t="s">
        <v>51</v>
      </c>
      <c r="L58" s="13" t="s">
        <v>168</v>
      </c>
      <c r="M58" s="13" t="s">
        <v>121</v>
      </c>
      <c r="N58" s="13"/>
      <c r="O58" s="13" t="s">
        <v>112</v>
      </c>
      <c r="P58" s="17" t="s">
        <v>232</v>
      </c>
      <c r="Q58" s="17" t="s">
        <v>215</v>
      </c>
      <c r="R58" s="13"/>
      <c r="S58" s="13"/>
      <c r="T58" s="13"/>
      <c r="U58" s="25"/>
      <c r="V58" s="13">
        <f>WEEKNUM(CRM[[#This Row],[Fecha]])</f>
        <v>43</v>
      </c>
    </row>
    <row r="59" spans="1:22" ht="60.75" thickBot="1" x14ac:dyDescent="0.3">
      <c r="A59" s="40">
        <v>57</v>
      </c>
      <c r="B59" s="36">
        <v>45950</v>
      </c>
      <c r="C59" s="14" t="s">
        <v>47</v>
      </c>
      <c r="D59" s="13" t="s">
        <v>179</v>
      </c>
      <c r="E59" s="13" t="s">
        <v>118</v>
      </c>
      <c r="F59" s="15" t="s">
        <v>180</v>
      </c>
      <c r="G59" s="16" t="s">
        <v>181</v>
      </c>
      <c r="H59" s="14" t="s">
        <v>178</v>
      </c>
      <c r="I59" s="31">
        <v>20538527000</v>
      </c>
      <c r="J59" s="13"/>
      <c r="K59" s="13" t="s">
        <v>51</v>
      </c>
      <c r="L59" s="13" t="s">
        <v>182</v>
      </c>
      <c r="M59" s="13" t="s">
        <v>89</v>
      </c>
      <c r="N59" s="13"/>
      <c r="O59" s="13" t="s">
        <v>112</v>
      </c>
      <c r="P59" s="17" t="s">
        <v>232</v>
      </c>
      <c r="Q59" s="17" t="s">
        <v>215</v>
      </c>
      <c r="R59" s="13"/>
      <c r="S59" s="13"/>
      <c r="T59" s="13"/>
      <c r="U59" s="25"/>
      <c r="V59" s="13">
        <f>WEEKNUM(CRM[[#This Row],[Fecha]])</f>
        <v>43</v>
      </c>
    </row>
    <row r="60" spans="1:22" ht="60.75" thickBot="1" x14ac:dyDescent="0.3">
      <c r="A60" s="40">
        <v>58</v>
      </c>
      <c r="B60" s="36">
        <v>45950</v>
      </c>
      <c r="C60" s="14" t="s">
        <v>47</v>
      </c>
      <c r="D60" s="13" t="s">
        <v>185</v>
      </c>
      <c r="E60" s="13" t="s">
        <v>118</v>
      </c>
      <c r="F60" s="15">
        <v>957598160</v>
      </c>
      <c r="G60" s="16" t="s">
        <v>186</v>
      </c>
      <c r="H60" s="14" t="s">
        <v>184</v>
      </c>
      <c r="I60" s="31">
        <v>20602446493</v>
      </c>
      <c r="J60" s="13"/>
      <c r="K60" s="13" t="s">
        <v>51</v>
      </c>
      <c r="L60" s="13" t="s">
        <v>182</v>
      </c>
      <c r="M60" s="13" t="s">
        <v>89</v>
      </c>
      <c r="N60" s="13"/>
      <c r="O60" s="13" t="s">
        <v>112</v>
      </c>
      <c r="P60" s="17"/>
      <c r="Q60" s="17" t="s">
        <v>215</v>
      </c>
      <c r="R60" s="13"/>
      <c r="S60" s="13"/>
      <c r="T60" s="13"/>
      <c r="U60" s="25"/>
      <c r="V60" s="13">
        <f>WEEKNUM(CRM[[#This Row],[Fecha]])</f>
        <v>43</v>
      </c>
    </row>
    <row r="61" spans="1:22" ht="60.75" thickBot="1" x14ac:dyDescent="0.3">
      <c r="A61" s="40">
        <v>59</v>
      </c>
      <c r="B61" s="36">
        <v>45950</v>
      </c>
      <c r="C61" s="14" t="s">
        <v>47</v>
      </c>
      <c r="D61" s="13" t="s">
        <v>189</v>
      </c>
      <c r="E61" s="13" t="s">
        <v>118</v>
      </c>
      <c r="F61" s="15" t="s">
        <v>190</v>
      </c>
      <c r="G61" s="16" t="s">
        <v>191</v>
      </c>
      <c r="H61" s="14" t="s">
        <v>188</v>
      </c>
      <c r="I61" s="31">
        <v>20543890511</v>
      </c>
      <c r="J61" s="13"/>
      <c r="K61" s="13" t="s">
        <v>51</v>
      </c>
      <c r="L61" s="13" t="s">
        <v>182</v>
      </c>
      <c r="M61" s="13" t="s">
        <v>89</v>
      </c>
      <c r="N61" s="13"/>
      <c r="O61" s="13" t="s">
        <v>112</v>
      </c>
      <c r="P61" s="17" t="s">
        <v>233</v>
      </c>
      <c r="Q61" s="17" t="s">
        <v>215</v>
      </c>
      <c r="R61" s="13"/>
      <c r="S61" s="13"/>
      <c r="T61" s="13"/>
      <c r="U61" s="25"/>
      <c r="V61" s="13">
        <f>WEEKNUM(CRM[[#This Row],[Fecha]])</f>
        <v>43</v>
      </c>
    </row>
    <row r="62" spans="1:22" ht="60.75" thickBot="1" x14ac:dyDescent="0.3">
      <c r="A62" s="40">
        <v>60</v>
      </c>
      <c r="B62" s="36">
        <v>45950</v>
      </c>
      <c r="C62" s="14" t="s">
        <v>47</v>
      </c>
      <c r="D62" s="13" t="s">
        <v>194</v>
      </c>
      <c r="E62" s="13" t="s">
        <v>118</v>
      </c>
      <c r="F62" s="15" t="s">
        <v>195</v>
      </c>
      <c r="G62" s="16"/>
      <c r="H62" s="14" t="s">
        <v>193</v>
      </c>
      <c r="I62" s="31">
        <v>20490632965</v>
      </c>
      <c r="J62" s="13"/>
      <c r="K62" s="13" t="s">
        <v>51</v>
      </c>
      <c r="L62" s="13" t="s">
        <v>182</v>
      </c>
      <c r="M62" s="13" t="s">
        <v>89</v>
      </c>
      <c r="N62" s="13"/>
      <c r="O62" s="13" t="s">
        <v>112</v>
      </c>
      <c r="P62" s="17" t="s">
        <v>234</v>
      </c>
      <c r="Q62" s="17" t="s">
        <v>215</v>
      </c>
      <c r="R62" s="13"/>
      <c r="S62" s="13"/>
      <c r="T62" s="13"/>
      <c r="U62" s="25"/>
      <c r="V62" s="13">
        <f>WEEKNUM(CRM[[#This Row],[Fecha]])</f>
        <v>43</v>
      </c>
    </row>
    <row r="63" spans="1:22" ht="60.75" thickBot="1" x14ac:dyDescent="0.3">
      <c r="A63" s="40">
        <v>61</v>
      </c>
      <c r="B63" s="36">
        <v>45950</v>
      </c>
      <c r="C63" s="14" t="s">
        <v>47</v>
      </c>
      <c r="D63" s="13" t="s">
        <v>202</v>
      </c>
      <c r="E63" s="13" t="s">
        <v>199</v>
      </c>
      <c r="F63" s="15">
        <v>973486128</v>
      </c>
      <c r="G63" s="16" t="s">
        <v>203</v>
      </c>
      <c r="H63" s="14" t="s">
        <v>201</v>
      </c>
      <c r="I63" s="31">
        <v>20606705434</v>
      </c>
      <c r="J63" s="13"/>
      <c r="K63" s="13" t="s">
        <v>51</v>
      </c>
      <c r="L63" s="13" t="s">
        <v>182</v>
      </c>
      <c r="M63" s="13" t="s">
        <v>89</v>
      </c>
      <c r="N63" s="13"/>
      <c r="O63" s="13" t="s">
        <v>112</v>
      </c>
      <c r="P63" s="17" t="s">
        <v>235</v>
      </c>
      <c r="Q63" s="17" t="s">
        <v>215</v>
      </c>
      <c r="R63" s="13"/>
      <c r="S63" s="13"/>
      <c r="T63" s="13"/>
      <c r="U63" s="25"/>
      <c r="V63" s="13">
        <f>WEEKNUM(CRM[[#This Row],[Fecha]])</f>
        <v>43</v>
      </c>
    </row>
    <row r="64" spans="1:22" ht="90.75" thickBot="1" x14ac:dyDescent="0.3">
      <c r="A64" s="40">
        <v>62</v>
      </c>
      <c r="B64" s="36">
        <v>45950</v>
      </c>
      <c r="C64" s="14" t="s">
        <v>47</v>
      </c>
      <c r="D64" s="13"/>
      <c r="E64" s="13" t="s">
        <v>118</v>
      </c>
      <c r="F64" s="15">
        <v>904811109</v>
      </c>
      <c r="G64" s="16"/>
      <c r="H64" s="14" t="s">
        <v>236</v>
      </c>
      <c r="I64" s="31" t="s">
        <v>70</v>
      </c>
      <c r="J64" s="13" t="s">
        <v>237</v>
      </c>
      <c r="K64" s="13" t="s">
        <v>51</v>
      </c>
      <c r="L64" s="13" t="s">
        <v>238</v>
      </c>
      <c r="M64" s="13" t="s">
        <v>121</v>
      </c>
      <c r="N64" s="13"/>
      <c r="O64" s="13" t="s">
        <v>112</v>
      </c>
      <c r="P64" s="17" t="s">
        <v>239</v>
      </c>
      <c r="Q64" s="17" t="s">
        <v>215</v>
      </c>
      <c r="R64" s="13"/>
      <c r="S64" s="13"/>
      <c r="T64" s="13"/>
      <c r="U64" s="25"/>
      <c r="V64" s="13">
        <f>WEEKNUM(CRM[[#This Row],[Fecha]])</f>
        <v>43</v>
      </c>
    </row>
    <row r="65" spans="1:22" ht="15.75" thickBot="1" x14ac:dyDescent="0.3">
      <c r="A65" s="40">
        <v>63</v>
      </c>
      <c r="B65" s="36">
        <v>45950</v>
      </c>
      <c r="C65" s="14" t="s">
        <v>47</v>
      </c>
      <c r="D65" s="13"/>
      <c r="E65" s="13" t="s">
        <v>118</v>
      </c>
      <c r="F65" s="15">
        <v>978142785</v>
      </c>
      <c r="G65" s="16"/>
      <c r="H65" s="14" t="s">
        <v>240</v>
      </c>
      <c r="I65" s="31"/>
      <c r="J65" s="13"/>
      <c r="K65" s="13" t="s">
        <v>51</v>
      </c>
      <c r="L65" s="13" t="s">
        <v>238</v>
      </c>
      <c r="M65" s="13" t="s">
        <v>121</v>
      </c>
      <c r="N65" s="13"/>
      <c r="O65" s="13" t="s">
        <v>112</v>
      </c>
      <c r="P65" s="17" t="s">
        <v>241</v>
      </c>
      <c r="Q65" s="17" t="s">
        <v>215</v>
      </c>
      <c r="R65" s="13"/>
      <c r="S65" s="13"/>
      <c r="T65" s="13"/>
      <c r="U65" s="25"/>
      <c r="V65" s="13">
        <f>WEEKNUM(CRM[[#This Row],[Fecha]])</f>
        <v>43</v>
      </c>
    </row>
    <row r="66" spans="1:22" ht="60.75" thickBot="1" x14ac:dyDescent="0.3">
      <c r="A66" s="40">
        <v>64</v>
      </c>
      <c r="B66" s="36">
        <v>45950</v>
      </c>
      <c r="C66" s="14" t="s">
        <v>47</v>
      </c>
      <c r="D66" s="13" t="s">
        <v>243</v>
      </c>
      <c r="E66" s="13" t="s">
        <v>118</v>
      </c>
      <c r="F66" s="15">
        <v>931226096</v>
      </c>
      <c r="G66" s="16" t="s">
        <v>244</v>
      </c>
      <c r="H66" s="14" t="s">
        <v>242</v>
      </c>
      <c r="I66" s="31">
        <v>20522693694</v>
      </c>
      <c r="J66" s="13"/>
      <c r="K66" s="13" t="s">
        <v>51</v>
      </c>
      <c r="L66" s="13" t="s">
        <v>238</v>
      </c>
      <c r="M66" s="13" t="s">
        <v>121</v>
      </c>
      <c r="N66" s="13"/>
      <c r="O66" s="13" t="s">
        <v>112</v>
      </c>
      <c r="P66" s="17" t="s">
        <v>245</v>
      </c>
      <c r="Q66" s="17" t="s">
        <v>215</v>
      </c>
      <c r="R66" s="13"/>
      <c r="S66" s="13"/>
      <c r="T66" s="13"/>
      <c r="U66" s="25"/>
      <c r="V66" s="13">
        <f>WEEKNUM(CRM[[#This Row],[Fecha]])</f>
        <v>43</v>
      </c>
    </row>
    <row r="67" spans="1:22" ht="60.75" thickBot="1" x14ac:dyDescent="0.3">
      <c r="A67" s="40">
        <v>65</v>
      </c>
      <c r="B67" s="36">
        <v>45950</v>
      </c>
      <c r="C67" s="14" t="s">
        <v>47</v>
      </c>
      <c r="D67" s="13" t="s">
        <v>247</v>
      </c>
      <c r="E67" s="13" t="s">
        <v>118</v>
      </c>
      <c r="F67" s="15" t="s">
        <v>248</v>
      </c>
      <c r="G67" s="16" t="s">
        <v>249</v>
      </c>
      <c r="H67" s="14" t="s">
        <v>246</v>
      </c>
      <c r="I67" s="31">
        <v>20604456666</v>
      </c>
      <c r="J67" s="13"/>
      <c r="K67" s="13" t="s">
        <v>51</v>
      </c>
      <c r="L67" s="13" t="s">
        <v>238</v>
      </c>
      <c r="M67" s="13" t="s">
        <v>121</v>
      </c>
      <c r="N67" s="13"/>
      <c r="O67" s="13" t="s">
        <v>112</v>
      </c>
      <c r="P67" s="17" t="s">
        <v>250</v>
      </c>
      <c r="Q67" s="17" t="s">
        <v>215</v>
      </c>
      <c r="R67" s="13"/>
      <c r="S67" s="13"/>
      <c r="T67" s="13"/>
      <c r="U67" s="25"/>
      <c r="V67" s="13">
        <f>WEEKNUM(CRM[[#This Row],[Fecha]])</f>
        <v>43</v>
      </c>
    </row>
    <row r="68" spans="1:22" ht="45.75" thickBot="1" x14ac:dyDescent="0.3">
      <c r="A68" s="40">
        <v>66</v>
      </c>
      <c r="B68" s="36">
        <v>45950</v>
      </c>
      <c r="C68" s="14" t="s">
        <v>47</v>
      </c>
      <c r="D68" s="13" t="s">
        <v>252</v>
      </c>
      <c r="E68" s="13" t="s">
        <v>118</v>
      </c>
      <c r="F68" s="15">
        <v>917788584</v>
      </c>
      <c r="G68" s="16" t="s">
        <v>253</v>
      </c>
      <c r="H68" s="14" t="s">
        <v>251</v>
      </c>
      <c r="I68" s="31">
        <v>20101027156</v>
      </c>
      <c r="J68" s="13"/>
      <c r="K68" s="13" t="s">
        <v>51</v>
      </c>
      <c r="L68" s="13" t="s">
        <v>238</v>
      </c>
      <c r="M68" s="13" t="s">
        <v>121</v>
      </c>
      <c r="N68" s="13"/>
      <c r="O68" s="13" t="s">
        <v>112</v>
      </c>
      <c r="P68" s="17" t="s">
        <v>254</v>
      </c>
      <c r="Q68" s="17" t="s">
        <v>215</v>
      </c>
      <c r="R68" s="13"/>
      <c r="S68" s="13"/>
      <c r="T68" s="13"/>
      <c r="U68" s="25"/>
      <c r="V68" s="13">
        <f>WEEKNUM(CRM[[#This Row],[Fecha]])</f>
        <v>43</v>
      </c>
    </row>
    <row r="69" spans="1:22" ht="60.75" thickBot="1" x14ac:dyDescent="0.3">
      <c r="A69" s="40">
        <v>67</v>
      </c>
      <c r="B69" s="36">
        <v>45950</v>
      </c>
      <c r="C69" s="14" t="s">
        <v>47</v>
      </c>
      <c r="D69" s="13" t="s">
        <v>256</v>
      </c>
      <c r="E69" s="13" t="s">
        <v>118</v>
      </c>
      <c r="F69" s="15" t="s">
        <v>257</v>
      </c>
      <c r="G69" s="16" t="s">
        <v>258</v>
      </c>
      <c r="H69" s="14" t="s">
        <v>255</v>
      </c>
      <c r="I69" s="31">
        <v>20614049775</v>
      </c>
      <c r="J69" s="13"/>
      <c r="K69" s="13" t="s">
        <v>51</v>
      </c>
      <c r="L69" s="13" t="s">
        <v>238</v>
      </c>
      <c r="M69" s="13" t="s">
        <v>259</v>
      </c>
      <c r="N69" s="13"/>
      <c r="O69" s="13" t="s">
        <v>112</v>
      </c>
      <c r="P69" s="17" t="s">
        <v>260</v>
      </c>
      <c r="Q69" s="17" t="s">
        <v>215</v>
      </c>
      <c r="R69" s="13"/>
      <c r="S69" s="13"/>
      <c r="T69" s="13"/>
      <c r="U69" s="25"/>
      <c r="V69" s="13">
        <f>WEEKNUM(CRM[[#This Row],[Fecha]])</f>
        <v>43</v>
      </c>
    </row>
    <row r="70" spans="1:22" ht="45.75" thickBot="1" x14ac:dyDescent="0.3">
      <c r="A70" s="40">
        <v>68</v>
      </c>
      <c r="B70" s="36">
        <v>45950</v>
      </c>
      <c r="C70" s="14" t="s">
        <v>47</v>
      </c>
      <c r="D70" s="13" t="s">
        <v>262</v>
      </c>
      <c r="E70" s="13" t="s">
        <v>118</v>
      </c>
      <c r="F70" s="15">
        <v>993522135</v>
      </c>
      <c r="G70" s="16" t="s">
        <v>263</v>
      </c>
      <c r="H70" s="14" t="s">
        <v>261</v>
      </c>
      <c r="I70" s="31">
        <v>20552651783</v>
      </c>
      <c r="J70" s="13"/>
      <c r="K70" s="13" t="s">
        <v>51</v>
      </c>
      <c r="L70" s="13" t="s">
        <v>238</v>
      </c>
      <c r="M70" s="13" t="s">
        <v>259</v>
      </c>
      <c r="N70" s="13"/>
      <c r="O70" s="13" t="s">
        <v>112</v>
      </c>
      <c r="P70" s="17" t="s">
        <v>264</v>
      </c>
      <c r="Q70" s="17" t="s">
        <v>215</v>
      </c>
      <c r="R70" s="13"/>
      <c r="S70" s="13"/>
      <c r="T70" s="13"/>
      <c r="U70" s="25"/>
      <c r="V70" s="13">
        <f>WEEKNUM(CRM[[#This Row],[Fecha]])</f>
        <v>43</v>
      </c>
    </row>
    <row r="71" spans="1:22" ht="45.75" thickBot="1" x14ac:dyDescent="0.3">
      <c r="A71" s="40">
        <v>69</v>
      </c>
      <c r="B71" s="36">
        <v>45950</v>
      </c>
      <c r="C71" s="14" t="s">
        <v>47</v>
      </c>
      <c r="D71" s="13" t="s">
        <v>266</v>
      </c>
      <c r="E71" s="13" t="s">
        <v>118</v>
      </c>
      <c r="F71" s="15" t="s">
        <v>267</v>
      </c>
      <c r="G71" s="16"/>
      <c r="H71" s="14" t="s">
        <v>265</v>
      </c>
      <c r="I71" s="31">
        <v>20306514726</v>
      </c>
      <c r="J71" s="13"/>
      <c r="K71" s="13" t="s">
        <v>51</v>
      </c>
      <c r="L71" s="13" t="s">
        <v>238</v>
      </c>
      <c r="M71" s="13" t="s">
        <v>259</v>
      </c>
      <c r="N71" s="13"/>
      <c r="O71" s="13" t="s">
        <v>112</v>
      </c>
      <c r="P71" s="17" t="s">
        <v>268</v>
      </c>
      <c r="Q71" s="17" t="s">
        <v>215</v>
      </c>
      <c r="R71" s="13"/>
      <c r="S71" s="13"/>
      <c r="T71" s="13"/>
      <c r="U71" s="25"/>
      <c r="V71" s="13">
        <f>WEEKNUM(CRM[[#This Row],[Fecha]])</f>
        <v>43</v>
      </c>
    </row>
    <row r="72" spans="1:22" ht="60.75" thickBot="1" x14ac:dyDescent="0.3">
      <c r="A72" s="40">
        <v>70</v>
      </c>
      <c r="B72" s="36">
        <v>45950</v>
      </c>
      <c r="C72" s="14" t="s">
        <v>47</v>
      </c>
      <c r="D72" s="13" t="s">
        <v>270</v>
      </c>
      <c r="E72" s="13" t="s">
        <v>118</v>
      </c>
      <c r="F72" s="15">
        <v>958669848</v>
      </c>
      <c r="G72" s="16" t="s">
        <v>271</v>
      </c>
      <c r="H72" s="14" t="s">
        <v>269</v>
      </c>
      <c r="I72" s="31">
        <v>20335862130</v>
      </c>
      <c r="J72" s="13"/>
      <c r="K72" s="13" t="s">
        <v>51</v>
      </c>
      <c r="L72" s="13" t="s">
        <v>238</v>
      </c>
      <c r="M72" s="13" t="s">
        <v>259</v>
      </c>
      <c r="N72" s="13"/>
      <c r="O72" s="13" t="s">
        <v>112</v>
      </c>
      <c r="P72" s="17" t="s">
        <v>268</v>
      </c>
      <c r="Q72" s="17" t="s">
        <v>215</v>
      </c>
      <c r="R72" s="13"/>
      <c r="S72" s="13"/>
      <c r="T72" s="13"/>
      <c r="U72" s="25"/>
      <c r="V72" s="13">
        <f>WEEKNUM(CRM[[#This Row],[Fecha]])</f>
        <v>43</v>
      </c>
    </row>
    <row r="73" spans="1:22" ht="75.75" thickBot="1" x14ac:dyDescent="0.3">
      <c r="A73" s="40">
        <v>71</v>
      </c>
      <c r="B73" s="36">
        <v>45950</v>
      </c>
      <c r="C73" s="14" t="s">
        <v>47</v>
      </c>
      <c r="D73" s="13" t="s">
        <v>273</v>
      </c>
      <c r="E73" s="13" t="s">
        <v>118</v>
      </c>
      <c r="F73" s="15">
        <v>977965858</v>
      </c>
      <c r="G73" s="16"/>
      <c r="H73" s="14" t="s">
        <v>272</v>
      </c>
      <c r="I73" s="31">
        <v>20503886031</v>
      </c>
      <c r="J73" s="13" t="s">
        <v>274</v>
      </c>
      <c r="K73" s="13" t="s">
        <v>51</v>
      </c>
      <c r="L73" s="13" t="s">
        <v>238</v>
      </c>
      <c r="M73" s="13" t="s">
        <v>259</v>
      </c>
      <c r="N73" s="13"/>
      <c r="O73" s="13" t="s">
        <v>112</v>
      </c>
      <c r="P73" s="17" t="s">
        <v>275</v>
      </c>
      <c r="Q73" s="17" t="s">
        <v>215</v>
      </c>
      <c r="R73" s="13"/>
      <c r="S73" s="13"/>
      <c r="T73" s="13"/>
      <c r="U73" s="25"/>
      <c r="V73" s="13">
        <f>WEEKNUM(CRM[[#This Row],[Fecha]])</f>
        <v>43</v>
      </c>
    </row>
    <row r="74" spans="1:22" ht="120.75" thickBot="1" x14ac:dyDescent="0.3">
      <c r="A74" s="40">
        <v>72</v>
      </c>
      <c r="B74" s="36">
        <v>45950</v>
      </c>
      <c r="C74" s="14" t="s">
        <v>47</v>
      </c>
      <c r="D74" s="13" t="s">
        <v>276</v>
      </c>
      <c r="E74" s="13"/>
      <c r="F74" s="15" t="s">
        <v>277</v>
      </c>
      <c r="G74" s="16" t="s">
        <v>278</v>
      </c>
      <c r="H74" s="14" t="s">
        <v>458</v>
      </c>
      <c r="I74" s="31">
        <v>20106753751</v>
      </c>
      <c r="J74" s="13"/>
      <c r="K74" s="13" t="s">
        <v>51</v>
      </c>
      <c r="L74" s="13" t="s">
        <v>182</v>
      </c>
      <c r="M74" s="13" t="s">
        <v>259</v>
      </c>
      <c r="N74" s="13"/>
      <c r="O74" s="13" t="s">
        <v>279</v>
      </c>
      <c r="P74" s="17" t="s">
        <v>459</v>
      </c>
      <c r="Q74" s="17" t="s">
        <v>215</v>
      </c>
      <c r="R74" s="13"/>
      <c r="S74" s="13"/>
      <c r="T74" s="13"/>
      <c r="U74" s="25"/>
      <c r="V74" s="13">
        <f>WEEKNUM(CRM[[#This Row],[Fecha]])</f>
        <v>43</v>
      </c>
    </row>
    <row r="75" spans="1:22" ht="45.75" thickBot="1" x14ac:dyDescent="0.3">
      <c r="A75" s="40">
        <v>73</v>
      </c>
      <c r="B75" s="36">
        <v>45956</v>
      </c>
      <c r="C75" s="14" t="s">
        <v>47</v>
      </c>
      <c r="D75" s="13" t="s">
        <v>281</v>
      </c>
      <c r="E75" s="13" t="s">
        <v>118</v>
      </c>
      <c r="F75" s="15" t="s">
        <v>282</v>
      </c>
      <c r="G75" s="16"/>
      <c r="H75" s="14" t="s">
        <v>280</v>
      </c>
      <c r="I75" s="31" t="s">
        <v>283</v>
      </c>
      <c r="J75" s="13"/>
      <c r="K75" s="13" t="s">
        <v>51</v>
      </c>
      <c r="L75" s="13" t="s">
        <v>284</v>
      </c>
      <c r="M75" s="13" t="s">
        <v>78</v>
      </c>
      <c r="N75" s="13"/>
      <c r="O75" s="13" t="s">
        <v>112</v>
      </c>
      <c r="P75" s="17" t="s">
        <v>285</v>
      </c>
      <c r="Q75" s="17" t="s">
        <v>215</v>
      </c>
      <c r="R75" s="13"/>
      <c r="S75" s="13"/>
      <c r="T75" s="13"/>
      <c r="U75" s="25"/>
      <c r="V75" s="13">
        <v>43</v>
      </c>
    </row>
    <row r="76" spans="1:22" ht="30.75" thickBot="1" x14ac:dyDescent="0.3">
      <c r="A76" s="40">
        <v>74</v>
      </c>
      <c r="B76" s="36">
        <v>45956</v>
      </c>
      <c r="C76" s="14" t="s">
        <v>47</v>
      </c>
      <c r="D76" s="13"/>
      <c r="E76" s="13" t="s">
        <v>118</v>
      </c>
      <c r="F76" s="15" t="s">
        <v>287</v>
      </c>
      <c r="G76" s="16"/>
      <c r="H76" s="14" t="s">
        <v>286</v>
      </c>
      <c r="I76" s="31">
        <v>10096555097</v>
      </c>
      <c r="J76" s="13"/>
      <c r="K76" s="13" t="s">
        <v>51</v>
      </c>
      <c r="L76" s="13" t="s">
        <v>284</v>
      </c>
      <c r="M76" s="13" t="s">
        <v>89</v>
      </c>
      <c r="N76" s="13"/>
      <c r="O76" s="13" t="s">
        <v>112</v>
      </c>
      <c r="P76" s="17" t="s">
        <v>288</v>
      </c>
      <c r="Q76" s="17" t="s">
        <v>215</v>
      </c>
      <c r="R76" s="13"/>
      <c r="S76" s="13"/>
      <c r="T76" s="13"/>
      <c r="U76" s="25"/>
      <c r="V76" s="13">
        <f>WEEKNUM(CRM[[#This Row],[Fecha]])</f>
        <v>44</v>
      </c>
    </row>
    <row r="77" spans="1:22" ht="60.75" thickBot="1" x14ac:dyDescent="0.3">
      <c r="A77" s="40">
        <v>75</v>
      </c>
      <c r="B77" s="36">
        <v>45956</v>
      </c>
      <c r="C77" s="14" t="s">
        <v>47</v>
      </c>
      <c r="D77" s="13" t="s">
        <v>290</v>
      </c>
      <c r="E77" s="13" t="s">
        <v>118</v>
      </c>
      <c r="F77" s="15">
        <v>933571245</v>
      </c>
      <c r="G77" s="16" t="s">
        <v>291</v>
      </c>
      <c r="H77" s="14" t="s">
        <v>289</v>
      </c>
      <c r="I77" s="31" t="s">
        <v>292</v>
      </c>
      <c r="J77" s="13"/>
      <c r="K77" s="13" t="s">
        <v>51</v>
      </c>
      <c r="L77" s="13" t="s">
        <v>293</v>
      </c>
      <c r="M77" s="13" t="s">
        <v>89</v>
      </c>
      <c r="N77" s="13"/>
      <c r="O77" s="13" t="s">
        <v>112</v>
      </c>
      <c r="P77" s="17" t="s">
        <v>294</v>
      </c>
      <c r="Q77" s="17" t="s">
        <v>215</v>
      </c>
      <c r="R77" s="13"/>
      <c r="S77" s="13"/>
      <c r="T77" s="13"/>
      <c r="U77" s="25"/>
      <c r="V77" s="13">
        <f>WEEKNUM(CRM[[#This Row],[Fecha]])</f>
        <v>44</v>
      </c>
    </row>
    <row r="78" spans="1:22" ht="30.75" thickBot="1" x14ac:dyDescent="0.3">
      <c r="A78" s="40">
        <v>76</v>
      </c>
      <c r="B78" s="36">
        <v>45956</v>
      </c>
      <c r="C78" s="14" t="s">
        <v>47</v>
      </c>
      <c r="D78" s="13" t="s">
        <v>296</v>
      </c>
      <c r="E78" s="13" t="s">
        <v>118</v>
      </c>
      <c r="F78" s="15">
        <v>989277383</v>
      </c>
      <c r="G78" s="16"/>
      <c r="H78" s="14" t="s">
        <v>295</v>
      </c>
      <c r="I78" s="31" t="s">
        <v>297</v>
      </c>
      <c r="J78" s="13"/>
      <c r="K78" s="13" t="s">
        <v>51</v>
      </c>
      <c r="L78" s="13" t="s">
        <v>293</v>
      </c>
      <c r="M78" s="13" t="s">
        <v>89</v>
      </c>
      <c r="N78" s="13"/>
      <c r="O78" s="13" t="s">
        <v>112</v>
      </c>
      <c r="P78" s="17" t="s">
        <v>298</v>
      </c>
      <c r="Q78" s="17" t="s">
        <v>215</v>
      </c>
      <c r="R78" s="13"/>
      <c r="S78" s="13"/>
      <c r="T78" s="13"/>
      <c r="U78" s="25"/>
      <c r="V78" s="13">
        <f>WEEKNUM(CRM[[#This Row],[Fecha]])</f>
        <v>44</v>
      </c>
    </row>
    <row r="79" spans="1:22" ht="43.5" thickBot="1" x14ac:dyDescent="0.3">
      <c r="A79" s="40">
        <v>77</v>
      </c>
      <c r="B79" s="36">
        <v>45956</v>
      </c>
      <c r="C79" s="14" t="s">
        <v>47</v>
      </c>
      <c r="D79" s="13"/>
      <c r="E79" s="13" t="s">
        <v>118</v>
      </c>
      <c r="F79" s="15">
        <v>991574766</v>
      </c>
      <c r="G79" s="16"/>
      <c r="H79" s="14" t="s">
        <v>299</v>
      </c>
      <c r="I79" s="31">
        <v>20603582552</v>
      </c>
      <c r="J79" s="13"/>
      <c r="K79" s="13" t="s">
        <v>51</v>
      </c>
      <c r="L79" s="13" t="s">
        <v>293</v>
      </c>
      <c r="M79" s="13" t="s">
        <v>89</v>
      </c>
      <c r="N79" s="13"/>
      <c r="O79" s="13" t="s">
        <v>112</v>
      </c>
      <c r="P79" s="17" t="s">
        <v>300</v>
      </c>
      <c r="Q79" s="17" t="s">
        <v>301</v>
      </c>
      <c r="R79" s="13"/>
      <c r="S79" s="13"/>
      <c r="T79" s="13"/>
      <c r="U79" s="25"/>
      <c r="V79" s="13">
        <f>WEEKNUM(CRM[[#This Row],[Fecha]])</f>
        <v>44</v>
      </c>
    </row>
    <row r="80" spans="1:22" ht="60.75" thickBot="1" x14ac:dyDescent="0.3">
      <c r="A80" s="40">
        <v>78</v>
      </c>
      <c r="B80" s="36">
        <v>45956</v>
      </c>
      <c r="C80" s="14" t="s">
        <v>47</v>
      </c>
      <c r="D80" s="13" t="s">
        <v>303</v>
      </c>
      <c r="E80" s="13" t="s">
        <v>118</v>
      </c>
      <c r="F80" s="15" t="s">
        <v>304</v>
      </c>
      <c r="G80" s="16"/>
      <c r="H80" s="14" t="s">
        <v>302</v>
      </c>
      <c r="I80" s="31">
        <v>20555003120</v>
      </c>
      <c r="J80" s="13"/>
      <c r="K80" s="13" t="s">
        <v>51</v>
      </c>
      <c r="L80" s="13" t="s">
        <v>293</v>
      </c>
      <c r="M80" s="13" t="s">
        <v>89</v>
      </c>
      <c r="N80" s="13"/>
      <c r="O80" s="13" t="s">
        <v>112</v>
      </c>
      <c r="P80" s="17" t="s">
        <v>305</v>
      </c>
      <c r="Q80" s="17" t="s">
        <v>215</v>
      </c>
      <c r="R80" s="13"/>
      <c r="S80" s="13"/>
      <c r="T80" s="13"/>
      <c r="U80" s="25"/>
      <c r="V80" s="13">
        <f>WEEKNUM(CRM[[#This Row],[Fecha]])</f>
        <v>44</v>
      </c>
    </row>
    <row r="81" spans="1:22" ht="75.75" thickBot="1" x14ac:dyDescent="0.3">
      <c r="A81" s="40">
        <v>79</v>
      </c>
      <c r="B81" s="36">
        <v>45956</v>
      </c>
      <c r="C81" s="14" t="s">
        <v>47</v>
      </c>
      <c r="D81" s="13" t="s">
        <v>307</v>
      </c>
      <c r="E81" s="13" t="s">
        <v>118</v>
      </c>
      <c r="F81" s="15">
        <v>913474275</v>
      </c>
      <c r="G81" s="16"/>
      <c r="H81" s="14" t="s">
        <v>306</v>
      </c>
      <c r="I81" s="31">
        <v>20604456666</v>
      </c>
      <c r="J81" s="13" t="s">
        <v>308</v>
      </c>
      <c r="K81" s="13" t="s">
        <v>51</v>
      </c>
      <c r="L81" s="13" t="s">
        <v>293</v>
      </c>
      <c r="M81" s="13" t="s">
        <v>89</v>
      </c>
      <c r="N81" s="13"/>
      <c r="O81" s="13" t="s">
        <v>112</v>
      </c>
      <c r="P81" s="17" t="s">
        <v>309</v>
      </c>
      <c r="Q81" s="17" t="s">
        <v>215</v>
      </c>
      <c r="R81" s="13"/>
      <c r="S81" s="13"/>
      <c r="T81" s="13"/>
      <c r="U81" s="25"/>
      <c r="V81" s="13">
        <f>WEEKNUM(CRM[[#This Row],[Fecha]])</f>
        <v>44</v>
      </c>
    </row>
    <row r="82" spans="1:22" ht="45.75" thickBot="1" x14ac:dyDescent="0.3">
      <c r="A82" s="40">
        <v>80</v>
      </c>
      <c r="B82" s="36">
        <v>45956</v>
      </c>
      <c r="C82" s="14" t="s">
        <v>47</v>
      </c>
      <c r="D82" s="13" t="s">
        <v>311</v>
      </c>
      <c r="E82" s="13" t="s">
        <v>118</v>
      </c>
      <c r="F82" s="15" t="s">
        <v>312</v>
      </c>
      <c r="G82" s="16"/>
      <c r="H82" s="14" t="s">
        <v>310</v>
      </c>
      <c r="I82" s="31">
        <v>20610356100</v>
      </c>
      <c r="J82" s="13"/>
      <c r="K82" s="13" t="s">
        <v>51</v>
      </c>
      <c r="L82" s="13" t="s">
        <v>293</v>
      </c>
      <c r="M82" s="13" t="s">
        <v>78</v>
      </c>
      <c r="N82" s="13"/>
      <c r="O82" s="13" t="s">
        <v>112</v>
      </c>
      <c r="P82" s="17" t="s">
        <v>313</v>
      </c>
      <c r="Q82" s="17" t="s">
        <v>215</v>
      </c>
      <c r="R82" s="13"/>
      <c r="S82" s="13"/>
      <c r="T82" s="13"/>
      <c r="U82" s="25"/>
      <c r="V82" s="13">
        <f>WEEKNUM(CRM[[#This Row],[Fecha]])</f>
        <v>44</v>
      </c>
    </row>
    <row r="83" spans="1:22" ht="60.75" thickBot="1" x14ac:dyDescent="0.3">
      <c r="A83" s="40">
        <v>81</v>
      </c>
      <c r="B83" s="36">
        <v>45956</v>
      </c>
      <c r="C83" s="14" t="s">
        <v>47</v>
      </c>
      <c r="D83" s="13" t="s">
        <v>315</v>
      </c>
      <c r="E83" s="13" t="s">
        <v>118</v>
      </c>
      <c r="F83" s="15" t="s">
        <v>316</v>
      </c>
      <c r="G83" s="16" t="s">
        <v>317</v>
      </c>
      <c r="H83" s="14" t="s">
        <v>314</v>
      </c>
      <c r="I83" s="31">
        <v>20516019396</v>
      </c>
      <c r="J83" s="13"/>
      <c r="K83" s="13" t="s">
        <v>51</v>
      </c>
      <c r="L83" s="13" t="s">
        <v>293</v>
      </c>
      <c r="M83" s="13" t="s">
        <v>78</v>
      </c>
      <c r="N83" s="13"/>
      <c r="O83" s="13" t="s">
        <v>112</v>
      </c>
      <c r="P83" s="17" t="s">
        <v>318</v>
      </c>
      <c r="Q83" s="17" t="s">
        <v>215</v>
      </c>
      <c r="R83" s="13"/>
      <c r="S83" s="13"/>
      <c r="T83" s="13"/>
      <c r="U83" s="25"/>
      <c r="V83" s="13">
        <f>WEEKNUM(CRM[[#This Row],[Fecha]])</f>
        <v>44</v>
      </c>
    </row>
    <row r="84" spans="1:22" ht="45.75" thickBot="1" x14ac:dyDescent="0.3">
      <c r="A84" s="40">
        <v>82</v>
      </c>
      <c r="B84" s="36">
        <v>45957</v>
      </c>
      <c r="C84" s="14" t="s">
        <v>47</v>
      </c>
      <c r="D84" s="13" t="s">
        <v>320</v>
      </c>
      <c r="E84" s="13" t="s">
        <v>118</v>
      </c>
      <c r="F84" s="15" t="s">
        <v>321</v>
      </c>
      <c r="G84" s="16"/>
      <c r="H84" s="14" t="s">
        <v>319</v>
      </c>
      <c r="I84" s="31">
        <v>20380790697</v>
      </c>
      <c r="J84" s="13"/>
      <c r="K84" s="13" t="s">
        <v>51</v>
      </c>
      <c r="L84" s="13" t="s">
        <v>322</v>
      </c>
      <c r="M84" s="13" t="s">
        <v>78</v>
      </c>
      <c r="N84" s="13"/>
      <c r="O84" s="13" t="s">
        <v>112</v>
      </c>
      <c r="P84" s="17" t="s">
        <v>323</v>
      </c>
      <c r="Q84" s="17" t="s">
        <v>215</v>
      </c>
      <c r="R84" s="13"/>
      <c r="S84" s="13"/>
      <c r="T84" s="13"/>
      <c r="U84" s="25"/>
      <c r="V84" s="13">
        <f>WEEKNUM(CRM[[#This Row],[Fecha]])</f>
        <v>44</v>
      </c>
    </row>
    <row r="85" spans="1:22" ht="105.75" thickBot="1" x14ac:dyDescent="0.3">
      <c r="A85" s="40">
        <v>83</v>
      </c>
      <c r="B85" s="36">
        <v>45957</v>
      </c>
      <c r="C85" s="14" t="s">
        <v>47</v>
      </c>
      <c r="D85" s="13" t="s">
        <v>325</v>
      </c>
      <c r="E85" s="13" t="s">
        <v>118</v>
      </c>
      <c r="F85" s="15">
        <v>936145836</v>
      </c>
      <c r="G85" s="16" t="s">
        <v>326</v>
      </c>
      <c r="H85" s="14" t="s">
        <v>324</v>
      </c>
      <c r="I85" s="31">
        <v>20503369649</v>
      </c>
      <c r="J85" s="13"/>
      <c r="K85" s="13" t="s">
        <v>51</v>
      </c>
      <c r="L85" s="13" t="s">
        <v>322</v>
      </c>
      <c r="M85" s="13" t="s">
        <v>78</v>
      </c>
      <c r="N85" s="13"/>
      <c r="O85" s="13" t="s">
        <v>112</v>
      </c>
      <c r="P85" s="17" t="s">
        <v>327</v>
      </c>
      <c r="Q85" s="17" t="s">
        <v>215</v>
      </c>
      <c r="R85" s="13"/>
      <c r="S85" s="13"/>
      <c r="T85" s="13"/>
      <c r="U85" s="25"/>
      <c r="V85" s="13">
        <f>WEEKNUM(CRM[[#This Row],[Fecha]])</f>
        <v>44</v>
      </c>
    </row>
    <row r="86" spans="1:22" ht="60.75" thickBot="1" x14ac:dyDescent="0.3">
      <c r="A86" s="40">
        <v>84</v>
      </c>
      <c r="B86" s="36">
        <v>45957</v>
      </c>
      <c r="C86" s="14" t="s">
        <v>47</v>
      </c>
      <c r="D86" s="13" t="s">
        <v>329</v>
      </c>
      <c r="E86" s="13" t="s">
        <v>118</v>
      </c>
      <c r="F86" s="15">
        <v>905442227</v>
      </c>
      <c r="G86" s="16"/>
      <c r="H86" s="14" t="s">
        <v>328</v>
      </c>
      <c r="I86" s="31">
        <v>20526890401</v>
      </c>
      <c r="J86" s="13"/>
      <c r="K86" s="13" t="s">
        <v>51</v>
      </c>
      <c r="L86" s="13" t="s">
        <v>322</v>
      </c>
      <c r="M86" s="13" t="s">
        <v>78</v>
      </c>
      <c r="N86" s="13"/>
      <c r="O86" s="13" t="s">
        <v>112</v>
      </c>
      <c r="P86" s="17" t="s">
        <v>330</v>
      </c>
      <c r="Q86" s="17" t="s">
        <v>215</v>
      </c>
      <c r="R86" s="13"/>
      <c r="S86" s="13"/>
      <c r="T86" s="13"/>
      <c r="U86" s="25"/>
      <c r="V86" s="13">
        <f>WEEKNUM(CRM[[#This Row],[Fecha]])</f>
        <v>44</v>
      </c>
    </row>
    <row r="87" spans="1:22" ht="43.5" thickBot="1" x14ac:dyDescent="0.3">
      <c r="A87" s="40">
        <v>85</v>
      </c>
      <c r="B87" s="36">
        <v>45957</v>
      </c>
      <c r="C87" s="14" t="s">
        <v>47</v>
      </c>
      <c r="D87" s="13" t="s">
        <v>332</v>
      </c>
      <c r="E87" s="13" t="s">
        <v>118</v>
      </c>
      <c r="F87" s="15" t="s">
        <v>333</v>
      </c>
      <c r="G87" s="16"/>
      <c r="H87" s="14" t="s">
        <v>331</v>
      </c>
      <c r="I87" s="31">
        <v>20393721007</v>
      </c>
      <c r="J87" s="13"/>
      <c r="K87" s="13" t="s">
        <v>51</v>
      </c>
      <c r="L87" s="13" t="s">
        <v>334</v>
      </c>
      <c r="M87" s="13" t="s">
        <v>78</v>
      </c>
      <c r="N87" s="13"/>
      <c r="O87" s="13" t="s">
        <v>112</v>
      </c>
      <c r="P87" s="17" t="s">
        <v>335</v>
      </c>
      <c r="Q87" s="17" t="s">
        <v>215</v>
      </c>
      <c r="R87" s="13"/>
      <c r="S87" s="13"/>
      <c r="T87" s="13"/>
      <c r="U87" s="25"/>
      <c r="V87" s="13">
        <f>WEEKNUM(CRM[[#This Row],[Fecha]])</f>
        <v>44</v>
      </c>
    </row>
    <row r="88" spans="1:22" ht="30.75" thickBot="1" x14ac:dyDescent="0.3">
      <c r="A88" s="40">
        <v>86</v>
      </c>
      <c r="B88" s="36">
        <v>45957</v>
      </c>
      <c r="C88" s="14" t="s">
        <v>47</v>
      </c>
      <c r="D88" s="13"/>
      <c r="E88" s="13" t="s">
        <v>337</v>
      </c>
      <c r="F88" s="15">
        <v>960632429</v>
      </c>
      <c r="G88" s="16"/>
      <c r="H88" s="14" t="s">
        <v>336</v>
      </c>
      <c r="I88" s="31" t="s">
        <v>339</v>
      </c>
      <c r="J88" s="13"/>
      <c r="K88" s="13" t="s">
        <v>51</v>
      </c>
      <c r="L88" s="13" t="s">
        <v>322</v>
      </c>
      <c r="M88" s="13" t="s">
        <v>89</v>
      </c>
      <c r="N88" s="13"/>
      <c r="O88" s="13" t="s">
        <v>112</v>
      </c>
      <c r="P88" s="17" t="s">
        <v>340</v>
      </c>
      <c r="Q88" s="17" t="s">
        <v>215</v>
      </c>
      <c r="R88" s="13"/>
      <c r="S88" s="13"/>
      <c r="T88" s="13"/>
      <c r="U88" s="25"/>
      <c r="V88" s="13">
        <f>WEEKNUM(CRM[[#This Row],[Fecha]])</f>
        <v>44</v>
      </c>
    </row>
    <row r="89" spans="1:22" ht="45.75" thickBot="1" x14ac:dyDescent="0.3">
      <c r="A89" s="40">
        <v>87</v>
      </c>
      <c r="B89" s="36">
        <v>45957</v>
      </c>
      <c r="C89" s="14" t="s">
        <v>47</v>
      </c>
      <c r="D89" s="13" t="s">
        <v>342</v>
      </c>
      <c r="E89" s="13" t="s">
        <v>118</v>
      </c>
      <c r="F89" s="15" t="s">
        <v>343</v>
      </c>
      <c r="G89" s="16"/>
      <c r="H89" s="14" t="s">
        <v>341</v>
      </c>
      <c r="I89" s="31">
        <v>20612883018</v>
      </c>
      <c r="J89" s="13"/>
      <c r="K89" s="13" t="s">
        <v>51</v>
      </c>
      <c r="L89" s="13" t="s">
        <v>322</v>
      </c>
      <c r="M89" s="13" t="s">
        <v>121</v>
      </c>
      <c r="N89" s="13"/>
      <c r="O89" s="13" t="s">
        <v>112</v>
      </c>
      <c r="P89" s="17" t="s">
        <v>344</v>
      </c>
      <c r="Q89" s="17" t="s">
        <v>215</v>
      </c>
      <c r="R89" s="13"/>
      <c r="S89" s="13"/>
      <c r="T89" s="13"/>
      <c r="U89" s="25"/>
      <c r="V89" s="13">
        <v>44</v>
      </c>
    </row>
    <row r="90" spans="1:22" ht="60.75" thickBot="1" x14ac:dyDescent="0.3">
      <c r="A90" s="40">
        <v>88</v>
      </c>
      <c r="B90" s="36">
        <v>45957</v>
      </c>
      <c r="C90" s="14" t="s">
        <v>47</v>
      </c>
      <c r="D90" s="13" t="s">
        <v>346</v>
      </c>
      <c r="E90" s="13" t="s">
        <v>347</v>
      </c>
      <c r="F90" s="15" t="s">
        <v>348</v>
      </c>
      <c r="G90" s="16"/>
      <c r="H90" s="14" t="s">
        <v>345</v>
      </c>
      <c r="I90" s="31" t="s">
        <v>339</v>
      </c>
      <c r="J90" s="13" t="s">
        <v>349</v>
      </c>
      <c r="K90" s="13" t="s">
        <v>51</v>
      </c>
      <c r="L90" s="13" t="s">
        <v>322</v>
      </c>
      <c r="M90" s="13" t="s">
        <v>121</v>
      </c>
      <c r="N90" s="13"/>
      <c r="O90" s="13" t="s">
        <v>112</v>
      </c>
      <c r="P90" s="17" t="s">
        <v>350</v>
      </c>
      <c r="Q90" s="17" t="s">
        <v>215</v>
      </c>
      <c r="R90" s="13"/>
      <c r="S90" s="13"/>
      <c r="T90" s="13"/>
      <c r="U90" s="25"/>
      <c r="V90" s="13">
        <v>44</v>
      </c>
    </row>
    <row r="91" spans="1:22" ht="75.75" thickBot="1" x14ac:dyDescent="0.3">
      <c r="A91" s="40">
        <v>89</v>
      </c>
      <c r="B91" s="36">
        <v>45957</v>
      </c>
      <c r="C91" s="14" t="s">
        <v>47</v>
      </c>
      <c r="D91" s="13" t="s">
        <v>352</v>
      </c>
      <c r="E91" s="13" t="s">
        <v>353</v>
      </c>
      <c r="F91" s="15">
        <v>923824797</v>
      </c>
      <c r="G91" s="16"/>
      <c r="H91" s="14" t="s">
        <v>351</v>
      </c>
      <c r="I91" s="31">
        <v>20521909081</v>
      </c>
      <c r="J91" s="13"/>
      <c r="K91" s="13" t="s">
        <v>51</v>
      </c>
      <c r="L91" s="13" t="s">
        <v>322</v>
      </c>
      <c r="M91" s="13" t="s">
        <v>78</v>
      </c>
      <c r="N91" s="13"/>
      <c r="O91" s="13" t="s">
        <v>112</v>
      </c>
      <c r="P91" s="17" t="s">
        <v>354</v>
      </c>
      <c r="Q91" s="17" t="s">
        <v>215</v>
      </c>
      <c r="R91" s="13"/>
      <c r="S91" s="13"/>
      <c r="T91" s="13"/>
      <c r="U91" s="25"/>
      <c r="V91" s="13">
        <v>44</v>
      </c>
    </row>
    <row r="92" spans="1:22" ht="105.75" thickBot="1" x14ac:dyDescent="0.3">
      <c r="A92" s="40">
        <v>90</v>
      </c>
      <c r="B92" s="36">
        <v>45957</v>
      </c>
      <c r="C92" s="14" t="s">
        <v>47</v>
      </c>
      <c r="D92" s="13" t="s">
        <v>356</v>
      </c>
      <c r="E92" s="13" t="s">
        <v>118</v>
      </c>
      <c r="F92" s="15" t="s">
        <v>357</v>
      </c>
      <c r="G92" s="16" t="s">
        <v>358</v>
      </c>
      <c r="H92" s="14" t="s">
        <v>355</v>
      </c>
      <c r="I92" s="31">
        <v>20603682271</v>
      </c>
      <c r="J92" s="13" t="s">
        <v>359</v>
      </c>
      <c r="K92" s="13" t="s">
        <v>51</v>
      </c>
      <c r="L92" s="13" t="s">
        <v>322</v>
      </c>
      <c r="M92" s="13" t="s">
        <v>78</v>
      </c>
      <c r="N92" s="13"/>
      <c r="O92" s="13" t="s">
        <v>112</v>
      </c>
      <c r="P92" s="17" t="s">
        <v>360</v>
      </c>
      <c r="Q92" s="17" t="s">
        <v>215</v>
      </c>
      <c r="R92" s="13"/>
      <c r="S92" s="13"/>
      <c r="T92" s="13"/>
      <c r="U92" s="25"/>
      <c r="V92" s="13">
        <v>44</v>
      </c>
    </row>
    <row r="93" spans="1:22" ht="60.75" thickBot="1" x14ac:dyDescent="0.3">
      <c r="A93" s="40">
        <v>91</v>
      </c>
      <c r="B93" s="36">
        <v>45957</v>
      </c>
      <c r="C93" s="14" t="s">
        <v>47</v>
      </c>
      <c r="D93" s="13" t="s">
        <v>362</v>
      </c>
      <c r="E93" s="13" t="s">
        <v>118</v>
      </c>
      <c r="F93" s="15" t="s">
        <v>363</v>
      </c>
      <c r="G93" s="16" t="s">
        <v>364</v>
      </c>
      <c r="H93" s="14" t="s">
        <v>361</v>
      </c>
      <c r="I93" s="31">
        <v>20522371221</v>
      </c>
      <c r="J93" s="13"/>
      <c r="K93" s="13" t="s">
        <v>51</v>
      </c>
      <c r="L93" s="13" t="s">
        <v>322</v>
      </c>
      <c r="M93" s="13" t="s">
        <v>78</v>
      </c>
      <c r="N93" s="13"/>
      <c r="O93" s="13" t="s">
        <v>112</v>
      </c>
      <c r="P93" s="17" t="s">
        <v>365</v>
      </c>
      <c r="Q93" s="17" t="s">
        <v>215</v>
      </c>
      <c r="R93" s="13"/>
      <c r="S93" s="13"/>
      <c r="T93" s="13"/>
      <c r="U93" s="25"/>
      <c r="V93" s="13">
        <v>44</v>
      </c>
    </row>
    <row r="94" spans="1:22" ht="150.75" thickBot="1" x14ac:dyDescent="0.3">
      <c r="A94" s="40">
        <v>92</v>
      </c>
      <c r="B94" s="36">
        <v>45957</v>
      </c>
      <c r="C94" s="14" t="s">
        <v>47</v>
      </c>
      <c r="D94" s="13" t="s">
        <v>366</v>
      </c>
      <c r="E94" s="13" t="s">
        <v>367</v>
      </c>
      <c r="F94" s="15">
        <v>920172148</v>
      </c>
      <c r="G94" s="16" t="s">
        <v>368</v>
      </c>
      <c r="H94" s="14" t="s">
        <v>366</v>
      </c>
      <c r="I94" s="31">
        <v>72344467</v>
      </c>
      <c r="J94" s="13" t="s">
        <v>369</v>
      </c>
      <c r="K94" s="13" t="s">
        <v>51</v>
      </c>
      <c r="L94" s="13" t="s">
        <v>370</v>
      </c>
      <c r="M94" s="13" t="s">
        <v>371</v>
      </c>
      <c r="N94" s="13"/>
      <c r="O94" s="13" t="s">
        <v>279</v>
      </c>
      <c r="P94" s="17" t="s">
        <v>372</v>
      </c>
      <c r="Q94" s="17" t="s">
        <v>373</v>
      </c>
      <c r="R94" s="13"/>
      <c r="S94" s="13"/>
      <c r="T94" s="13"/>
      <c r="U94" s="25"/>
      <c r="V94" s="13">
        <f>WEEKNUM(CRM[[#This Row],[Fecha]])</f>
        <v>44</v>
      </c>
    </row>
    <row r="95" spans="1:22" ht="165.75" thickBot="1" x14ac:dyDescent="0.3">
      <c r="A95" s="40">
        <v>93</v>
      </c>
      <c r="B95" s="36">
        <v>45957</v>
      </c>
      <c r="C95" s="14" t="s">
        <v>47</v>
      </c>
      <c r="D95" s="13" t="s">
        <v>374</v>
      </c>
      <c r="E95" s="13" t="s">
        <v>375</v>
      </c>
      <c r="F95" s="15">
        <v>930812622</v>
      </c>
      <c r="G95" s="16" t="s">
        <v>376</v>
      </c>
      <c r="H95" s="14" t="s">
        <v>374</v>
      </c>
      <c r="I95" s="31">
        <v>42889736</v>
      </c>
      <c r="J95" s="13" t="s">
        <v>377</v>
      </c>
      <c r="K95" s="13" t="s">
        <v>378</v>
      </c>
      <c r="L95" s="13" t="s">
        <v>378</v>
      </c>
      <c r="M95" s="13" t="s">
        <v>379</v>
      </c>
      <c r="N95" s="13"/>
      <c r="O95" s="13" t="s">
        <v>279</v>
      </c>
      <c r="P95" s="17" t="s">
        <v>380</v>
      </c>
      <c r="Q95" s="17" t="s">
        <v>373</v>
      </c>
      <c r="R95" s="13"/>
      <c r="S95" s="13"/>
      <c r="T95" s="13"/>
      <c r="U95" s="25"/>
      <c r="V95" s="13">
        <f>WEEKNUM(CRM[[#This Row],[Fecha]])</f>
        <v>44</v>
      </c>
    </row>
    <row r="96" spans="1:22" ht="157.5" thickBot="1" x14ac:dyDescent="0.3">
      <c r="A96" s="40">
        <v>94</v>
      </c>
      <c r="B96" s="36">
        <v>45957</v>
      </c>
      <c r="C96" s="14" t="s">
        <v>47</v>
      </c>
      <c r="D96" s="13" t="s">
        <v>382</v>
      </c>
      <c r="E96" s="13" t="s">
        <v>118</v>
      </c>
      <c r="F96" s="15" t="s">
        <v>287</v>
      </c>
      <c r="G96" s="16" t="s">
        <v>383</v>
      </c>
      <c r="H96" s="14" t="s">
        <v>381</v>
      </c>
      <c r="I96" s="31">
        <v>20341509239</v>
      </c>
      <c r="J96" s="13" t="s">
        <v>384</v>
      </c>
      <c r="K96" s="13" t="s">
        <v>51</v>
      </c>
      <c r="L96" s="13" t="s">
        <v>385</v>
      </c>
      <c r="M96" s="13" t="s">
        <v>386</v>
      </c>
      <c r="N96" s="13"/>
      <c r="O96" s="13" t="s">
        <v>279</v>
      </c>
      <c r="P96" s="17" t="s">
        <v>387</v>
      </c>
      <c r="Q96" s="17" t="s">
        <v>215</v>
      </c>
      <c r="R96" s="13"/>
      <c r="S96" s="13"/>
      <c r="T96" s="13"/>
      <c r="U96" s="25"/>
      <c r="V96" s="13">
        <f>WEEKNUM(CRM[[#This Row],[Fecha]])</f>
        <v>44</v>
      </c>
    </row>
    <row r="97" spans="1:22" ht="129" thickBot="1" x14ac:dyDescent="0.3">
      <c r="A97" s="40">
        <v>95</v>
      </c>
      <c r="B97" s="36">
        <v>45957</v>
      </c>
      <c r="C97" s="14" t="s">
        <v>47</v>
      </c>
      <c r="D97" s="13" t="s">
        <v>80</v>
      </c>
      <c r="E97" s="13" t="s">
        <v>388</v>
      </c>
      <c r="F97" s="15" t="s">
        <v>389</v>
      </c>
      <c r="G97" s="16" t="s">
        <v>212</v>
      </c>
      <c r="H97" s="14" t="s">
        <v>80</v>
      </c>
      <c r="I97" s="31">
        <v>10774619271</v>
      </c>
      <c r="J97" s="13"/>
      <c r="K97" s="13" t="s">
        <v>84</v>
      </c>
      <c r="L97" s="13" t="s">
        <v>84</v>
      </c>
      <c r="M97" s="13" t="s">
        <v>78</v>
      </c>
      <c r="N97" s="13"/>
      <c r="O97" s="13" t="s">
        <v>279</v>
      </c>
      <c r="P97" s="17" t="s">
        <v>390</v>
      </c>
      <c r="Q97" s="17" t="s">
        <v>391</v>
      </c>
      <c r="R97" s="13"/>
      <c r="S97" s="13"/>
      <c r="T97" s="13"/>
      <c r="U97" s="25"/>
      <c r="V97" s="13">
        <f>WEEKNUM(CRM[[#This Row],[Fecha]])</f>
        <v>44</v>
      </c>
    </row>
    <row r="98" spans="1:22" ht="60.75" thickBot="1" x14ac:dyDescent="0.3">
      <c r="A98" s="40">
        <v>96</v>
      </c>
      <c r="B98" s="36">
        <v>45957</v>
      </c>
      <c r="C98" s="14" t="s">
        <v>47</v>
      </c>
      <c r="D98" s="13" t="s">
        <v>57</v>
      </c>
      <c r="E98" s="13" t="s">
        <v>58</v>
      </c>
      <c r="F98" s="15">
        <v>924997650</v>
      </c>
      <c r="G98" s="16" t="s">
        <v>59</v>
      </c>
      <c r="H98" s="14" t="s">
        <v>56</v>
      </c>
      <c r="I98" s="31">
        <v>20547728824</v>
      </c>
      <c r="J98" s="13"/>
      <c r="K98" s="13" t="s">
        <v>51</v>
      </c>
      <c r="L98" s="13" t="s">
        <v>51</v>
      </c>
      <c r="M98" s="13" t="s">
        <v>53</v>
      </c>
      <c r="N98" s="13"/>
      <c r="O98" s="13" t="s">
        <v>35</v>
      </c>
      <c r="P98" s="17" t="s">
        <v>392</v>
      </c>
      <c r="Q98" s="17" t="s">
        <v>393</v>
      </c>
      <c r="R98" s="13"/>
      <c r="S98" s="13"/>
      <c r="T98" s="13"/>
      <c r="U98" s="25"/>
      <c r="V98" s="13">
        <f>WEEKNUM(CRM[[#This Row],[Fecha]])</f>
        <v>44</v>
      </c>
    </row>
    <row r="99" spans="1:22" ht="57.75" thickBot="1" x14ac:dyDescent="0.3">
      <c r="A99" s="40">
        <v>97</v>
      </c>
      <c r="B99" s="36">
        <v>45957</v>
      </c>
      <c r="C99" s="14" t="s">
        <v>47</v>
      </c>
      <c r="D99" s="13"/>
      <c r="E99" s="13" t="s">
        <v>118</v>
      </c>
      <c r="F99" s="15">
        <v>991574766</v>
      </c>
      <c r="G99" s="16"/>
      <c r="H99" s="14" t="s">
        <v>299</v>
      </c>
      <c r="I99" s="31">
        <v>20603582552</v>
      </c>
      <c r="J99" s="13"/>
      <c r="K99" s="13" t="s">
        <v>51</v>
      </c>
      <c r="L99" s="13" t="s">
        <v>293</v>
      </c>
      <c r="M99" s="13" t="s">
        <v>89</v>
      </c>
      <c r="N99" s="13"/>
      <c r="O99" s="13" t="s">
        <v>279</v>
      </c>
      <c r="P99" s="17" t="s">
        <v>394</v>
      </c>
      <c r="Q99" s="17" t="s">
        <v>215</v>
      </c>
      <c r="R99" s="13"/>
      <c r="S99" s="13"/>
      <c r="T99" s="13"/>
      <c r="U99" s="25"/>
      <c r="V99" s="13">
        <f>WEEKNUM(CRM[[#This Row],[Fecha]])</f>
        <v>44</v>
      </c>
    </row>
    <row r="100" spans="1:22" ht="72" thickBot="1" x14ac:dyDescent="0.3">
      <c r="A100" s="40">
        <v>98</v>
      </c>
      <c r="B100" s="36">
        <v>45957</v>
      </c>
      <c r="C100" s="14" t="s">
        <v>47</v>
      </c>
      <c r="D100" s="13" t="s">
        <v>80</v>
      </c>
      <c r="E100" s="13" t="s">
        <v>388</v>
      </c>
      <c r="F100" s="15" t="s">
        <v>389</v>
      </c>
      <c r="G100" s="16" t="s">
        <v>212</v>
      </c>
      <c r="H100" s="14" t="s">
        <v>80</v>
      </c>
      <c r="I100" s="31">
        <v>10774619271</v>
      </c>
      <c r="J100" s="13"/>
      <c r="K100" s="13" t="s">
        <v>84</v>
      </c>
      <c r="L100" s="13" t="s">
        <v>84</v>
      </c>
      <c r="M100" s="13" t="s">
        <v>78</v>
      </c>
      <c r="N100" s="13"/>
      <c r="O100" s="13" t="s">
        <v>279</v>
      </c>
      <c r="P100" s="17" t="s">
        <v>395</v>
      </c>
      <c r="Q100" s="17" t="s">
        <v>215</v>
      </c>
      <c r="R100" s="13"/>
      <c r="S100" s="13"/>
      <c r="T100" s="13"/>
      <c r="U100" s="25"/>
      <c r="V100" s="13">
        <v>44</v>
      </c>
    </row>
    <row r="101" spans="1:22" ht="72" thickBot="1" x14ac:dyDescent="0.3">
      <c r="A101" s="40">
        <v>99</v>
      </c>
      <c r="B101" s="36">
        <v>45957</v>
      </c>
      <c r="C101" s="14" t="s">
        <v>47</v>
      </c>
      <c r="D101" s="13" t="s">
        <v>290</v>
      </c>
      <c r="E101" s="13" t="s">
        <v>118</v>
      </c>
      <c r="F101" s="15">
        <v>933571245</v>
      </c>
      <c r="G101" s="16" t="s">
        <v>291</v>
      </c>
      <c r="H101" s="14" t="s">
        <v>289</v>
      </c>
      <c r="I101" s="31" t="s">
        <v>292</v>
      </c>
      <c r="J101" s="13"/>
      <c r="K101" s="13" t="s">
        <v>51</v>
      </c>
      <c r="L101" s="13" t="s">
        <v>293</v>
      </c>
      <c r="M101" s="13" t="s">
        <v>89</v>
      </c>
      <c r="N101" s="13"/>
      <c r="O101" s="13" t="s">
        <v>279</v>
      </c>
      <c r="P101" s="17" t="s">
        <v>396</v>
      </c>
      <c r="Q101" s="17" t="s">
        <v>215</v>
      </c>
      <c r="R101" s="13"/>
      <c r="S101" s="13"/>
      <c r="T101" s="13"/>
      <c r="U101" s="25"/>
      <c r="V101" s="13">
        <f>WEEKNUM(CRM[[#This Row],[Fecha]])</f>
        <v>44</v>
      </c>
    </row>
    <row r="102" spans="1:22" ht="45.75" thickBot="1" x14ac:dyDescent="0.3">
      <c r="A102" s="40">
        <v>100</v>
      </c>
      <c r="B102" s="36">
        <v>45957</v>
      </c>
      <c r="C102" s="14" t="s">
        <v>47</v>
      </c>
      <c r="D102" s="13" t="s">
        <v>307</v>
      </c>
      <c r="E102" s="13" t="s">
        <v>118</v>
      </c>
      <c r="F102" s="15">
        <v>913474275</v>
      </c>
      <c r="G102" s="16"/>
      <c r="H102" s="14" t="s">
        <v>397</v>
      </c>
      <c r="I102" s="31">
        <v>20604456666</v>
      </c>
      <c r="J102" s="13"/>
      <c r="K102" s="13" t="s">
        <v>51</v>
      </c>
      <c r="L102" s="13" t="s">
        <v>293</v>
      </c>
      <c r="M102" s="13" t="s">
        <v>89</v>
      </c>
      <c r="N102" s="13"/>
      <c r="O102" s="13" t="s">
        <v>279</v>
      </c>
      <c r="P102" s="17" t="s">
        <v>398</v>
      </c>
      <c r="Q102" s="17" t="s">
        <v>215</v>
      </c>
      <c r="R102" s="13"/>
      <c r="S102" s="13"/>
      <c r="T102" s="13"/>
      <c r="U102" s="25"/>
      <c r="V102" s="13">
        <f>WEEKNUM(CRM[[#This Row],[Fecha]])</f>
        <v>44</v>
      </c>
    </row>
    <row r="103" spans="1:22" ht="45.75" thickBot="1" x14ac:dyDescent="0.3">
      <c r="A103" s="40">
        <v>101</v>
      </c>
      <c r="B103" s="36">
        <v>45957</v>
      </c>
      <c r="C103" s="14" t="s">
        <v>47</v>
      </c>
      <c r="D103" s="13" t="s">
        <v>311</v>
      </c>
      <c r="E103" s="13" t="s">
        <v>118</v>
      </c>
      <c r="F103" s="15" t="s">
        <v>312</v>
      </c>
      <c r="G103" s="16"/>
      <c r="H103" s="14" t="s">
        <v>310</v>
      </c>
      <c r="I103" s="31">
        <v>20610356100</v>
      </c>
      <c r="J103" s="13"/>
      <c r="K103" s="13" t="s">
        <v>51</v>
      </c>
      <c r="L103" s="13" t="s">
        <v>293</v>
      </c>
      <c r="M103" s="13" t="s">
        <v>78</v>
      </c>
      <c r="N103" s="13"/>
      <c r="O103" s="13" t="s">
        <v>279</v>
      </c>
      <c r="P103" s="17" t="s">
        <v>399</v>
      </c>
      <c r="Q103" s="17" t="s">
        <v>215</v>
      </c>
      <c r="R103" s="13"/>
      <c r="S103" s="13"/>
      <c r="T103" s="13"/>
      <c r="U103" s="25"/>
      <c r="V103" s="13">
        <f>WEEKNUM(CRM[[#This Row],[Fecha]])</f>
        <v>44</v>
      </c>
    </row>
    <row r="104" spans="1:22" ht="72" thickBot="1" x14ac:dyDescent="0.3">
      <c r="A104" s="40">
        <v>102</v>
      </c>
      <c r="B104" s="36">
        <v>45957</v>
      </c>
      <c r="C104" s="14" t="s">
        <v>47</v>
      </c>
      <c r="D104" s="13" t="s">
        <v>256</v>
      </c>
      <c r="E104" s="13" t="s">
        <v>118</v>
      </c>
      <c r="F104" s="15" t="s">
        <v>257</v>
      </c>
      <c r="G104" s="16" t="s">
        <v>258</v>
      </c>
      <c r="H104" s="14" t="s">
        <v>255</v>
      </c>
      <c r="I104" s="31">
        <v>20614049775</v>
      </c>
      <c r="J104" s="13"/>
      <c r="K104" s="13" t="s">
        <v>51</v>
      </c>
      <c r="L104" s="13" t="s">
        <v>238</v>
      </c>
      <c r="M104" s="13" t="s">
        <v>259</v>
      </c>
      <c r="N104" s="13"/>
      <c r="O104" s="13" t="s">
        <v>279</v>
      </c>
      <c r="P104" s="17" t="s">
        <v>400</v>
      </c>
      <c r="Q104" s="17" t="s">
        <v>215</v>
      </c>
      <c r="R104" s="13"/>
      <c r="S104" s="13"/>
      <c r="T104" s="13"/>
      <c r="U104" s="25"/>
      <c r="V104" s="13">
        <v>44</v>
      </c>
    </row>
    <row r="105" spans="1:22" ht="45.75" thickBot="1" x14ac:dyDescent="0.3">
      <c r="A105" s="40">
        <v>103</v>
      </c>
      <c r="B105" s="36">
        <v>45957</v>
      </c>
      <c r="C105" s="14" t="s">
        <v>47</v>
      </c>
      <c r="D105" s="13" t="s">
        <v>129</v>
      </c>
      <c r="E105" s="13" t="s">
        <v>118</v>
      </c>
      <c r="F105" s="15">
        <v>946164816</v>
      </c>
      <c r="G105" s="16"/>
      <c r="H105" s="14" t="s">
        <v>128</v>
      </c>
      <c r="I105" s="31">
        <v>20469472231</v>
      </c>
      <c r="J105" s="13"/>
      <c r="K105" s="13" t="s">
        <v>51</v>
      </c>
      <c r="L105" s="13" t="s">
        <v>120</v>
      </c>
      <c r="M105" s="13" t="s">
        <v>121</v>
      </c>
      <c r="N105" s="13"/>
      <c r="O105" s="13" t="s">
        <v>401</v>
      </c>
      <c r="P105" s="17" t="s">
        <v>402</v>
      </c>
      <c r="Q105" s="17" t="s">
        <v>215</v>
      </c>
      <c r="R105" s="13"/>
      <c r="S105" s="13"/>
      <c r="T105" s="13"/>
      <c r="U105" s="25"/>
      <c r="V105" s="13">
        <v>44</v>
      </c>
    </row>
    <row r="106" spans="1:22" ht="75.75" thickBot="1" x14ac:dyDescent="0.3">
      <c r="A106" s="40">
        <v>104</v>
      </c>
      <c r="B106" s="36">
        <v>45957</v>
      </c>
      <c r="C106" s="14" t="s">
        <v>47</v>
      </c>
      <c r="D106" s="13" t="s">
        <v>171</v>
      </c>
      <c r="E106" s="13" t="s">
        <v>118</v>
      </c>
      <c r="F106" s="15" t="s">
        <v>172</v>
      </c>
      <c r="G106" s="16" t="s">
        <v>173</v>
      </c>
      <c r="H106" s="14" t="s">
        <v>170</v>
      </c>
      <c r="I106" s="31">
        <v>20601983550</v>
      </c>
      <c r="J106" s="13"/>
      <c r="K106" s="13" t="s">
        <v>51</v>
      </c>
      <c r="L106" s="13" t="s">
        <v>168</v>
      </c>
      <c r="M106" s="13" t="s">
        <v>121</v>
      </c>
      <c r="N106" s="13"/>
      <c r="O106" s="13" t="s">
        <v>401</v>
      </c>
      <c r="P106" s="17" t="s">
        <v>403</v>
      </c>
      <c r="Q106" s="17" t="s">
        <v>215</v>
      </c>
      <c r="R106" s="13"/>
      <c r="S106" s="13"/>
      <c r="T106" s="13"/>
      <c r="U106" s="25"/>
      <c r="V106" s="13">
        <v>44</v>
      </c>
    </row>
    <row r="107" spans="1:22" ht="100.5" thickBot="1" x14ac:dyDescent="0.3">
      <c r="A107" s="40">
        <v>105</v>
      </c>
      <c r="B107" s="36">
        <v>45957</v>
      </c>
      <c r="C107" s="14" t="s">
        <v>47</v>
      </c>
      <c r="D107" s="13" t="s">
        <v>296</v>
      </c>
      <c r="E107" s="13" t="s">
        <v>118</v>
      </c>
      <c r="F107" s="15">
        <v>989277383</v>
      </c>
      <c r="G107" s="16"/>
      <c r="H107" s="14" t="s">
        <v>295</v>
      </c>
      <c r="I107" s="31" t="s">
        <v>297</v>
      </c>
      <c r="J107" s="13"/>
      <c r="K107" s="13" t="s">
        <v>51</v>
      </c>
      <c r="L107" s="13" t="s">
        <v>293</v>
      </c>
      <c r="M107" s="13" t="s">
        <v>89</v>
      </c>
      <c r="N107" s="13"/>
      <c r="O107" s="13" t="s">
        <v>401</v>
      </c>
      <c r="P107" s="17" t="s">
        <v>404</v>
      </c>
      <c r="Q107" s="17" t="s">
        <v>215</v>
      </c>
      <c r="R107" s="13"/>
      <c r="S107" s="13"/>
      <c r="T107" s="13"/>
      <c r="U107" s="25"/>
      <c r="V107" s="13">
        <v>44</v>
      </c>
    </row>
    <row r="108" spans="1:22" ht="75.75" thickBot="1" x14ac:dyDescent="0.3">
      <c r="A108" s="40">
        <v>106</v>
      </c>
      <c r="B108" s="36">
        <v>45959</v>
      </c>
      <c r="C108" s="14" t="s">
        <v>47</v>
      </c>
      <c r="D108" s="13" t="s">
        <v>405</v>
      </c>
      <c r="E108" s="13" t="s">
        <v>118</v>
      </c>
      <c r="F108" s="15" t="s">
        <v>406</v>
      </c>
      <c r="G108" s="16"/>
      <c r="H108" s="14" t="s">
        <v>11</v>
      </c>
      <c r="I108" s="31">
        <v>20335862130</v>
      </c>
      <c r="J108" s="13" t="s">
        <v>407</v>
      </c>
      <c r="K108" s="13" t="s">
        <v>51</v>
      </c>
      <c r="L108" s="13" t="s">
        <v>408</v>
      </c>
      <c r="M108" s="13" t="s">
        <v>121</v>
      </c>
      <c r="N108" s="13"/>
      <c r="O108" s="13" t="s">
        <v>112</v>
      </c>
      <c r="P108" s="17" t="s">
        <v>12</v>
      </c>
      <c r="Q108" s="17" t="s">
        <v>373</v>
      </c>
      <c r="R108" s="13"/>
      <c r="S108" s="13"/>
      <c r="T108" s="13"/>
      <c r="U108" s="25"/>
      <c r="V108" s="13">
        <v>44</v>
      </c>
    </row>
    <row r="109" spans="1:22" ht="72" thickBot="1" x14ac:dyDescent="0.3">
      <c r="A109" s="40">
        <v>107</v>
      </c>
      <c r="B109" s="36">
        <v>45959</v>
      </c>
      <c r="C109" s="14" t="s">
        <v>47</v>
      </c>
      <c r="D109" s="13" t="s">
        <v>409</v>
      </c>
      <c r="E109" s="13" t="s">
        <v>118</v>
      </c>
      <c r="F109" s="15">
        <v>998345586</v>
      </c>
      <c r="G109" s="16" t="s">
        <v>410</v>
      </c>
      <c r="H109" s="14" t="s">
        <v>13</v>
      </c>
      <c r="I109" s="31">
        <v>20535520641</v>
      </c>
      <c r="J109" s="13" t="s">
        <v>411</v>
      </c>
      <c r="K109" s="13" t="s">
        <v>51</v>
      </c>
      <c r="L109" s="13" t="s">
        <v>408</v>
      </c>
      <c r="M109" s="13" t="s">
        <v>412</v>
      </c>
      <c r="N109" s="13"/>
      <c r="O109" s="13" t="s">
        <v>112</v>
      </c>
      <c r="P109" s="17" t="s">
        <v>14</v>
      </c>
      <c r="Q109" s="17" t="s">
        <v>55</v>
      </c>
      <c r="R109" s="13"/>
      <c r="S109" s="13"/>
      <c r="T109" s="13"/>
      <c r="U109" s="25"/>
      <c r="V109" s="13">
        <v>44</v>
      </c>
    </row>
    <row r="110" spans="1:22" ht="72" thickBot="1" x14ac:dyDescent="0.3">
      <c r="A110" s="40">
        <v>108</v>
      </c>
      <c r="B110" s="36">
        <v>45959</v>
      </c>
      <c r="C110" s="14" t="s">
        <v>47</v>
      </c>
      <c r="D110" s="13" t="s">
        <v>413</v>
      </c>
      <c r="E110" s="13" t="s">
        <v>118</v>
      </c>
      <c r="F110" s="15" t="s">
        <v>414</v>
      </c>
      <c r="G110" s="16" t="s">
        <v>415</v>
      </c>
      <c r="H110" s="14" t="s">
        <v>15</v>
      </c>
      <c r="I110" s="31">
        <v>20101153704</v>
      </c>
      <c r="J110" s="13" t="s">
        <v>415</v>
      </c>
      <c r="K110" s="13" t="s">
        <v>51</v>
      </c>
      <c r="L110" s="13" t="s">
        <v>408</v>
      </c>
      <c r="M110" s="13" t="s">
        <v>416</v>
      </c>
      <c r="N110" s="13"/>
      <c r="O110" s="13" t="s">
        <v>112</v>
      </c>
      <c r="P110" s="17" t="s">
        <v>16</v>
      </c>
      <c r="Q110" s="17" t="s">
        <v>373</v>
      </c>
      <c r="R110" s="13"/>
      <c r="S110" s="13"/>
      <c r="T110" s="13"/>
      <c r="U110" s="25"/>
      <c r="V110" s="13">
        <v>44</v>
      </c>
    </row>
    <row r="111" spans="1:22" ht="100.5" thickBot="1" x14ac:dyDescent="0.3">
      <c r="A111" s="40">
        <v>109</v>
      </c>
      <c r="B111" s="36">
        <v>45959</v>
      </c>
      <c r="C111" s="14" t="s">
        <v>47</v>
      </c>
      <c r="D111" s="13" t="s">
        <v>417</v>
      </c>
      <c r="E111" s="13" t="s">
        <v>118</v>
      </c>
      <c r="F111" s="15">
        <v>993227367</v>
      </c>
      <c r="G111" s="16"/>
      <c r="H111" s="14" t="s">
        <v>17</v>
      </c>
      <c r="I111" s="31">
        <v>20550079349</v>
      </c>
      <c r="J111" s="13" t="s">
        <v>338</v>
      </c>
      <c r="K111" s="13" t="s">
        <v>51</v>
      </c>
      <c r="L111" s="13" t="s">
        <v>418</v>
      </c>
      <c r="M111" s="13" t="s">
        <v>89</v>
      </c>
      <c r="N111" s="13"/>
      <c r="O111" s="13" t="s">
        <v>112</v>
      </c>
      <c r="P111" s="17" t="s">
        <v>18</v>
      </c>
      <c r="Q111" s="17" t="s">
        <v>373</v>
      </c>
      <c r="R111" s="13"/>
      <c r="S111" s="13"/>
      <c r="T111" s="13"/>
      <c r="U111" s="25"/>
      <c r="V111" s="13">
        <v>44</v>
      </c>
    </row>
    <row r="112" spans="1:22" ht="129" thickBot="1" x14ac:dyDescent="0.3">
      <c r="A112" s="40">
        <v>110</v>
      </c>
      <c r="B112" s="36">
        <v>45959</v>
      </c>
      <c r="C112" s="14" t="s">
        <v>47</v>
      </c>
      <c r="D112" s="13"/>
      <c r="E112" s="13" t="s">
        <v>118</v>
      </c>
      <c r="F112" s="15" t="s">
        <v>419</v>
      </c>
      <c r="G112" s="16" t="s">
        <v>420</v>
      </c>
      <c r="H112" s="14" t="s">
        <v>19</v>
      </c>
      <c r="I112" s="31">
        <v>20603760507</v>
      </c>
      <c r="J112" s="13" t="s">
        <v>420</v>
      </c>
      <c r="K112" s="13" t="s">
        <v>51</v>
      </c>
      <c r="L112" s="13" t="s">
        <v>408</v>
      </c>
      <c r="M112" s="13" t="s">
        <v>121</v>
      </c>
      <c r="N112" s="13"/>
      <c r="O112" s="13" t="s">
        <v>112</v>
      </c>
      <c r="P112" s="17" t="s">
        <v>20</v>
      </c>
      <c r="Q112" s="17" t="s">
        <v>373</v>
      </c>
      <c r="R112" s="13"/>
      <c r="S112" s="13"/>
      <c r="T112" s="13"/>
      <c r="U112" s="25"/>
      <c r="V112" s="13">
        <v>44</v>
      </c>
    </row>
    <row r="113" spans="1:22" ht="114.75" thickBot="1" x14ac:dyDescent="0.3">
      <c r="A113" s="40">
        <v>111</v>
      </c>
      <c r="B113" s="36">
        <v>45959</v>
      </c>
      <c r="C113" s="14" t="s">
        <v>47</v>
      </c>
      <c r="D113" s="13" t="s">
        <v>421</v>
      </c>
      <c r="E113" s="13" t="s">
        <v>118</v>
      </c>
      <c r="F113" s="15" t="s">
        <v>422</v>
      </c>
      <c r="G113" s="16" t="s">
        <v>423</v>
      </c>
      <c r="H113" s="14" t="s">
        <v>21</v>
      </c>
      <c r="I113" s="31">
        <v>20602664946</v>
      </c>
      <c r="J113" s="13" t="s">
        <v>423</v>
      </c>
      <c r="K113" s="13" t="s">
        <v>51</v>
      </c>
      <c r="L113" s="13" t="s">
        <v>408</v>
      </c>
      <c r="M113" s="13" t="s">
        <v>78</v>
      </c>
      <c r="N113" s="13"/>
      <c r="O113" s="13" t="s">
        <v>112</v>
      </c>
      <c r="P113" s="17" t="s">
        <v>22</v>
      </c>
      <c r="Q113" s="17" t="s">
        <v>373</v>
      </c>
      <c r="R113" s="13"/>
      <c r="S113" s="13"/>
      <c r="T113" s="13"/>
      <c r="U113" s="25"/>
      <c r="V113" s="13">
        <v>44</v>
      </c>
    </row>
    <row r="114" spans="1:22" ht="100.5" thickBot="1" x14ac:dyDescent="0.3">
      <c r="A114" s="40">
        <v>112</v>
      </c>
      <c r="B114" s="36">
        <v>45959</v>
      </c>
      <c r="C114" s="14" t="s">
        <v>47</v>
      </c>
      <c r="D114" s="13"/>
      <c r="E114" s="13" t="s">
        <v>118</v>
      </c>
      <c r="F114" s="15" t="s">
        <v>424</v>
      </c>
      <c r="G114" s="16"/>
      <c r="H114" s="14" t="s">
        <v>23</v>
      </c>
      <c r="I114" s="31">
        <v>20100210909</v>
      </c>
      <c r="J114" s="13" t="s">
        <v>425</v>
      </c>
      <c r="K114" s="13" t="s">
        <v>51</v>
      </c>
      <c r="L114" s="13" t="s">
        <v>408</v>
      </c>
      <c r="M114" s="13" t="s">
        <v>121</v>
      </c>
      <c r="N114" s="13"/>
      <c r="O114" s="13" t="s">
        <v>112</v>
      </c>
      <c r="P114" s="17" t="s">
        <v>24</v>
      </c>
      <c r="Q114" s="17" t="s">
        <v>373</v>
      </c>
      <c r="R114" s="13"/>
      <c r="S114" s="13"/>
      <c r="T114" s="13"/>
      <c r="U114" s="25"/>
      <c r="V114" s="13">
        <v>44</v>
      </c>
    </row>
    <row r="115" spans="1:22" ht="57.75" thickBot="1" x14ac:dyDescent="0.3">
      <c r="A115" s="40">
        <v>113</v>
      </c>
      <c r="B115" s="36">
        <v>45959</v>
      </c>
      <c r="C115" s="14" t="s">
        <v>47</v>
      </c>
      <c r="D115" s="13" t="s">
        <v>426</v>
      </c>
      <c r="E115" s="13" t="s">
        <v>118</v>
      </c>
      <c r="F115" s="15" t="s">
        <v>427</v>
      </c>
      <c r="G115" s="16"/>
      <c r="H115" s="14" t="s">
        <v>25</v>
      </c>
      <c r="I115" s="31">
        <v>20601716721</v>
      </c>
      <c r="J115" s="13"/>
      <c r="K115" s="13" t="s">
        <v>51</v>
      </c>
      <c r="L115" s="13" t="s">
        <v>408</v>
      </c>
      <c r="M115" s="13" t="s">
        <v>78</v>
      </c>
      <c r="N115" s="13"/>
      <c r="O115" s="13" t="s">
        <v>112</v>
      </c>
      <c r="P115" s="17" t="s">
        <v>428</v>
      </c>
      <c r="Q115" s="17" t="s">
        <v>373</v>
      </c>
      <c r="R115" s="13"/>
      <c r="S115" s="13"/>
      <c r="T115" s="13"/>
      <c r="U115" s="25"/>
      <c r="V115" s="13">
        <v>44</v>
      </c>
    </row>
    <row r="116" spans="1:22" ht="90.75" thickBot="1" x14ac:dyDescent="0.3">
      <c r="A116" s="40">
        <v>114</v>
      </c>
      <c r="B116" s="36">
        <v>45959</v>
      </c>
      <c r="C116" s="14" t="s">
        <v>47</v>
      </c>
      <c r="D116" s="13" t="s">
        <v>429</v>
      </c>
      <c r="E116" s="13" t="s">
        <v>118</v>
      </c>
      <c r="F116" s="15">
        <v>967942534</v>
      </c>
      <c r="G116" s="16"/>
      <c r="H116" s="14" t="s">
        <v>27</v>
      </c>
      <c r="I116" s="31">
        <v>20506309434</v>
      </c>
      <c r="J116" s="13" t="s">
        <v>430</v>
      </c>
      <c r="K116" s="13" t="s">
        <v>51</v>
      </c>
      <c r="L116" s="13" t="s">
        <v>408</v>
      </c>
      <c r="M116" s="13" t="s">
        <v>121</v>
      </c>
      <c r="N116" s="13"/>
      <c r="O116" s="13" t="s">
        <v>112</v>
      </c>
      <c r="P116" s="17" t="s">
        <v>443</v>
      </c>
      <c r="Q116" s="17" t="s">
        <v>373</v>
      </c>
      <c r="R116" s="13"/>
      <c r="S116" s="13"/>
      <c r="T116" s="13"/>
      <c r="U116" s="25"/>
      <c r="V116" s="13">
        <v>44</v>
      </c>
    </row>
    <row r="117" spans="1:22" ht="45.75" thickBot="1" x14ac:dyDescent="0.3">
      <c r="A117" s="40">
        <v>115</v>
      </c>
      <c r="B117" s="36">
        <v>45940</v>
      </c>
      <c r="C117" s="14" t="s">
        <v>444</v>
      </c>
      <c r="D117" s="13" t="s">
        <v>80</v>
      </c>
      <c r="E117" s="13" t="s">
        <v>388</v>
      </c>
      <c r="F117" s="15" t="s">
        <v>389</v>
      </c>
      <c r="G117" s="16" t="s">
        <v>212</v>
      </c>
      <c r="H117" s="14" t="s">
        <v>80</v>
      </c>
      <c r="I117" s="31">
        <v>10774619271</v>
      </c>
      <c r="J117" s="13"/>
      <c r="K117" s="13" t="s">
        <v>84</v>
      </c>
      <c r="L117" s="13" t="s">
        <v>84</v>
      </c>
      <c r="M117" s="13" t="s">
        <v>78</v>
      </c>
      <c r="N117" s="13"/>
      <c r="O117" s="13" t="s">
        <v>279</v>
      </c>
      <c r="P117" s="17" t="s">
        <v>445</v>
      </c>
      <c r="Q117" s="17" t="s">
        <v>391</v>
      </c>
      <c r="R117" s="13"/>
      <c r="S117" s="13"/>
      <c r="T117" s="13"/>
      <c r="U117" s="25"/>
      <c r="V117" s="13">
        <f>WEEKNUM(CRM[[#This Row],[Fecha]])</f>
        <v>41</v>
      </c>
    </row>
    <row r="118" spans="1:22" ht="57.75" thickBot="1" x14ac:dyDescent="0.3">
      <c r="A118" s="40">
        <v>116</v>
      </c>
      <c r="B118" s="36">
        <v>45975</v>
      </c>
      <c r="C118" s="14" t="s">
        <v>47</v>
      </c>
      <c r="D118" s="13" t="s">
        <v>455</v>
      </c>
      <c r="E118" s="13" t="s">
        <v>118</v>
      </c>
      <c r="F118" s="15">
        <v>991574766</v>
      </c>
      <c r="G118" s="16"/>
      <c r="H118" s="14" t="s">
        <v>299</v>
      </c>
      <c r="I118" s="31">
        <v>20603582552</v>
      </c>
      <c r="J118" s="13"/>
      <c r="K118" s="13" t="s">
        <v>51</v>
      </c>
      <c r="L118" s="13" t="s">
        <v>293</v>
      </c>
      <c r="M118" s="13" t="s">
        <v>89</v>
      </c>
      <c r="N118" s="13"/>
      <c r="O118" s="13" t="s">
        <v>112</v>
      </c>
      <c r="P118" s="17" t="s">
        <v>456</v>
      </c>
      <c r="Q118" s="17" t="s">
        <v>301</v>
      </c>
      <c r="R118" s="13"/>
      <c r="S118" s="13"/>
      <c r="T118" s="13"/>
      <c r="U118" s="25"/>
      <c r="V118" s="13">
        <f>WEEKNUM(CRM[[#This Row],[Fecha]])</f>
        <v>46</v>
      </c>
    </row>
    <row r="1048575" spans="2:2" x14ac:dyDescent="0.25">
      <c r="B1048575" s="34"/>
    </row>
  </sheetData>
  <hyperlinks>
    <hyperlink ref="G3" r:id="rId1" display="mailto:transportes.jasa61@gmail.com" xr:uid="{38121174-C1D6-4D0C-BE1D-A1A640D1B797}"/>
    <hyperlink ref="G4" r:id="rId2" display="mailto:davidmoreno7353@gmail.com" xr:uid="{AE2D938E-47A2-4501-A5F9-BAFF3663778D}"/>
    <hyperlink ref="G5" r:id="rId3" display="mailto:patriciaalarcon889@gmail.com" xr:uid="{A0FE3DFF-4AFB-4073-A092-875622A0F34D}"/>
    <hyperlink ref="G6" r:id="rId4" display="mailto:PAREDESMATTA90@GMAIL.COM" xr:uid="{6C5E0E10-31C6-4B12-8D4F-BD76E13DE8C2}"/>
    <hyperlink ref="G7" r:id="rId5" display="mailto:skemyherlinyolimar@gmail.com" xr:uid="{671C0C56-BC2F-49F6-9439-F731B7652FC8}"/>
    <hyperlink ref="F8" r:id="rId6" display="https://www.google.com/search?q=los+incas+numero%7D+hoteal%7D&amp;sca_esv=679517c3ba0a5d08&amp;rlz=1C1VDKB_esPE1178PE1178&amp;sxsrf=AE3TifMcPEY3K4KC2QrIaBjfb7qTc91ZxQ%3A1760136697285&amp;ei=-Y3paNSZEfGq5OUPv7m0CQ&amp;ved=0ahUKEwiU-uOU3JqQAxVxFbkGHb8cLQEQ4dUDCBA&amp;uact=5&amp;oq=los+incas+numero%7D+hoteal%7D&amp;gs_lp=Egxnd3Mtd2l6LXNlcnAiGWxvcyBpbmNhcyBudW1lcm99IGhvdGVhbH0yBxAhGKABGAoyBxAhGKABGAoyBxAhGKABGAoyBxAhGKABGAoyBRAhGJ8FMgUQIRifBTIFECEYnwUyBRAhGJ8FMgUQIRifBTIFECEYnwVItRlQpwFYqhJwAXgBkAEAmAGCAqABzQmqAQUwLjcuMbgBA8gBAPgBAZgCCaACjQrCAgoQABiwAxjWBBhHwgIEECMYJ8ICBRAAGO8FwgIFECEYoAGYAwCIBgGQBgiSBwUxLjcuMaAH9BiyBwUwLjcuMbgHhwrCBwUwLjIuN8gHIQ&amp;sclient=gws-wiz-serp&amp;lqi=Chhsb3MgaW5jYXMgbnVtZXJvfSBob3RlbH0iAhABSMTIhufrgICACFofEAAQARgAGAEiC2luY2FzIGhvdGVsKgQIAxABMgJlc5IBBWhvdGVsqgFFEAEqDyILaW5jYXMgaG90ZWwoDjIfEAEiG_CRY0X3qS3b0X-ZUFuepwY7cM1R5_uI6BgmHzIPEAIiC2luY2FzIGhvdGVs" xr:uid="{CBB6B477-CB46-469A-A7F1-D18A95905C39}"/>
    <hyperlink ref="G9" r:id="rId7" display="mailto:jcosanatan@gmail.com" xr:uid="{C13D15E0-9C67-47E4-8D9D-B042F4ED38E1}"/>
    <hyperlink ref="G10" r:id="rId8" display="mailto:karilin4369@gmail.com" xr:uid="{411BE6FB-F247-43E7-9D1B-265055688858}"/>
    <hyperlink ref="G11" r:id="rId9" display="mailto:ruthvc335@gmail.com" xr:uid="{CDBBAE1F-1C59-4680-A0E9-E97BD8DF2B5E}"/>
    <hyperlink ref="G12" r:id="rId10" display="mailto:Anthonygarcia982@gmail.com" xr:uid="{245F79A0-1B59-473E-B6D8-A682718C9188}"/>
    <hyperlink ref="G19" r:id="rId11" display="https://l.facebook.com/l.php?u=http%3A%2F%2Fwww.lavanderiacityplus.com%2F&amp;h=AT3fAok9QRhB9Kl2aGN7wiSpP6CkJEwzlLJ48-MW2dyyW_vfAiP2UEF6RwezuBX-zdbUUSUyxAH166ziDEuvJn34U96ciJQFHhxq0INC-DZKk54H0vL-tdO47OIy-GyWUTWW-ZnPhrucd0RLdOGiHA" xr:uid="{D464FB48-3DFC-4DCD-8509-32A5F8F5226C}"/>
    <hyperlink ref="G33" r:id="rId12" display="mailto:servicios.lavagyn@gmail.com" xr:uid="{E225683C-CC10-41A9-941F-DDF43EDEAF72}"/>
    <hyperlink ref="G34" r:id="rId13" display="mailto:informes@ecocleangestion.com.pe" xr:uid="{A3FC7DE6-23B8-446D-9C7B-56E27BD3F0B1}"/>
    <hyperlink ref="G35" r:id="rId14" display="mailto:lavadorita.peru@gmail.com" xr:uid="{8AA7DADE-B1EE-4523-8D75-84E5AAC3BC97}"/>
    <hyperlink ref="F36" r:id="rId15" display="https://www.google.com/search?q=LAVAPRO+RUC&amp;sca_esv=ff3a164b2762a5c0&amp;rlz=1C1VDKB_esPE1178PE1178&amp;sxsrf=AE3TifOgJkcw7Nq7lBajHUUCOYAQImLI0Q%3A1760113725684&amp;ei=PTTpaM7CKZrd5OUP9tTemA0&amp;ved=0ahUKEwiO1YjLhpqQAxWaLrkGHXaqF9MQ4dUDCBA&amp;uact=5&amp;oq=LAVAPRO+RUC&amp;gs_lp=Egxnd3Mtd2l6LXNlcnAiC0xBVkFQUk8gUlVDMgUQABjvBTIIEAAYgAQYogQyCBAAGIAEGKIEMggQABiABBiiBEjCngRQAFjSmwRwAXgAkAEAmAGtAaABmwyqAQQwLjExuAEDyAEA-AEBmAIMoALDDagCEMICBxAjGCcY6gLCAg0QLhiABBgnGIoFGOoCwgIUEAAYgAQYkQIYtAIYigUY6gLYAQHCAgQQIxgnwgILEAAYgAQYkQIYigXCAgUQABiABMICBRAuGIAEwgILEC4YgAQY0QMYxwHCAgoQABiABBgUGIcCwgIIEAAYgAQYywHCAggQLhiABBjLAcICBhAAGBYYHpgDFvEFsMtAwBgyw2S6BgYIARABGAGSBwQxLjExoAe4WLIHBDAuMTG4B6wNwgcHMi00LjcuMcgHgAE&amp;sclient=gws-wiz-serp" xr:uid="{42B42D23-033A-48E0-9BF7-E0089F940E86}"/>
    <hyperlink ref="G39" r:id="rId16" display="mailto:lavanderiarivasplata@gmail.com" xr:uid="{75FA2DB9-4007-42BA-B088-C6F95650414D}"/>
    <hyperlink ref="G40" r:id="rId17" display="mailto:davidmoreno7353@gmail.com" xr:uid="{ADA97F22-278D-4722-99D8-674C8B171AE8}"/>
    <hyperlink ref="G41" r:id="rId18" xr:uid="{F52BB2D8-49EB-4346-9FF3-8A66BE673991}"/>
    <hyperlink ref="G55" r:id="rId19" display="https://l.facebook.com/l.php?u=http%3A%2F%2Fwww.lavanderiacityplus.com%2F&amp;h=AT3fAok9QRhB9Kl2aGN7wiSpP6CkJEwzlLJ48-MW2dyyW_vfAiP2UEF6RwezuBX-zdbUUSUyxAH166ziDEuvJn34U96ciJQFHhxq0INC-DZKk54H0vL-tdO47OIy-GyWUTWW-ZnPhrucd0RLdOGiHA" xr:uid="{C57F6D4F-9C23-46BF-AA70-81BDD8266424}"/>
    <hyperlink ref="G59" r:id="rId20" display="mailto:servicios.lavagyn@gmail.com" xr:uid="{9E15AB0B-3490-455E-A723-73E64F1C388A}"/>
    <hyperlink ref="G60" r:id="rId21" display="mailto:informes@ecocleangestion.com.pe" xr:uid="{FE591760-B774-4965-9369-2D9D84F7DB52}"/>
    <hyperlink ref="G61" r:id="rId22" display="mailto:lavadorita.peru@gmail.com" xr:uid="{D9632F7A-508B-4307-94E4-899B48CC0D95}"/>
    <hyperlink ref="F62" r:id="rId23" display="https://www.google.com/search?q=LAVAPRO+RUC&amp;sca_esv=ff3a164b2762a5c0&amp;rlz=1C1VDKB_esPE1178PE1178&amp;sxsrf=AE3TifOgJkcw7Nq7lBajHUUCOYAQImLI0Q%3A1760113725684&amp;ei=PTTpaM7CKZrd5OUP9tTemA0&amp;ved=0ahUKEwiO1YjLhpqQAxWaLrkGHXaqF9MQ4dUDCBA&amp;uact=5&amp;oq=LAVAPRO+RUC&amp;gs_lp=Egxnd3Mtd2l6LXNlcnAiC0xBVkFQUk8gUlVDMgUQABjvBTIIEAAYgAQYogQyCBAAGIAEGKIEMggQABiABBiiBEjCngRQAFjSmwRwAXgAkAEAmAGtAaABmwyqAQQwLjExuAEDyAEA-AEBmAIMoALDDagCEMICBxAjGCcY6gLCAg0QLhiABBgnGIoFGOoCwgIUEAAYgAQYkQIYtAIYigUY6gLYAQHCAgQQIxgnwgILEAAYgAQYkQIYigXCAgUQABiABMICBRAuGIAEwgILEC4YgAQY0QMYxwHCAgoQABiABBgUGIcCwgIIEAAYgAQYywHCAggQLhiABBjLAcICBhAAGBYYHpgDFvEFsMtAwBgyw2S6BgYIARABGAGSBwQxLjExoAe4WLIHBDAuMTG4B6wNwgcHMi00LjcuMcgHgAE&amp;sclient=gws-wiz-serp" xr:uid="{F89691C6-B178-43C2-B532-94FA8C2CA0B0}"/>
    <hyperlink ref="J64" r:id="rId24" xr:uid="{490F0E26-6DDD-4095-9675-C1C5C4800473}"/>
    <hyperlink ref="G67" r:id="rId25" display="https://l.facebook.com/l.php?u=https%3A%2F%2Fwww.instagram.com%2Flavanderialavalux_%2F&amp;h=AT01zNSlSK0g6_5HNS6nZCERFvB2pkC06WFLYX20MuCx7DNvmbPAEGUmT3qCVZ_3gk1_OO_6a9Hu9Kah9LK-lhceD6r_5fJOH60y8mT0UAKmmHUCACeVj1vc_Gw95y-cHDYblk7uRj6frP6nqVBvDw" xr:uid="{51A96D51-98A7-4EEB-A2B5-E45218BF510E}"/>
    <hyperlink ref="J73" r:id="rId26" xr:uid="{E13A0C2C-316C-4E17-8611-DAA9C5598297}"/>
    <hyperlink ref="G8" r:id="rId27" xr:uid="{F0AB6EAF-D4DF-4E3F-9C77-7FB09D73F909}"/>
    <hyperlink ref="G77" r:id="rId28" xr:uid="{9BDF0779-7645-4725-A856-C7B04EF0530D}"/>
    <hyperlink ref="G83" r:id="rId29" xr:uid="{1671E81E-E615-4A7F-8379-70D8E559B351}"/>
    <hyperlink ref="G92" r:id="rId30" xr:uid="{A5340D52-5E63-4690-9D5B-6583F33A374C}"/>
    <hyperlink ref="J92" r:id="rId31" xr:uid="{10A13335-9A31-4E06-8B2F-57705D5D0B81}"/>
    <hyperlink ref="G93" r:id="rId32" xr:uid="{38811C68-41E0-46A9-902C-C76572BA80EB}"/>
    <hyperlink ref="G94" r:id="rId33" xr:uid="{3C27AEE8-1DF8-403F-9F7E-36C351F9AFAA}"/>
    <hyperlink ref="J94" r:id="rId34" xr:uid="{8AA60882-6AAF-483F-A358-F98D98936BAE}"/>
    <hyperlink ref="G95" r:id="rId35" xr:uid="{25D0B864-81F5-467E-BBFB-BD56D95369D6}"/>
    <hyperlink ref="J95" r:id="rId36" xr:uid="{918FC749-4DC2-439B-981B-7EA549B8307B}"/>
    <hyperlink ref="J96" r:id="rId37" xr:uid="{E06547A9-AAD5-4595-A421-53A6489CC95F}"/>
    <hyperlink ref="G97" r:id="rId38" xr:uid="{8B7737D5-97ED-4700-9C90-A8E3C38923AE}"/>
    <hyperlink ref="G98" r:id="rId39" display="mailto:davidmoreno7353@gmail.com" xr:uid="{79D4748A-D33E-4B3D-942F-CF47D27C7BBE}"/>
    <hyperlink ref="G100" r:id="rId40" xr:uid="{7A13BCA6-9244-4B63-9256-DF1712FE4E93}"/>
    <hyperlink ref="G101" r:id="rId41" xr:uid="{CDB4EFD4-BE2A-4C0F-BADF-A89DDD813DF2}"/>
    <hyperlink ref="F108" r:id="rId42" xr:uid="{2874637F-B626-46E0-A621-668BB2E2E31B}"/>
    <hyperlink ref="J108" r:id="rId43" xr:uid="{5747521D-A0B0-4E0F-B27C-962E418053D8}"/>
    <hyperlink ref="G109" r:id="rId44" xr:uid="{59360F02-415A-4956-9A2C-4B77F64B44A3}"/>
    <hyperlink ref="J113" r:id="rId45" xr:uid="{42C3C45A-AF40-4996-A52E-D9FA8E070776}"/>
    <hyperlink ref="J114" r:id="rId46" xr:uid="{84E6FE38-456E-4A8C-B87A-125191D67C6B}"/>
    <hyperlink ref="J116" r:id="rId47" xr:uid="{E3C56B03-9AF8-43D6-A8A0-F32AF39EF45A}"/>
    <hyperlink ref="G117" r:id="rId48" xr:uid="{68AF2766-E8F5-453A-AAD5-710195C20FCE}"/>
  </hyperlinks>
  <pageMargins left="0.7" right="0.7" top="0.75" bottom="0.75" header="0.3" footer="0.3"/>
  <pageSetup paperSize="9" orientation="portrait" r:id="rId49"/>
  <tableParts count="1">
    <tablePart r:id="rId50"/>
  </tableParts>
  <extLst>
    <ext xmlns:x14="http://schemas.microsoft.com/office/spreadsheetml/2009/9/main" uri="{CCE6A557-97BC-4b89-ADB6-D9C93CAAB3DF}">
      <x14:dataValidations xmlns:xm="http://schemas.microsoft.com/office/excel/2006/main" count="3">
        <x14:dataValidation type="list" allowBlank="1" showInputMessage="1" showErrorMessage="1" xr:uid="{22F1F40B-6DC8-4829-BFFB-F2344CF47B88}">
          <x14:formula1>
            <xm:f>Detalle!$G$6:$G$10</xm:f>
          </x14:formula1>
          <xm:sqref>U100 O117:O118 O3:O103</xm:sqref>
        </x14:dataValidation>
        <x14:dataValidation type="list" allowBlank="1" showInputMessage="1" showErrorMessage="1" xr:uid="{DEC9C6C4-7C56-4493-9A85-95C1A2727E96}">
          <x14:formula1>
            <xm:f>Detalle!$C$16:$C$28</xm:f>
          </x14:formula1>
          <xm:sqref>S100 M117:M118 M3:M107</xm:sqref>
        </x14:dataValidation>
        <x14:dataValidation type="list" allowBlank="1" showInputMessage="1" showErrorMessage="1" xr:uid="{6CAA330B-9749-40AC-8283-BFE21D73B80D}">
          <x14:formula1>
            <xm:f>Detalle!$C$6:$C$12</xm:f>
          </x14:formula1>
          <xm:sqref>Q101 Q117:Q118 Q3:Q99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80EFC-9D35-4D2E-A398-3B526EE0AEF2}">
  <dimension ref="C4:G28"/>
  <sheetViews>
    <sheetView zoomScale="91" zoomScaleNormal="220" workbookViewId="0">
      <selection activeCell="B7" sqref="B7"/>
    </sheetView>
  </sheetViews>
  <sheetFormatPr baseColWidth="10" defaultColWidth="11.42578125" defaultRowHeight="15" x14ac:dyDescent="0.25"/>
  <cols>
    <col min="3" max="3" width="38.42578125" bestFit="1" customWidth="1"/>
    <col min="5" max="5" width="14.85546875" bestFit="1" customWidth="1"/>
  </cols>
  <sheetData>
    <row r="4" spans="3:7" x14ac:dyDescent="0.25">
      <c r="C4" s="5" t="s">
        <v>0</v>
      </c>
      <c r="D4" s="5"/>
      <c r="E4" s="5" t="s">
        <v>39</v>
      </c>
      <c r="F4" s="5"/>
      <c r="G4" s="5" t="s">
        <v>40</v>
      </c>
    </row>
    <row r="6" spans="3:7" x14ac:dyDescent="0.25">
      <c r="C6" t="s">
        <v>373</v>
      </c>
      <c r="E6" t="s">
        <v>431</v>
      </c>
      <c r="G6" t="s">
        <v>112</v>
      </c>
    </row>
    <row r="7" spans="3:7" x14ac:dyDescent="0.25">
      <c r="C7" t="s">
        <v>215</v>
      </c>
      <c r="E7" t="s">
        <v>432</v>
      </c>
      <c r="G7" t="s">
        <v>35</v>
      </c>
    </row>
    <row r="8" spans="3:7" x14ac:dyDescent="0.25">
      <c r="C8" t="s">
        <v>301</v>
      </c>
      <c r="E8" t="s">
        <v>433</v>
      </c>
      <c r="G8" t="s">
        <v>279</v>
      </c>
    </row>
    <row r="9" spans="3:7" x14ac:dyDescent="0.25">
      <c r="C9" t="s">
        <v>86</v>
      </c>
      <c r="G9" t="s">
        <v>434</v>
      </c>
    </row>
    <row r="10" spans="3:7" x14ac:dyDescent="0.25">
      <c r="C10" t="s">
        <v>391</v>
      </c>
      <c r="G10" t="s">
        <v>435</v>
      </c>
    </row>
    <row r="11" spans="3:7" x14ac:dyDescent="0.25">
      <c r="C11" t="s">
        <v>436</v>
      </c>
    </row>
    <row r="12" spans="3:7" x14ac:dyDescent="0.25">
      <c r="C12" t="s">
        <v>393</v>
      </c>
    </row>
    <row r="15" spans="3:7" x14ac:dyDescent="0.25">
      <c r="C15" s="6" t="s">
        <v>38</v>
      </c>
    </row>
    <row r="16" spans="3:7" x14ac:dyDescent="0.25">
      <c r="C16" s="6" t="s">
        <v>437</v>
      </c>
    </row>
    <row r="17" spans="3:3" x14ac:dyDescent="0.25">
      <c r="C17" s="6" t="s">
        <v>379</v>
      </c>
    </row>
    <row r="18" spans="3:3" x14ac:dyDescent="0.25">
      <c r="C18" s="6" t="s">
        <v>438</v>
      </c>
    </row>
    <row r="19" spans="3:3" x14ac:dyDescent="0.25">
      <c r="C19" s="6" t="s">
        <v>78</v>
      </c>
    </row>
    <row r="20" spans="3:3" x14ac:dyDescent="0.25">
      <c r="C20" s="6" t="s">
        <v>439</v>
      </c>
    </row>
    <row r="21" spans="3:3" x14ac:dyDescent="0.25">
      <c r="C21" s="6" t="s">
        <v>89</v>
      </c>
    </row>
    <row r="22" spans="3:3" x14ac:dyDescent="0.25">
      <c r="C22" s="6" t="s">
        <v>386</v>
      </c>
    </row>
    <row r="23" spans="3:3" x14ac:dyDescent="0.25">
      <c r="C23" s="6" t="s">
        <v>440</v>
      </c>
    </row>
    <row r="24" spans="3:3" x14ac:dyDescent="0.25">
      <c r="C24" s="6" t="s">
        <v>371</v>
      </c>
    </row>
    <row r="25" spans="3:3" x14ac:dyDescent="0.25">
      <c r="C25" t="s">
        <v>441</v>
      </c>
    </row>
    <row r="26" spans="3:3" x14ac:dyDescent="0.25">
      <c r="C26" t="s">
        <v>442</v>
      </c>
    </row>
    <row r="27" spans="3:3" x14ac:dyDescent="0.25">
      <c r="C27" s="6" t="s">
        <v>126</v>
      </c>
    </row>
    <row r="28" spans="3:3" x14ac:dyDescent="0.25">
      <c r="C28" s="6" t="s">
        <v>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66446-B681-4AA8-98AB-9B5DBB55E8D8}">
  <dimension ref="A1:N6"/>
  <sheetViews>
    <sheetView tabSelected="1" zoomScaleNormal="100" workbookViewId="0">
      <selection activeCell="F4" sqref="F4:F6"/>
    </sheetView>
  </sheetViews>
  <sheetFormatPr baseColWidth="10" defaultRowHeight="15" x14ac:dyDescent="0.25"/>
  <cols>
    <col min="1" max="1" width="4.140625" bestFit="1" customWidth="1"/>
    <col min="2" max="2" width="10.42578125" bestFit="1" customWidth="1"/>
    <col min="3" max="3" width="12.7109375" style="52" customWidth="1"/>
    <col min="4" max="4" width="26" bestFit="1" customWidth="1"/>
    <col min="5" max="5" width="12" bestFit="1" customWidth="1"/>
    <col min="6" max="6" width="7.42578125" bestFit="1" customWidth="1"/>
    <col min="7" max="7" width="40.140625" bestFit="1" customWidth="1"/>
    <col min="8" max="8" width="11.28515625" bestFit="1" customWidth="1"/>
    <col min="9" max="9" width="13.5703125" bestFit="1" customWidth="1"/>
    <col min="10" max="10" width="6.85546875" bestFit="1" customWidth="1"/>
    <col min="11" max="11" width="7.42578125" bestFit="1" customWidth="1"/>
    <col min="12" max="12" width="9.5703125" bestFit="1" customWidth="1"/>
    <col min="13" max="13" width="7" bestFit="1" customWidth="1"/>
    <col min="14" max="14" width="8" bestFit="1" customWidth="1"/>
  </cols>
  <sheetData>
    <row r="1" spans="1:14" ht="15.75" x14ac:dyDescent="0.25">
      <c r="A1" s="53" t="s">
        <v>454</v>
      </c>
      <c r="B1" s="53"/>
      <c r="C1" s="53"/>
      <c r="D1" s="53"/>
      <c r="E1" s="53"/>
      <c r="F1" s="53"/>
      <c r="G1" s="53"/>
      <c r="H1" s="53"/>
      <c r="I1" s="53"/>
      <c r="J1" s="53"/>
      <c r="K1" s="53"/>
      <c r="L1" s="53"/>
      <c r="M1" s="53"/>
      <c r="N1" s="53"/>
    </row>
    <row r="2" spans="1:14" x14ac:dyDescent="0.25">
      <c r="A2" s="45"/>
      <c r="B2" s="45"/>
      <c r="C2" s="50"/>
      <c r="D2" s="45"/>
      <c r="E2" s="45"/>
      <c r="F2" s="45"/>
      <c r="G2" s="45"/>
      <c r="H2" s="45"/>
      <c r="I2" s="45"/>
      <c r="J2" s="45"/>
      <c r="K2" s="45"/>
      <c r="L2" s="45"/>
      <c r="M2" s="45"/>
      <c r="N2" s="45"/>
    </row>
    <row r="3" spans="1:14" ht="15.75" x14ac:dyDescent="0.25">
      <c r="A3" s="46" t="s">
        <v>29</v>
      </c>
      <c r="B3" s="46" t="s">
        <v>2</v>
      </c>
      <c r="C3" s="47" t="s">
        <v>461</v>
      </c>
      <c r="D3" s="46" t="s">
        <v>446</v>
      </c>
      <c r="E3" s="46" t="s">
        <v>34</v>
      </c>
      <c r="F3" s="46" t="s">
        <v>457</v>
      </c>
      <c r="G3" s="46" t="s">
        <v>447</v>
      </c>
      <c r="H3" s="46" t="s">
        <v>448</v>
      </c>
      <c r="I3" s="46" t="s">
        <v>449</v>
      </c>
      <c r="J3" s="46" t="s">
        <v>450</v>
      </c>
      <c r="K3" s="46" t="s">
        <v>476</v>
      </c>
      <c r="L3" s="46" t="s">
        <v>451</v>
      </c>
      <c r="M3" s="46" t="s">
        <v>452</v>
      </c>
      <c r="N3" s="46" t="s">
        <v>453</v>
      </c>
    </row>
    <row r="4" spans="1:14" x14ac:dyDescent="0.25">
      <c r="A4">
        <v>1</v>
      </c>
      <c r="B4" s="26">
        <v>45974</v>
      </c>
      <c r="C4" s="51"/>
      <c r="D4" t="s">
        <v>462</v>
      </c>
      <c r="F4" t="s">
        <v>477</v>
      </c>
      <c r="G4" t="s">
        <v>463</v>
      </c>
      <c r="H4" t="s">
        <v>464</v>
      </c>
      <c r="I4" s="48" t="s">
        <v>465</v>
      </c>
      <c r="J4" t="s">
        <v>466</v>
      </c>
      <c r="L4" s="49">
        <v>3474.58</v>
      </c>
      <c r="M4" s="49">
        <v>625.42399999999998</v>
      </c>
      <c r="N4" s="49">
        <f>+M4+L4</f>
        <v>4100.0039999999999</v>
      </c>
    </row>
    <row r="5" spans="1:14" x14ac:dyDescent="0.25">
      <c r="A5">
        <v>2</v>
      </c>
      <c r="B5" s="26">
        <v>45976</v>
      </c>
      <c r="C5" s="51"/>
      <c r="D5" t="s">
        <v>467</v>
      </c>
      <c r="E5">
        <v>20601646367</v>
      </c>
      <c r="F5" t="s">
        <v>478</v>
      </c>
      <c r="G5" t="s">
        <v>468</v>
      </c>
      <c r="H5" t="s">
        <v>469</v>
      </c>
      <c r="I5" t="s">
        <v>470</v>
      </c>
      <c r="J5" t="s">
        <v>471</v>
      </c>
      <c r="L5" s="49">
        <f>+N5/1.18</f>
        <v>14406.77966101695</v>
      </c>
      <c r="M5" s="49">
        <f>+N5-L5</f>
        <v>2593.2203389830502</v>
      </c>
      <c r="N5" s="49">
        <v>17000</v>
      </c>
    </row>
    <row r="6" spans="1:14" x14ac:dyDescent="0.25">
      <c r="A6">
        <v>3</v>
      </c>
      <c r="B6" s="26">
        <v>45980</v>
      </c>
      <c r="C6" s="51"/>
      <c r="D6" t="s">
        <v>472</v>
      </c>
      <c r="E6">
        <v>20613618687</v>
      </c>
      <c r="F6" t="s">
        <v>479</v>
      </c>
      <c r="G6" t="s">
        <v>473</v>
      </c>
      <c r="H6" t="s">
        <v>474</v>
      </c>
      <c r="I6" t="s">
        <v>475</v>
      </c>
      <c r="J6" t="s">
        <v>466</v>
      </c>
      <c r="L6" s="49">
        <v>3950</v>
      </c>
      <c r="M6" s="49">
        <f>+N6-L6</f>
        <v>711</v>
      </c>
      <c r="N6" s="49">
        <v>4661</v>
      </c>
    </row>
  </sheetData>
  <mergeCells count="1">
    <mergeCell ref="A1: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AGENDA</vt:lpstr>
      <vt:lpstr>Base CRM</vt:lpstr>
      <vt:lpstr>Detalle</vt:lpstr>
      <vt:lpstr>CIERRE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comercial1</dc:creator>
  <cp:keywords/>
  <dc:description/>
  <cp:lastModifiedBy>Office</cp:lastModifiedBy>
  <cp:revision/>
  <dcterms:created xsi:type="dcterms:W3CDTF">2025-10-10T14:21:47Z</dcterms:created>
  <dcterms:modified xsi:type="dcterms:W3CDTF">2025-11-29T13:53:51Z</dcterms:modified>
  <cp:category/>
  <cp:contentStatus/>
</cp:coreProperties>
</file>