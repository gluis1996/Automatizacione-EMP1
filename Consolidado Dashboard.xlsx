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d.docs.live.net/08c874c11f203d11/Documentos/CRM´s/"/>
    </mc:Choice>
  </mc:AlternateContent>
  <xr:revisionPtr revIDLastSave="0" documentId="8_{0B0D0E9C-EB2D-4894-B677-57A2B90FD2A6}" xr6:coauthVersionLast="47" xr6:coauthVersionMax="47" xr10:uidLastSave="{00000000-0000-0000-0000-000000000000}"/>
  <bookViews>
    <workbookView xWindow="-110" yWindow="-110" windowWidth="19420" windowHeight="11500" xr2:uid="{688FCD39-8B97-49D8-86C2-BD463AFAFAA6}"/>
  </bookViews>
  <sheets>
    <sheet name="CRM Consolidado" sheetId="1" r:id="rId1"/>
    <sheet name="CIERRES DE VENTA consolidado" sheetId="2" r:id="rId2"/>
    <sheet name="META" sheetId="4" r:id="rId3"/>
    <sheet name="FORMULAS KPIS" sheetId="3" r:id="rId4"/>
  </sheets>
  <externalReferences>
    <externalReference r:id="rId5"/>
    <externalReference r:id="rId6"/>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 l="1"/>
  <c r="V2" i="1" l="1"/>
  <c r="K5" i="2" l="1"/>
  <c r="K4" i="2"/>
  <c r="L5" i="2"/>
  <c r="L4" i="2"/>
  <c r="M5" i="2"/>
  <c r="L7" i="2"/>
  <c r="K6" i="2"/>
  <c r="L6" i="2" s="1"/>
  <c r="M4" i="2"/>
  <c r="V453" i="1" l="1"/>
  <c r="V452" i="1"/>
  <c r="V438" i="1"/>
  <c r="V437" i="1"/>
  <c r="V436" i="1"/>
  <c r="V434" i="1"/>
  <c r="V433" i="1"/>
  <c r="V432" i="1"/>
  <c r="V431" i="1"/>
  <c r="V430" i="1"/>
  <c r="V429" i="1"/>
  <c r="V423" i="1"/>
  <c r="V422" i="1"/>
  <c r="V421" i="1"/>
  <c r="V420" i="1"/>
  <c r="V419" i="1"/>
  <c r="V418" i="1"/>
  <c r="V417" i="1"/>
  <c r="V416" i="1"/>
  <c r="V415" i="1"/>
  <c r="V414" i="1"/>
  <c r="V413" i="1"/>
  <c r="V412" i="1"/>
  <c r="V411"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4" i="1"/>
  <c r="V332" i="1"/>
  <c r="V331" i="1"/>
  <c r="V330" i="1"/>
  <c r="V329" i="1"/>
  <c r="V328" i="1"/>
  <c r="V327" i="1"/>
  <c r="V326" i="1"/>
  <c r="V325" i="1"/>
  <c r="V324" i="1"/>
  <c r="V323" i="1"/>
  <c r="V294" i="1"/>
  <c r="V293" i="1"/>
  <c r="V292" i="1"/>
  <c r="V291" i="1"/>
  <c r="V290" i="1"/>
  <c r="V267" i="1"/>
  <c r="V266" i="1"/>
  <c r="V265" i="1"/>
  <c r="V264" i="1"/>
  <c r="V263" i="1"/>
  <c r="V262" i="1"/>
  <c r="V261" i="1"/>
  <c r="V260" i="1"/>
  <c r="V259"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5" i="1"/>
  <c r="V74" i="1"/>
  <c r="V72" i="1"/>
  <c r="V71" i="1"/>
  <c r="V70" i="1"/>
  <c r="V69" i="1"/>
  <c r="V68" i="1"/>
  <c r="V67" i="1"/>
  <c r="V64" i="1"/>
  <c r="V63" i="1"/>
  <c r="V62" i="1"/>
  <c r="T61" i="1"/>
  <c r="V60" i="1"/>
  <c r="V59" i="1"/>
  <c r="V58" i="1"/>
  <c r="V57" i="1"/>
  <c r="V56" i="1"/>
  <c r="V55" i="1"/>
  <c r="V54" i="1"/>
  <c r="V53" i="1"/>
  <c r="V52" i="1"/>
  <c r="V51" i="1"/>
  <c r="V50" i="1"/>
  <c r="V48"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alcChain>
</file>

<file path=xl/sharedStrings.xml><?xml version="1.0" encoding="utf-8"?>
<sst xmlns="http://schemas.openxmlformats.org/spreadsheetml/2006/main" count="4897" uniqueCount="1262">
  <si>
    <t>No.</t>
  </si>
  <si>
    <t>Fecha</t>
  </si>
  <si>
    <t>Asesor</t>
  </si>
  <si>
    <t>Contacto</t>
  </si>
  <si>
    <t>Cargo</t>
  </si>
  <si>
    <t>teléfono</t>
  </si>
  <si>
    <t>Mail</t>
  </si>
  <si>
    <t>Razón Social</t>
  </si>
  <si>
    <t>RUC</t>
  </si>
  <si>
    <t>Web</t>
  </si>
  <si>
    <t>Departamento</t>
  </si>
  <si>
    <t>Distrito</t>
  </si>
  <si>
    <t>Rubro</t>
  </si>
  <si>
    <t>Tipo de producto</t>
  </si>
  <si>
    <t>Origen del lead</t>
  </si>
  <si>
    <t>Descripción</t>
  </si>
  <si>
    <t>Estado</t>
  </si>
  <si>
    <t>Monto de la oportunidad</t>
  </si>
  <si>
    <t>No. Cotización</t>
  </si>
  <si>
    <t>Valor Cotización + IGV</t>
  </si>
  <si>
    <t>Fecha seguimiento</t>
  </si>
  <si>
    <t>Semana</t>
  </si>
  <si>
    <t>Numero de trabajadores</t>
  </si>
  <si>
    <t>Jenny V.</t>
  </si>
  <si>
    <t>Jorge Huertas</t>
  </si>
  <si>
    <t>Encargado Proyecto Hotel Ritz - Empresa DLPS arquitectos</t>
  </si>
  <si>
    <t>Lima</t>
  </si>
  <si>
    <t>Miraflores</t>
  </si>
  <si>
    <t>Hotelería</t>
  </si>
  <si>
    <t>Equipo</t>
  </si>
  <si>
    <t>Otro</t>
  </si>
  <si>
    <t>Se contactó a Jorge para solicitar información de la persona de compras del proyecto del hotel Ritz</t>
  </si>
  <si>
    <t>Contactado</t>
  </si>
  <si>
    <t>Ruth</t>
  </si>
  <si>
    <t>Encargada de compras Hotel Bolivar</t>
  </si>
  <si>
    <t>Gran Hotel Bolívar</t>
  </si>
  <si>
    <t>Se indicó a Brenda colocar en el CRM que me contacté por Whatsapp, el proyecto se dará en enero, debemos hacer seguimiento mensual</t>
  </si>
  <si>
    <t>Juan Carlos Checa</t>
  </si>
  <si>
    <t>Adquisiciones (Anexo 722)</t>
  </si>
  <si>
    <t>054 - 599 000 / RPC 54 - 958961157</t>
  </si>
  <si>
    <t>jchecca@clinicaarequipa.com.pe</t>
  </si>
  <si>
    <t>Clínica Arequipa</t>
  </si>
  <si>
    <t>www.clinicarequipa.com.pe</t>
  </si>
  <si>
    <t>Arequipa</t>
  </si>
  <si>
    <t>Salud</t>
  </si>
  <si>
    <t>Se habló con el Sr. Juan Carlos y se envió el Catálogo por Whatsapp y correo y se solicitó agendar una llamada</t>
  </si>
  <si>
    <t>Gloria Verónica Velarde Cerpa.</t>
  </si>
  <si>
    <t>Jefe de logística</t>
  </si>
  <si>
    <t>(054) 382400 anexo 522</t>
  </si>
  <si>
    <t>logistica@sanjuandediosarequipa.com</t>
  </si>
  <si>
    <t>Hogar Clínica San Juan de Dios</t>
  </si>
  <si>
    <t>www.sanjuandediosarequipa.com</t>
  </si>
  <si>
    <t>Se llamó al anexo 522, sin éxito, se envió mail de presentación de empresa y catálogo al correo indicado pero rebota</t>
  </si>
  <si>
    <t>(054) 272422 - 272614 - anexo 20</t>
  </si>
  <si>
    <t xml:space="preserve"> informes@garciabragagnini.com</t>
  </si>
  <si>
    <t>García Bragagnini</t>
  </si>
  <si>
    <t>www.garciabragagnini.com</t>
  </si>
  <si>
    <t>Se contactó al anexo sin éxito</t>
  </si>
  <si>
    <t>Luz Visa</t>
  </si>
  <si>
    <t>Encargada de Logistica</t>
  </si>
  <si>
    <t>(054) 206171
(054) 405147
959 177 508 , anexo 718</t>
  </si>
  <si>
    <t>Centro Médico Daniel Alcides Carrión</t>
  </si>
  <si>
    <t>www.clinicadac.com</t>
  </si>
  <si>
    <t>Llamar a partir de las 3 pm, se llamó sin éxito</t>
  </si>
  <si>
    <t>Danilo Choque</t>
  </si>
  <si>
    <t>Encargado de Compras</t>
  </si>
  <si>
    <t>(054) 206171, anexo 718 Celular: 959177553</t>
  </si>
  <si>
    <t>Se envió por Whatsapp el catálogo al encargado de Compras</t>
  </si>
  <si>
    <t>Clínica San José</t>
  </si>
  <si>
    <t>https://clinicasanjosecusco.com/</t>
  </si>
  <si>
    <t>Cusco</t>
  </si>
  <si>
    <t>llamada sin éxito, se cambió la información a la encontrada en la web, la anterior info no existe</t>
  </si>
  <si>
    <t xml:space="preserve"> (054) 606100 // (054) 231444</t>
  </si>
  <si>
    <t>contabilidad3.montecarmelo@gmail.com</t>
  </si>
  <si>
    <t>Monte Carmelo</t>
  </si>
  <si>
    <t>www.montecarmelocm.com</t>
  </si>
  <si>
    <t>Llamada se consiguió el mail y se envió el catálogo, el área de finanzas hace las compras</t>
  </si>
  <si>
    <t xml:space="preserve">(84) 249999 // 240387 </t>
  </si>
  <si>
    <t>Clínica Pardo</t>
  </si>
  <si>
    <t>www.clinicapardocusco.com</t>
  </si>
  <si>
    <t>Joselyn Flores</t>
  </si>
  <si>
    <t>recepcionista</t>
  </si>
  <si>
    <t>(84) 237009. Cel: 989316622</t>
  </si>
  <si>
    <t>consultas@cps.com.pe</t>
  </si>
  <si>
    <t>Clinica Peruano Suiza</t>
  </si>
  <si>
    <t>https://www.cps.com.pe/</t>
  </si>
  <si>
    <t>Se contactó al celular y se envía Catálogo por Whatsapp según lo soclicitado para derivar al área correspondiente</t>
  </si>
  <si>
    <t xml:space="preserve">(084) 231340 // 229955
</t>
  </si>
  <si>
    <t>clinicasjd@sanjuandedioscusco.org</t>
  </si>
  <si>
    <t>San Juan de Dios</t>
  </si>
  <si>
    <t>www.clinicasanjuandedioscusco.org</t>
  </si>
  <si>
    <t>Volver a contactar ya que no quiso dar información</t>
  </si>
  <si>
    <t xml:space="preserve"> (84) 601443 // 984639290 // 974793088</t>
  </si>
  <si>
    <t>Cusco Health</t>
  </si>
  <si>
    <t>www.cuscohealth.com</t>
  </si>
  <si>
    <t>No está interesado</t>
  </si>
  <si>
    <t>51  084 611 310
51 966 344 761
51 958 331 157
51 984 774 666</t>
  </si>
  <si>
    <t>info@clinicacornejo.com</t>
  </si>
  <si>
    <t>Clinica Cornejo</t>
  </si>
  <si>
    <t>www.clinicacornejo.com</t>
  </si>
  <si>
    <t>No tienen ninguna solicitud por el momento y no quieren dar más información</t>
  </si>
  <si>
    <t xml:space="preserve"> (84) 224016</t>
  </si>
  <si>
    <t>info@clinica-casafranca.com</t>
  </si>
  <si>
    <t>Casafranca</t>
  </si>
  <si>
    <t>www.clinica-casafranca.com</t>
  </si>
  <si>
    <t>No Habida</t>
  </si>
  <si>
    <t>Medical Health Home</t>
  </si>
  <si>
    <t>www.medicalhome.com.pe</t>
  </si>
  <si>
    <t>Se actualizó el teléfono de la web y no cuentan con lavandería ya que todo es descartable y la diferencia lo tercerizan</t>
  </si>
  <si>
    <t>(084) 582060</t>
  </si>
  <si>
    <t>Mac Salud</t>
  </si>
  <si>
    <t>www.macsalud.com</t>
  </si>
  <si>
    <t>No cuentan con área de lavandería, la tercerizan con lavanderías de alrededor</t>
  </si>
  <si>
    <t>Angel Luna</t>
  </si>
  <si>
    <t>Admin istrador general</t>
  </si>
  <si>
    <t>(054) 27 17 97 958952473 / 958952471</t>
  </si>
  <si>
    <t>donmar@gmail.com</t>
  </si>
  <si>
    <t>Lavandería Don Marcelo</t>
  </si>
  <si>
    <t>https://www.lavanderiasdonmarcelo.com/</t>
  </si>
  <si>
    <t>Lavandería Comercial</t>
  </si>
  <si>
    <t>Se llamó por teléfono y consiguió el correo del administrador general y se envió catalogo a través del mail. No quiso dar telefono personal, zona sur del pais, Juliaca, Puno y Arequipa</t>
  </si>
  <si>
    <t>Eduardo Apaza (encargado de compras)</t>
  </si>
  <si>
    <t>(051) 35-1071 // 950-907575 //
979-968152</t>
  </si>
  <si>
    <t>administracion@clinicalospinos.com //
clinicalospinos@hotmail.com</t>
  </si>
  <si>
    <t>Clinica Los pinos</t>
  </si>
  <si>
    <t>www.clinicalospinos.com/</t>
  </si>
  <si>
    <t>Puno</t>
  </si>
  <si>
    <t>Tiene lavandería y no tiene complicaciones sobre el lavado algunos en lavadora y otros a mano. Se envía catálogo por Whatsapp al sr. Interio Apaza</t>
  </si>
  <si>
    <t>Terán Yuriko</t>
  </si>
  <si>
    <t>Comercial</t>
  </si>
  <si>
    <t>GDC Proyectos Perú SAC</t>
  </si>
  <si>
    <t>www.gdc.pe</t>
  </si>
  <si>
    <t>Multihousing</t>
  </si>
  <si>
    <t>Me comuniqué por teléfono sin éxito y por whatsapp dejando información y Catálogo</t>
  </si>
  <si>
    <t>Pacheco falcón María Isabel</t>
  </si>
  <si>
    <t>Encargada de Proyecto</t>
  </si>
  <si>
    <t>Otros: Marina/Ejército/Bomberos</t>
  </si>
  <si>
    <t>Se hizo el envío del mail a la Sra María Pacheco y se solicitó su teléfono</t>
  </si>
  <si>
    <t>Campo</t>
  </si>
  <si>
    <t>Llamada, me comentó que está en cierre y que la contacte la otra semana, se envía información por mail</t>
  </si>
  <si>
    <t>Ramos Juan</t>
  </si>
  <si>
    <t>Gerente Comercial</t>
  </si>
  <si>
    <t>Corporation Lucent Export SAC</t>
  </si>
  <si>
    <t>www.lucent.pe</t>
  </si>
  <si>
    <t>SJL</t>
  </si>
  <si>
    <t>Textil</t>
  </si>
  <si>
    <t>Se llamó al sr Juan Ramos y quedó en contactarnos con el área de logística, se envió Whatsapp para que nos envíe el contacto</t>
  </si>
  <si>
    <t>Rafael</t>
  </si>
  <si>
    <t>Jefe de Lavandería</t>
  </si>
  <si>
    <t xml:space="preserve">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t>
  </si>
  <si>
    <t>Contactado interesado</t>
  </si>
  <si>
    <t>Revilla Sardi Diego Antonio</t>
  </si>
  <si>
    <t>Jefe de Lavadería Hotel Westin</t>
  </si>
  <si>
    <t>arevilla@westininlima.com</t>
  </si>
  <si>
    <t>The Westin Hotel</t>
  </si>
  <si>
    <t>San isidro</t>
  </si>
  <si>
    <t>Se contactó al jefe de Lavandería a través de Linkedin indicandole que podemos reunirnos para absolver sus dudas sobre la cotzación enviada en febrero y a su vez lo podemos ayudar con algún otro requerimiento, se dejóo enviado el catálogo general</t>
  </si>
  <si>
    <t>Pendiente</t>
  </si>
  <si>
    <t>Rivera Andreina</t>
  </si>
  <si>
    <t>Gerente de Operaciones</t>
  </si>
  <si>
    <t>Hotel Golf de los Inkas</t>
  </si>
  <si>
    <t>https://www.casa-andina.com/es/destinos/surco/hoteles/casa-andina-premium-golf-los-incas</t>
  </si>
  <si>
    <t>Santiago de Surco</t>
  </si>
  <si>
    <t>Parte del grupo CASA ANDINA, Se le hace seguimiento por whatsapp porque no contestó el teléfono y tampoco el mensaje anterior.</t>
  </si>
  <si>
    <t>Gomero Jefte</t>
  </si>
  <si>
    <t>logistica@idetex.com.pe</t>
  </si>
  <si>
    <t>Idetex</t>
  </si>
  <si>
    <t>www.idetex.com.pe</t>
  </si>
  <si>
    <t>Santa Anita</t>
  </si>
  <si>
    <t>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t>
  </si>
  <si>
    <t>Informa que el 16 de noviembre podemos contactarnos nuevamente ya que se definirá el giro del proyecto Ritz. Sobre los proyectos del Marriot no tenemos novedades aún.</t>
  </si>
  <si>
    <t>Aspersud</t>
  </si>
  <si>
    <t>La Molina</t>
  </si>
  <si>
    <t>Se conversó por teléfono con la sra María, nos indicó que debía reunirse con el gerente de logística para revisar proyectos, asimismo comentó que se le envíe Whatsapp para estar en contacto. Se dejó enviado el catálogo por es medio también.</t>
  </si>
  <si>
    <t>Ricardo Zamora</t>
  </si>
  <si>
    <t>Jefe Somma</t>
  </si>
  <si>
    <t>AQU ANQA S.A.C.</t>
  </si>
  <si>
    <t>La libertad</t>
  </si>
  <si>
    <t>trujillo</t>
  </si>
  <si>
    <t>Agroindustria</t>
  </si>
  <si>
    <t>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t>
  </si>
  <si>
    <t>Gonzales Ernesto</t>
  </si>
  <si>
    <t>Jefe Comercial</t>
  </si>
  <si>
    <t>egonzales@bengala.pe</t>
  </si>
  <si>
    <t>Bengala Inmobiliaria</t>
  </si>
  <si>
    <t>Contacté al jefe de ventas por teléfono y whatsapp para que me de el contacto de la persona de compras, va a comentarle antes de enviarme su contacto, se envió correo para que lo derive</t>
  </si>
  <si>
    <t>Vargas Carolains</t>
  </si>
  <si>
    <t>Arquitecta</t>
  </si>
  <si>
    <t>carolains.vargas@paz.pe</t>
  </si>
  <si>
    <t>Paz Inmobiliaria S.A</t>
  </si>
  <si>
    <t>20518023579/20605346716</t>
  </si>
  <si>
    <t>En la feria solo me dieron el correo de la arquitecta, se Envió el mail con la presentación, catalogos</t>
  </si>
  <si>
    <t>Galicia Marlene</t>
  </si>
  <si>
    <t>Jefe de Compras</t>
  </si>
  <si>
    <t>marlene.galicia@sheraton.com</t>
  </si>
  <si>
    <t>Hoteles Sheraton del Perú SAC</t>
  </si>
  <si>
    <t xml:space="preserve">Se llamó por teléfono sin éxito. Se envió mensaje por Whatsapp dejando apertura a más proyectos así como citarlos a una breve reunión para revisar proyectos. </t>
  </si>
  <si>
    <t>Ruiz Cáceres Janny</t>
  </si>
  <si>
    <t>Jefe de Adquisiciones</t>
  </si>
  <si>
    <t>TRAMARSA, trabajos Maritimos</t>
  </si>
  <si>
    <t>Se envió presentación y catálogo a través de Linkedin personal</t>
  </si>
  <si>
    <t>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t>
  </si>
  <si>
    <t>Luis Angel</t>
  </si>
  <si>
    <t>Cajo Cosanatan Yoel</t>
  </si>
  <si>
    <t>Dueño</t>
  </si>
  <si>
    <t>jcosanatan@gmail.com</t>
  </si>
  <si>
    <t>Cuzco</t>
  </si>
  <si>
    <t>Se retomó contacto por teléfono y se envió presupuesto final, comenta que estará viajando a Lima para ver los equipos, desea hacer el adelanto para asegurar la compra, se envió los números de cuenta. DNI 45933340. Visita martes 18/11/2025 a las 8.30 am</t>
  </si>
  <si>
    <t>00023-25</t>
  </si>
  <si>
    <t>Avelino Gerardo</t>
  </si>
  <si>
    <t>gavelino@clubnacional.org.pe</t>
  </si>
  <si>
    <t>Club Nacional</t>
  </si>
  <si>
    <t>Club entretenimiento</t>
  </si>
  <si>
    <t>Se envió correo para retomar nuevo contacto</t>
  </si>
  <si>
    <t>Urbina Paoli Carlos Alberto</t>
  </si>
  <si>
    <t>Gerente</t>
  </si>
  <si>
    <t>gerencia@corporacionpanaservice.com</t>
  </si>
  <si>
    <t>Corporación Panaservice SAC</t>
  </si>
  <si>
    <t>www.corporacionpanaservice.com</t>
  </si>
  <si>
    <t>Restaurante/Café</t>
  </si>
  <si>
    <t>La data no está actualizada, el teléfono y correo ya no están vigentes</t>
  </si>
  <si>
    <t>Gutierrez Navarro Natalia</t>
  </si>
  <si>
    <t>Jefe de Compras - Logística</t>
  </si>
  <si>
    <t>nnavarro@acity.com.pe</t>
  </si>
  <si>
    <t>Atlantic City Casino &amp; Sports</t>
  </si>
  <si>
    <t>El contacto anterior Alfredo capac, ya no labora, se consiguió el contacto de la jefa de Compras y se envió mail para concretar una reunión</t>
  </si>
  <si>
    <t>Galicia Mercedez</t>
  </si>
  <si>
    <t>Gerente de Compras</t>
  </si>
  <si>
    <t>Sheraton Lima Historic Center</t>
  </si>
  <si>
    <t>Se envió correo a la señora con la presentación de efameinsa para retomar nuevo contacto</t>
  </si>
  <si>
    <t>El usuario es el señor Rafael Galarza, ambos vendrán a la planta a ver las máquinas. Además en el registro de Sunat presenta que ambos cuentan con negocio de Lavado y limpieza incluida limpieza en seco de productos textiles</t>
  </si>
  <si>
    <t>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t>
  </si>
  <si>
    <t>Ortiz Pizarro Luis Alberto</t>
  </si>
  <si>
    <t>luis.alberto.ortiz.43@gmail.com</t>
  </si>
  <si>
    <t>Lavanderías Express</t>
  </si>
  <si>
    <t>llamamos para aterrizar la propuesta, va a abrir una lavandería en Trujillo, le recomendó su amigo, piensa comprar ahora en noviembre. Se envió Cotización</t>
  </si>
  <si>
    <t>Propuesta enviada</t>
  </si>
  <si>
    <t>Ccasani Chahua Moisés Franklin</t>
  </si>
  <si>
    <t>moisesfranklinccasanichahua@gmail.com</t>
  </si>
  <si>
    <t>Lavandería Shalow</t>
  </si>
  <si>
    <t>Apurímac</t>
  </si>
  <si>
    <t>Abancay</t>
  </si>
  <si>
    <t>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t>
  </si>
  <si>
    <t>00024-25</t>
  </si>
  <si>
    <t>Quiñones Angelo</t>
  </si>
  <si>
    <t>angeloqa12@gmail.com</t>
  </si>
  <si>
    <t>RUS</t>
  </si>
  <si>
    <t>Surco</t>
  </si>
  <si>
    <t>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t>
  </si>
  <si>
    <t>0013-25</t>
  </si>
  <si>
    <t>Benites Jara Juan</t>
  </si>
  <si>
    <t>Asesor técnico Textil</t>
  </si>
  <si>
    <t>juan.benites@vicunha.com</t>
  </si>
  <si>
    <t>Vicunha perú SAC</t>
  </si>
  <si>
    <t>www.vicunha.com</t>
  </si>
  <si>
    <t>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t>
  </si>
  <si>
    <t>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t>
  </si>
  <si>
    <t xml:space="preserve">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t>
  </si>
  <si>
    <t>Liliana Aldana</t>
  </si>
  <si>
    <t>El señor Ortiz va a poner un emprendimiento, requiere asesoría no repondió su celular se le dejó mensaje de identificación en su whatsapp.</t>
  </si>
  <si>
    <t>No tenemos información</t>
  </si>
  <si>
    <t>El señor Ortiz va a poner un emprendimiento, requiere asesoría no repondió su celular  nuevamente se le dejó mensaje de identificación en su whatsapp.</t>
  </si>
  <si>
    <t>El señor Ortiz va a poner un emprendimiento, se le envió en su momento mensajes de whatsapp, ahora corta cuando lo llamamos al parecer no se encuentra interesado</t>
  </si>
  <si>
    <t>El señor Ortiz va a poner un emprendimiento, se le timbró y envió nuevamente un mensaje por whatsapp no responde</t>
  </si>
  <si>
    <t>Al Sr. Ortiz se le ha timbrado y dejado mensajes de seguimiento, ahora nos corta.</t>
  </si>
  <si>
    <t>Armando Reyes</t>
  </si>
  <si>
    <t>01-3177770 Anexo 239</t>
  </si>
  <si>
    <t>jefatura.logística@losinkasgolf.com</t>
  </si>
  <si>
    <t>Asociación Deportiva Los Inkas Golf Club</t>
  </si>
  <si>
    <r>
      <t>En la visita al Club, el señor de la garita se comunicó por teléfono e informó que debían enviar el brochure, nos dio los teléfonos, correo y nombre del jefe de logística y del asistente. Almacen.logistica@losinkasgolf.com .</t>
    </r>
    <r>
      <rPr>
        <b/>
        <sz val="12"/>
        <color theme="1"/>
        <rFont val="Arial"/>
        <family val="2"/>
      </rPr>
      <t xml:space="preserve"> Anexo del asistente 274, nombre: Adan Gaspar</t>
    </r>
    <r>
      <rPr>
        <sz val="12"/>
        <color theme="1"/>
        <rFont val="Arial"/>
        <family val="2"/>
      </rPr>
      <t>. Se está enviando el correo de presentación. Cabe resaltar que teníamos un contacto que había cotizado antes: Andreina Rivera ni José Gutiérrez. Correo enviad</t>
    </r>
  </si>
  <si>
    <t>Hotel Golf de los Inkas (casa andina)</t>
  </si>
  <si>
    <t>Se solicitó en recepción hablar con la persona encargada de lavandería, comentó que todo el tema de lavada se terceriza pero no sabe con que empresa.</t>
  </si>
  <si>
    <t>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t>
  </si>
  <si>
    <t>Amadeo Berrocal</t>
  </si>
  <si>
    <t>Jefe de lavandería</t>
  </si>
  <si>
    <t>01 6307777 Anexo 5060 Celular de recepción del hotel:  955151882</t>
  </si>
  <si>
    <t>amadeoj.berrocal@hotelesestelar.com</t>
  </si>
  <si>
    <t>Hoteles Estelar Perú SAC</t>
  </si>
  <si>
    <t>https://www.estelarmiraflores.com/es/</t>
  </si>
  <si>
    <t>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t>
  </si>
  <si>
    <t>Al final se le dio a un precio ligeramente menor al de Serfac, pagó con tarjeta con $15 de comisión, llegó a oficina con su novia para hacer el pago.</t>
  </si>
  <si>
    <t>Cerrado ganado</t>
  </si>
  <si>
    <t>2063-25</t>
  </si>
  <si>
    <t>Sandra Lopez</t>
  </si>
  <si>
    <t>Encargada de lavandería</t>
  </si>
  <si>
    <t>sandra.lopez@accor.com</t>
  </si>
  <si>
    <t>Hotel Ibis Larco. Miraflores</t>
  </si>
  <si>
    <t>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t>
  </si>
  <si>
    <t>Giorgina Guzman</t>
  </si>
  <si>
    <t>giorgina.guzman@accor.com</t>
  </si>
  <si>
    <t>Hotel Ibis Reducto. Miraflores</t>
  </si>
  <si>
    <t>La recepcionista envió mensaje al área para ver si podían bajar pero no recibía respuesta, me comentó que tercerizan el lavado también pero que no sabía el nombre de la empresa. Me brindó el mail de la encargada de lavandería. Se dejó catálogo</t>
  </si>
  <si>
    <t>Recepcionista</t>
  </si>
  <si>
    <t>Hotel San Agustín exclusive</t>
  </si>
  <si>
    <t>´(511) 319-0060</t>
  </si>
  <si>
    <t>https://www.sanagustinexclusive.com/es/</t>
  </si>
  <si>
    <t xml:space="preserve">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t>
  </si>
  <si>
    <t>Eco Lara</t>
  </si>
  <si>
    <t>Canada</t>
  </si>
  <si>
    <t>Tienen Lavadoras Samsung no industriales, 1 se malogró y está interesada. Le dará el numero a su jefa</t>
  </si>
  <si>
    <t>Mary Saldaña</t>
  </si>
  <si>
    <t>Dueña</t>
  </si>
  <si>
    <t>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t>
  </si>
  <si>
    <t>00027-25</t>
  </si>
  <si>
    <t>https://www.facebook.com/nomebusquesmeencontraste/</t>
  </si>
  <si>
    <t>Lavo Express</t>
  </si>
  <si>
    <t>.</t>
  </si>
  <si>
    <t>Me atendio la dueña y me dejo su numero personal, pregunté su tipo de lavadora, ella pregunto por el metodo de pago y dijo que despues se comunica con nosotros.</t>
  </si>
  <si>
    <t xml:space="preserve">Hablé con el dueño y me cuenta que tiene actualmente lavadora industrial Unimac. Revisé el tiktok y efectivamente, una Unimac de 24kg me pidió cotización de marcas de lavadoras industriales de 24kg, porque tiene otra lavandería </t>
  </si>
  <si>
    <t>00028-25</t>
  </si>
  <si>
    <t>Se movió la reunión para el miércoles 19 a las 8.30 am, su Novia Xiomy es la dueña del Hotel MUNAKUYKI</t>
  </si>
  <si>
    <t>drevilla@westinlima.com</t>
  </si>
  <si>
    <t>Asistí a una conferencia en el hotel Westin sobre nuevas tendencias en el mundo de los negocios, donde enfatizaron el tema de procesos logísticos con uso de IA. Al terminar me dirigí al counter y pregunté por Diefi Revilla, el jefe de lavandería, se comunicaron con el por Whatsapp y me hicieron esperar en el lobbie, a los 20 min aprox me dijeron que no podría recibirme y que me comunique a la central (me dieron la tarjeta) para conversar con el. Asimismo pregunté por su número de teléfono para comunicarme directamente, me comentaron que no dan el número. Le dejé el catálogo en físico para que se lo hagan llegar y se envió mail al mail correcto. Ya se corrigió en CRM</t>
  </si>
  <si>
    <t>Seguimos llamando al Sr. Para coordinar una nueva visita en su local o en todo caso una video llamada para que pueda ver rel equipo</t>
  </si>
  <si>
    <t>Montalvo Raul</t>
  </si>
  <si>
    <t>www.moncal.pe</t>
  </si>
  <si>
    <t>Lavandería Moncal</t>
  </si>
  <si>
    <t>Lavandería Industrial</t>
  </si>
  <si>
    <t>es el 3er envió de mensaje a través de Linkedin, esta vez ofreciendo nuestro servicios de mantenimiento preventivo y stock inmediato de piezas. Recientemente han adquirido maquinaria (40 equipos de lavandería). Al parecer, por la fotos se trata de una importación directa. En el filtro nos encontramos que ellos también ofrecen el servicio de mantenimiento preventivo y servicio técnico</t>
  </si>
  <si>
    <t>Me comuniqué con la sra. Indica que el presupuesto es un poco elevado, pero que si quiere renovar uno de sus equipos, pero por ahora está haciendo otros pagos. Nos comentó que como para quincena de diciembre podría tomar una decisión porque quería comprar la lavadora para los edredones pero ya está bajando la venta. dado que quiere renovar pero tiene restricción de presupuesto le ofrecí que podría separar el equipo e ir pagando hasta que lo cancele. Lo va a pensar y el 15 de diciembre nos comunicaremos con ella.</t>
  </si>
  <si>
    <t>El sr tiene su amigo que le recomendó la marca OASIS, es una marca china,  le a costado 14500 dóalres. Su amigo tiene una lavandería en Lima y también importa equipos chinos de esa marca. Tuvo que comprarla por un tema de presupuesto. Se le ofreció también el servicio técnico y los repuestos.</t>
  </si>
  <si>
    <t>Cerrado perdido</t>
  </si>
  <si>
    <t>Xiomy, dueña del Hotel MUNAKUYKI llegó a pagar, dio un adelanto de 1500 dolares y mañana paga la diferencia (3161), debe de confirmar si la lavadora será apilable o no apilable. También se le cotizará la mesa y la calandria</t>
  </si>
  <si>
    <t>Jenny Valdiviezo</t>
  </si>
  <si>
    <t>Victor  Ureta</t>
  </si>
  <si>
    <t>lichiufb@gmail.com</t>
  </si>
  <si>
    <t>Seventh Heaven SRL</t>
  </si>
  <si>
    <t>Después de varias llamadas y de un par de visitas al showroom y de respuestas técnicas (lo que el cliente necesita), se llegó a concretar la venta de una calandria a gas. El sr. Puede comprar a futuro una lavadora y secadora industrial a partir de 24 kilos. Pagó un adelanto de 5000 dolares, estara haciendo un segundo depósito este mes y el ultimo deposito a fines de diciembre o enero. Se le facturará todo este año</t>
  </si>
  <si>
    <t>2074-25</t>
  </si>
  <si>
    <t>Jossety Castillo</t>
  </si>
  <si>
    <t>Encargada de Housekeeping</t>
  </si>
  <si>
    <t>housekeeping@radissonred.com.pe</t>
  </si>
  <si>
    <t>Radisson Red Hotel</t>
  </si>
  <si>
    <t>Pertenece al grupo Choice hotels, es un hotel boutique, me recibió el recepcionista, comentó que tercerizan el lavado, igualmente solicité hablar con la persona de houskeeping, me comentó que podría darme el correo, no hay teléfono directo,le solicité el nombre e igualmente le dejé el catálogo por si tenían pensado tener pronto un proyecto de lavandería, indicó que con todo gusto se lo entregaría a la persona encargada. Se envió correo.</t>
  </si>
  <si>
    <t>San Martín Apart Hotel</t>
  </si>
  <si>
    <t>La señora de recepcionista indica que el hotel terceriza el lavado de toda la vida. Igualmente dejé mi tarjeta y le expliqué si podría entregársela a la persona encargada, por si necesitaran en futuros proyectos</t>
  </si>
  <si>
    <t>Hotel Howard Johnson by Wyndham</t>
  </si>
  <si>
    <t>La recepcionista fue muy amable, me comentó que tercerizan la lavandería, ahí mismo en miraflores pero no recuerda el nombre del tercero, le comenté sobre los equipos, ideal si tuvieran algún proyecto propio de lavandería para que puedan ahorrar costos, le dejé el catálogo también para que le hagan llegar a la empresa tercera.</t>
  </si>
  <si>
    <t>The Pullman Lima</t>
  </si>
  <si>
    <t>la señorita indica que tercerizan el lavado con Lavaquick, igualmente le dejé el catálogo para algún proyecto, me comentó que se lo iba a dejar a la persona encargada en el momento.</t>
  </si>
  <si>
    <t xml:space="preserve">Janet </t>
  </si>
  <si>
    <t>Secretaria</t>
  </si>
  <si>
    <t>gerencia@lavaquick.com</t>
  </si>
  <si>
    <t>Lavaquick Express SA</t>
  </si>
  <si>
    <t>Suquillo</t>
  </si>
  <si>
    <t>Teléfono</t>
  </si>
  <si>
    <t>Hablé con la administradora del local visitado en Surquillo, me dio el correo de la secretaria de gerencia ya que no dan contactos. Los nombres de los dueños son:; CARRION DEL SOLAR ANDRES FELIPE/DRAGO MATURO MIGUEL MARIO, se envió correo. Actualmente ellos compran máquinas en USA, usadas.</t>
  </si>
  <si>
    <t>0022-25</t>
  </si>
  <si>
    <t xml:space="preserve">Elena Armas y Mario escurra Acevedo </t>
  </si>
  <si>
    <t>Jefe de logistica y gerente de operaciones</t>
  </si>
  <si>
    <t>6100900 anexo 221</t>
  </si>
  <si>
    <t>logistica@miraflorescolonhotel.com</t>
  </si>
  <si>
    <t>Miraflores Colon Hotel</t>
  </si>
  <si>
    <t>La recepcionista me atendió, si cuentan con lavandería propia, es un hotel antiguo que queda en una esquina, relativamente grande, me indicó que la encargada no estaba pero que le envíe correo para una visita a la lavandería y poder asesorarlos, se le dejó catálogo y se le indicó que le entregue a Elena que le estaré escribiendo y llamando hoy mismo para que nos de una cita para visita de su lavandería. Correo enviado y llamada realizada sin exito.</t>
  </si>
  <si>
    <t>0021-25</t>
  </si>
  <si>
    <t>Katty Felipe</t>
  </si>
  <si>
    <t>Lavandería Limpio</t>
  </si>
  <si>
    <t>Es un espacio pequeño pero céntrico, bien ubicado, traté de ver por dentro y pude ver que tenían bolsas de ropa ya listas para entrega, salió la srta que atiende de nombre Betsabé, me comentó que ahí no lavan, ellos tienen una planta en magdalena, ese lugar solo recopila las prendas, las envía a planta y luego las envíen de regreso ya lavadas, no sabe que marcas de lavadoras cuentan. me dio el teléfono de la dueña para poder comunicarme con ella. La llamé sin exito, volvemos a intentar nuevamente y se envía mensaje de Whatsapp</t>
  </si>
  <si>
    <t>Carlos Ortiz</t>
  </si>
  <si>
    <t xml:space="preserve">Hablé con Carlos, el encargado de compras, preguntó por la cotización anterior, le comenté todas las máquinas que habían cotizado, estaba dentro del requerimiento, asimismo sobre la visita que hicimos el 2022. Le comenté que había hablado con su jefa Ruth Barbarena y me comentó del proyecto. La idea es que ahora en diciembre compre un equipo, le comenté también que dependiendo del monto de compra si queda alguna diferencia menor pordemos ver la posibilidad de darles facilidades de pago. Me comentó que mañana deciden el presupuesto de compra de al menos 1 equipo, igualmente como es un proyecto que se va a ir dando de a pocos con varias adquisiciones, es importante volver a conectar con ellos y convenimos en visitarlos nuevamente, mañana me confirma la fecha de visita </t>
  </si>
  <si>
    <t>Jorge nos comentó que el proyecto se estaba llevando a cabo y que en 1 mes aprox van a ver el tema de los proveedores del proyecto Ritz. El no está a cargo directamente pero si me estará informando. Esta semana lo volvemos a contactar nuevamente. La persona que está a cargo del Ritz es Federico Pastor y del Marriot es Luis Terres</t>
  </si>
  <si>
    <t>Conversé con la sra. María y me comentó que si tuvo reiunión con su jefe: Juan Quirós, sobre los proyectos que habíamos conversado antes y nos dio la información que actualmente tienen un proyecto en Iquitos que debe salir para enero. Pero además cuentan con otros 6 proyectos adicionales. Me encargó que le envié todo el proyecto completo de templo los Olivos llave en mano como referencia para poder cotizar los proyectos que vienen. asimismo le comenté sobre el tema de mantenimiento y servicio ténico de templo los olivos, me comentó que le envíe el último mail que se le envió a Templo los olivos ofreciendole el mantenimiento porque tiene reunión semanal. Comentó también que este caso sería una compra de bienes directo.</t>
  </si>
  <si>
    <t>Marroquín Carlos</t>
  </si>
  <si>
    <t>Jefe de compras</t>
  </si>
  <si>
    <t>cmarroquin@chinalco.com.pe</t>
  </si>
  <si>
    <t>Minera Chinalco Perú SA</t>
  </si>
  <si>
    <t>Minería</t>
  </si>
  <si>
    <t>Me refirieron este contacto en Chinalco, se envió mail, carta de presentación y adjuntando el catálogo.</t>
  </si>
  <si>
    <t>Palomino Janny</t>
  </si>
  <si>
    <t>Adminitradora</t>
  </si>
  <si>
    <t>ventas@aquaruf.com.pe</t>
  </si>
  <si>
    <t xml:space="preserve">Conversamos con Janny, me comentó que era la administradora pero yo creo que es la dueña, Tienen una planta en Chorrillos, actualmente tienen lavadoras chicas de marca whirpool semi industrial, pero también tienen una industrial marca MILNOR de 30 KG ya como 15 años y falla mucho, le comenté que es hora de cambiarla y me dijo que para repararla tiene inconvenientes, le dije que nosotros nos aseguramos de tener los repuestos en stock para solucionar los problemas de nuestros clientes de forma inmediata. Le comenté sobre Unimac, lider del mercado. Quedé en enviar cotización de lavadoras de 13, 17 y una Unimac de 30 KG aprox </t>
  </si>
  <si>
    <t>00029-25</t>
  </si>
  <si>
    <t>Lavandería AquaSec</t>
  </si>
  <si>
    <t>Se visitó el local de miraflores y la señora nos indicó que vayamos a la oficina central en Caminos del inka, chacarilla, ahí cuentan con una planta. Desconoce las máquinas que hay pero me preguntó si tenemos calandrias, le mostré el catálogo y le expliqué sobre el tema, le dejé el catálogo para que pueda darle a la persona encargada. Igualmente queda pendiente la visita a la planta, se dejó el catálogo</t>
  </si>
  <si>
    <t>2089400/2089401</t>
  </si>
  <si>
    <t>recepcion.hgisurco@den-group.com</t>
  </si>
  <si>
    <t>Hilton Garden Inn</t>
  </si>
  <si>
    <t>Me acerqué al lobbie del hotel ubicado en el piso 4 del edificio, me atendió el recepcionista, me indicó que me comunique con el correo del hotel para que ellos lo puedan derivar, se dejó el catálogo y se ha enviado correo</t>
  </si>
  <si>
    <t>Meza Martin</t>
  </si>
  <si>
    <t>martin.meza@melia.com</t>
  </si>
  <si>
    <t>Meliá Innside</t>
  </si>
  <si>
    <t>Me acerqué al lobbie, es un hotel donde la entrada se encuentra por el restaurante, en el semisotano. El recepcionista me comentó que al parecer tercerizan el lavado pero me dio el correo del jefe de compras para poder ofrecerle los servicios, igualmente se dejó el catálogo para ser entregado, se ha enviado mail al jefe de compras</t>
  </si>
  <si>
    <t>Casa Andina</t>
  </si>
  <si>
    <t>Fui a 2 distrintos casa Andinas casi por la misma cuadra. Av. La Paz, primero en el lobbie me comentaron que no conocían a la persona pero que deje mi catálogo. Cuando fui a la otra sede me dieron la dirección de Diez Canseco, donde quedaban las oficinas. Fui, hablé con el vigilante en espera de que me contacte con el de logistica que no estaba, esperé y cuando se comunicó dijo que deje mis datos para que me contacten para una cita, pero el de almacén no lo ve, sino es corporativo (ya había dejado el catálogo). Aquí indiqué que le entreguen el catálogo a la jefa de lavandería que ingresaba por esa puerta.</t>
  </si>
  <si>
    <t>Revisé el historial del prospecto, se hizo un informe de visita en ese momento (diciembre 2024) Llamé por teléfono a Martín, jefe de compras, me dijo que el proyecto de lavandería había quedado en stand by hasta marzo del próximo año. Debemos tener contacto en enero. Ver cotización Efameinsa 498-25</t>
  </si>
  <si>
    <t>De acuerdo a lo conversado con la sra María, envié el correo dándole algunos detalles del proyecto Templo los Olivos y que nos ponga en contacto con los ingenieros, asi como se hizo en Cosapi. La llamé sin éxito pero le dejé mensaje por Whatsapp indicandole que le había enviado el mail y le comenté lo mismo. Que nos ponga en contacto con los ingenieros para ir avanzando el proyecto de Iquitos, También le comenté sore los mantenimientos, podemos hacerle la visita técnica gratuita a templo los olivos para evaluar sus necesidades.</t>
  </si>
  <si>
    <t>El Golf Hotel Boutique</t>
  </si>
  <si>
    <t>San Isidro</t>
  </si>
  <si>
    <t>Hablé con la recepcionista, me comentó que se llevan la ropa para lavar, pero no tiene claridad del tema. Me dio el número para comunicarme, dejé el catálogo para que le entregue a la housekeeping, Al hacer la llamada me comentan que tercerizan la lavandería, no la manejan directamente. No sabe el nombre del tercero.</t>
  </si>
  <si>
    <t>Fiorella cano</t>
  </si>
  <si>
    <t>Asistente de mantenimiento</t>
  </si>
  <si>
    <t>4119000 anexo 2571</t>
  </si>
  <si>
    <t>Corporación Hotelera Metor S.A - Hotel Meliá</t>
  </si>
  <si>
    <t>Me acerqué al hotel y me atendió el recepcionista, me preguntó si éramos nuevos en el sector, le dije que no, ya casi 30 años, le comenté sobre los equipos, me dijo, Justo! Si claro, ve por la rampa y pregunta por Fiorella Cano. Sigue trabajando ahí. Ya en la pureta de ingreso del personal el de seguridad se comunicó con ella, pero estaba entrando en reunión, me dio su correo (que ya lo teníamos) igualmente le dejé el catálogo para que se lo entregue y quedé en comunicarme para poder sacar una cita con ella. Según investigación por internet, en Julio 2026 abrirán un hotel en el centro de Lima con 60 habitaciones</t>
  </si>
  <si>
    <t>Gloria Serquen y Luis Gonzalo Quintana Castro (jefe)</t>
  </si>
  <si>
    <t>Encargada de Saneamiento y Jefe de área</t>
  </si>
  <si>
    <t>gserquen@aquanqa,pe      gquintana@aquanca.pe</t>
  </si>
  <si>
    <t>Trujillo</t>
  </si>
  <si>
    <t>Ricardo ya no se hace cargo del proyecto, me derivó con Gloria, estuve en coordinaciones con ella y he realizado una video llamada ayer mostrándole las máquinas. Están muy interesados, desean concretar la compra lo más pronto posible. Quiere tener una video llamada con los ingenieros encargados, le dije que con todo gusto. El día de hoy me comenta que están full pero mañana o viernes hacemos la video llamada. Otro dato importante, ha sido que su jefe Luis Gonzalo Quintana Castro estuvo cotizando. empresas Cimelco con la marca Imesa (18 Kg), Serfac con LG (13 KG) , también comentó que con Efameinsa pero no lo ubicamos con la razón social Aqu Anca. Por otro lado tomamos las medidas de su local. 2.84 x 2.54 metros. la puerta de netrada mide 75 cm, sacando el marco llega a 90 cm</t>
  </si>
  <si>
    <t>0031-25</t>
  </si>
  <si>
    <t>Valladolid Gustavo</t>
  </si>
  <si>
    <t>Director de mantenimiento</t>
  </si>
  <si>
    <t>Lo encontré a través de Linkedin, lo contacté y le envié mensaje de presentación, así como solicitar una reunión para revisión de poryectos actuales y futuros con los cuales podríamos trabajar en colaboración conjunta.</t>
  </si>
  <si>
    <t>Del Campo Aldo</t>
  </si>
  <si>
    <t>adelcampo@losportales.com.pe</t>
  </si>
  <si>
    <t>Country Club Hotel - Los Portales</t>
  </si>
  <si>
    <t>De visita por el hotel, la recepcionista habló con el ama de llaves Beatriz león. Me dieron un número para comunicarme. Llamé y pedí que me derivaran con Aldo del campo (gerente de operaciones), El anexo no contestó pero me dieron el correo. Dejé el catálogo para que le entreguen. De regreso en oficina revisé el file y llamé a Mabel Abregu, le comenté que estuve de visita hoy, aproveché para comentarle las cotizaciones pendientes, estaba en reunión pero me comentó que lo hablemos por whatsapp. Le dejé enviado el mensaje.</t>
  </si>
  <si>
    <t>Soria Omar</t>
  </si>
  <si>
    <t>osoria@losdelfineshotel.com.pe</t>
  </si>
  <si>
    <t>Corporación El Golf S.A - Los Delfines Hotel</t>
  </si>
  <si>
    <t>El hotel estaba muy lleno, parecía una comitiva deportiva en recepción, esperé hasta que la recepcionista me explicó que debería ir al fondo a unos teléfonos y comunicarme con el área de compras. En ese momento no había nadie pero esperé un buen tiempo y volví a comunicarme 2 veces más. Finalmente me atendió Omar y me comentó que estaba en reunión pero que le envíe por correo carta de presentación, los equipos con los que contaba, marcas, principales clientes, contactos y teléfonos. Que ahora no podía atenderme pero que le envíe la información. Me lo dijo muy rápido y me dio su correo.</t>
  </si>
  <si>
    <t>Diaz Chanaisa</t>
  </si>
  <si>
    <t>Jefe de Compras y Logistica</t>
  </si>
  <si>
    <t>cdiaz@casa-andina.com</t>
  </si>
  <si>
    <t>Me comuniqué al teléfono de la tarjeta que me entregaron y pedí que me comuniquen con el área de logística o compras y me dieron el correo de Chanaisa porque no contestaba el anexo. Se le enviara un correo</t>
  </si>
  <si>
    <t>Navarro Patricia</t>
  </si>
  <si>
    <t>926588480/926588580</t>
  </si>
  <si>
    <t>Lavandería Iespa ( Nombre Comercial)</t>
  </si>
  <si>
    <t>10214783385/104822824612</t>
  </si>
  <si>
    <t>Ica</t>
  </si>
  <si>
    <t>Chincha</t>
  </si>
  <si>
    <t>Whatsapp</t>
  </si>
  <si>
    <t>La señora se comunicó a traves del whatsapp, está interesada en la lavadoras de autoservicio con monedas, se le indicó que está por llegar el dispositivo para Noviembre. Se le va a envío cotización por el momento de lavadora</t>
  </si>
  <si>
    <t>0001-25</t>
  </si>
  <si>
    <t>Barzola Arthur Jhonatan</t>
  </si>
  <si>
    <t>Quería información de equipos LG, Se le llamó sin exito</t>
  </si>
  <si>
    <t>Liiliana Aldana</t>
  </si>
  <si>
    <t>Hostal Fortuna</t>
  </si>
  <si>
    <t>Recepcionista indicó que Gerente regresa el próximo mes, trabajaban tercerizando</t>
  </si>
  <si>
    <t>pllerena@aquavithotel.com</t>
  </si>
  <si>
    <t>Hotel Aquavit</t>
  </si>
  <si>
    <t>Cañete</t>
  </si>
  <si>
    <t>Asia</t>
  </si>
  <si>
    <t>Se envió catálogo al correo de contacto que aparece en respuesta de internet</t>
  </si>
  <si>
    <t>concierge@andean.travel</t>
  </si>
  <si>
    <t>Grupo Andean</t>
  </si>
  <si>
    <t>Barranco</t>
  </si>
  <si>
    <t xml:space="preserve">Es un grupo de 6 hoteles se habló con recepcionista y  se envió catálogo al correo </t>
  </si>
  <si>
    <t>Hotel Barranco-La Quinta de Alison</t>
  </si>
  <si>
    <t>El administrador no se encontraba se volverá a llamar</t>
  </si>
  <si>
    <t>Jack Lozano</t>
  </si>
  <si>
    <t>Almacen/Compras</t>
  </si>
  <si>
    <t>7112000/994632938</t>
  </si>
  <si>
    <t>Hoteles Costa del Sol</t>
  </si>
  <si>
    <t>Callao</t>
  </si>
  <si>
    <t>Su asistente Johana indicó que le enviara información a su whatsapp y se le envió</t>
  </si>
  <si>
    <t>Marlene Galicia</t>
  </si>
  <si>
    <t>Compras</t>
  </si>
  <si>
    <t>Sheraton Lima Hotel &amp; Convention Center</t>
  </si>
  <si>
    <t>Se habló con recepcionista y nos dió el contacto de la persona encargada de compras, se envió catálogo a su correo.</t>
  </si>
  <si>
    <t>hotelcontinentalperu@gmail.com</t>
  </si>
  <si>
    <t>Hotel Continental</t>
  </si>
  <si>
    <t>Se habló con recepcionista no quiso dar información, solo nos indicó  que enviemos el correo y se envió catálogo.</t>
  </si>
  <si>
    <t>hotel-palacio@hotmail.com</t>
  </si>
  <si>
    <t>Hostal Palacio</t>
  </si>
  <si>
    <t>Se llamó reiterativamente a su teléfono fijo y no respondieron, se envió correo con el catálago ya que en la data está confirmado su mail y se tiene la i nformación que cuenta con lavadoras domesticas.</t>
  </si>
  <si>
    <t>hotelinternacional763@hotmail.com</t>
  </si>
  <si>
    <t>Hotel Internacional</t>
  </si>
  <si>
    <t>Se llamó reiterativamente a su teléfono fijo y no respondieron, se envió correo con el catálago ya que en la data está confirmado su mail y se tiene la i nformación que cuenta con lavandería.</t>
  </si>
  <si>
    <t>gerencia@inkapath.com</t>
  </si>
  <si>
    <t>Hotel Inka Path</t>
  </si>
  <si>
    <t>reservas@hotelanthonys.com</t>
  </si>
  <si>
    <t>Hotel Anthonys</t>
  </si>
  <si>
    <t xml:space="preserve">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t>
  </si>
  <si>
    <t>administración@hotelolaya.com.pe/gerencia@hotelolaya.com.pe</t>
  </si>
  <si>
    <t>Hotel Olaya</t>
  </si>
  <si>
    <t>Se habló con recepcionista Miriam indicó que enviemos el correo a Gerencia y Administración (Ruth Muñoz y Jorge Muñoz)según nuestra Data cuentan con lavandería. Se envió correo con catálogo.</t>
  </si>
  <si>
    <t>info@aroromero.com</t>
  </si>
  <si>
    <t>Hotel Aro Romero Resort</t>
  </si>
  <si>
    <t>Chosica</t>
  </si>
  <si>
    <t>No funcionan sus telefónos fijos como según nuestra data esta confirmado correo se volvió a enviar información con catálogo y también se envió al número de whatsapp que figura en su página.</t>
  </si>
  <si>
    <t>informes@elangolochosica.com</t>
  </si>
  <si>
    <t>Hotel El Angolo</t>
  </si>
  <si>
    <t>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t>
  </si>
  <si>
    <t>Peña Tasayco Fiorella</t>
  </si>
  <si>
    <t>fiorella22303@gmail.com</t>
  </si>
  <si>
    <t>Por definir</t>
  </si>
  <si>
    <t>San Juan de Lurigancho</t>
  </si>
  <si>
    <t>Se  estableció contacto por llamada telefonica va a poner su emprendimiento de lavandería formalmente, va a procesar 50 kilos diarios aprox. cuenta con dos lavadoras domesticas Lg y Mabe de 16 kilos no cuenta con secadora, tiene conexion a gas natural, se envió cotización.</t>
  </si>
  <si>
    <t>0002-25</t>
  </si>
  <si>
    <t>Herrera Carlos</t>
  </si>
  <si>
    <t>carlos.herrera.gonzaga@gmail.com</t>
  </si>
  <si>
    <t>Hotel Carlitos</t>
  </si>
  <si>
    <t>Cerro de Pasco</t>
  </si>
  <si>
    <t>Se conversó con Sr Carlos Herrera nos indica que va implementar su lavandería para su hotel de 16 habitaciones tiene espacio prefiere secadora electrica. Se envió cotización.</t>
  </si>
  <si>
    <t>0004-25</t>
  </si>
  <si>
    <t>Ramos Campo Marleny</t>
  </si>
  <si>
    <t>No recuerda su nombre</t>
  </si>
  <si>
    <t>Lo va a sacar en esta semana</t>
  </si>
  <si>
    <t>Pucusana</t>
  </si>
  <si>
    <t>La señora es una persona mayor esta interesada sin embargo ya compró lavadoras marca kenmore y mabe  (domesticas).Se le envió cotización a su whatsapp no usa correo podría comprar una semindustrial</t>
  </si>
  <si>
    <t>0003-25</t>
  </si>
  <si>
    <t>Joseph Anco</t>
  </si>
  <si>
    <t>angeles.comerciales.ventas@gmail.com</t>
  </si>
  <si>
    <t>Multiservicios Angeles Comerciales SAC</t>
  </si>
  <si>
    <t>Varios</t>
  </si>
  <si>
    <t>El señor Anco manifestó que va a realizar un emprendimiento pararelo que se va extender a coorporativo, area para ello de 20 m2, ha solicitado cotización de lavadora, secadora y mesa de planchado. Se envió cotización. Su compra estimada 15 de Noviembre.</t>
  </si>
  <si>
    <t>0005-25</t>
  </si>
  <si>
    <t>Andia Zeballos Manuel Renatto</t>
  </si>
  <si>
    <t>valgutsac@gmail.com</t>
  </si>
  <si>
    <t>Valgut Sac</t>
  </si>
  <si>
    <t>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t>
  </si>
  <si>
    <t>0006-25</t>
  </si>
  <si>
    <t>Condori Ramos Marco Raul</t>
  </si>
  <si>
    <t>marco.condoriramos420@gmail.com</t>
  </si>
  <si>
    <t>Lavandería La Solución (Nombre comercial)</t>
  </si>
  <si>
    <t>Lo va a sacar</t>
  </si>
  <si>
    <t>El señor Condori tiene 2 lavanderias pero quiere mejores equipos en lavadora y secadora ya que tiene lavadoras domesticas.tiene un estimado de 50 kilos x dia.su compra estimada es en 2 semanas.Tiene un presupuesto de 10000 soles. Se envió propuesta</t>
  </si>
  <si>
    <t>0007-25</t>
  </si>
  <si>
    <t>Tuvimos una llamada por 30 minutos con El señor Ureta (dueño )el cual tiene un Hotel en Cusco,Lava 120 kilos al dia se interesó por las lavadora LG de 17 Kilos con secadora, Viene mañana Viernes 24 de Octubre a la planta para concretar posible venta.</t>
  </si>
  <si>
    <t>0008-25</t>
  </si>
  <si>
    <t>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t>
  </si>
  <si>
    <t>Intentamos comiunicarnos nuevamente esta vez llamando a su celular, Se le llamó sin éxito , durante la semana se le ha escrito a su Whatsapp solicitandole tiempo de sus parte para  orientarlo mejor en sus equipos</t>
  </si>
  <si>
    <t>Se habló nuevamente con recepcionista manifestó que si lo derivó pero que no les han indicado nada.</t>
  </si>
  <si>
    <t>No hay respuesta tanto de telefono como email</t>
  </si>
  <si>
    <t>Es un grupo de 6 hoteles.No hay respuesta</t>
  </si>
  <si>
    <t>Volver a llamar no ubicamos al administrador y no quieren dar mas informaci´´on</t>
  </si>
  <si>
    <t>Recepcionista dijo que se encontraba en reunión de Gerencia, no tenía información alguna.</t>
  </si>
  <si>
    <t>Se habló con recepcionista  Ana Paula nos tomo el mensaje para por  interno comunicarle a la Srta. Galicia, le dimos un poco mas de información a ella para que nos apoye y quedamos en llamarle el día Lunes  27 de Octubre.</t>
  </si>
  <si>
    <t>Se habló con recepción nuevamente por respuesta de nuestro catálogo y manifestó que tienen equipos nuevos no se encuentran interesados.</t>
  </si>
  <si>
    <t>El telefóno fijo está fuera de servicio, no hay respuesta en el correo por catálogo enviado.</t>
  </si>
  <si>
    <t>El telefóno fijo no responde, no hay respuesta en el correo por catálogo enviado.</t>
  </si>
  <si>
    <t xml:space="preserve">Se habló con recepcionista Diana nuevamente por respuesta de nuestro correo,manifesto que no le han  ndicado nada, le solicité el contacto pero no se lo permiten. </t>
  </si>
  <si>
    <t>Se habló con recepcionista Miriam indicó que no tiene  ninguna indicación ni respuesta del correro que se envió.</t>
  </si>
  <si>
    <t>Recepcionista indicó que se comunicarán si hubiera alguna necesidad con nuestros datos ya dejados pero por el momento no tiene respuesta.</t>
  </si>
  <si>
    <t>Jorge Ramirez</t>
  </si>
  <si>
    <t>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t>
  </si>
  <si>
    <t>No respondió su celular, se le dejó mensaje de seguimiento a su whatsapp</t>
  </si>
  <si>
    <t>Se conversó con Sr Carlos Herrera manifestó que en la reunión con su grupo de socios tocarán el tema para evaluarla le indicamos que cualquier duda nos llame, respondió que podriamos llamarlo la próxima semana por alguna respuesta.</t>
  </si>
  <si>
    <t>No respondió su celular, se le dejó mensaje de seguimiento a su whatsapp, posteriormente devolvío la llamada indicando que cualquier cosita se comunicaba con nosotros ya que tiene la proforma.</t>
  </si>
  <si>
    <t>Indica que cotización enviada se escapa de su presupuesto, estaba manejando, indicó le enviaran una proforma de menor costo, se le envió una nueva cotización.</t>
  </si>
  <si>
    <t>0009-25</t>
  </si>
  <si>
    <t>La hija del Sr Ureta se comunicó con nosotros para postergar la visita para el día de mañana Sábado 25 de Octubre a las 10 y 30 am por motivos de una cita de salud.</t>
  </si>
  <si>
    <t>Potencial cierre</t>
  </si>
  <si>
    <t>Jorge Alvarado</t>
  </si>
  <si>
    <t>jalvarado@barymas.com</t>
  </si>
  <si>
    <t>Barymas Servicios SAC</t>
  </si>
  <si>
    <t>Chaclacayo</t>
  </si>
  <si>
    <t>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t>
  </si>
  <si>
    <t>0010-25</t>
  </si>
  <si>
    <t>Huamani Annie Lisbeth</t>
  </si>
  <si>
    <t>annie-lu-se@outlook.com</t>
  </si>
  <si>
    <t>No la recuerda</t>
  </si>
  <si>
    <t>Es el Ruc de su mamá</t>
  </si>
  <si>
    <t>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t>
  </si>
  <si>
    <t>0011-25</t>
  </si>
  <si>
    <t>Ortiz Luis Alberto</t>
  </si>
  <si>
    <t>Va a poner emprendimiento</t>
  </si>
  <si>
    <t>Todavía no tiene</t>
  </si>
  <si>
    <t>El señor Quiñones va a iniciar con un negocio de lavandería, no sabe cuantos kilos procesará por kilo, solicita cotización de Equipos de 13 kilos y 17 kilos mas 1 planchador. Se envió cotizacion</t>
  </si>
  <si>
    <t>Se le llamó al celular que indicaron no estaba la dueña, se volverá a llamar</t>
  </si>
  <si>
    <t>Carrasco Luis Miguel</t>
  </si>
  <si>
    <t>sengu4lch@gmail.com</t>
  </si>
  <si>
    <t>No trabajan formal</t>
  </si>
  <si>
    <t>No tiene</t>
  </si>
  <si>
    <t>El señor Carrasco ya tiene lavandería pero esta buscando una lavadora semindustrial para capacidad de edredones, su presupuesto es aprox. 20,000.Se le envió cotización.</t>
  </si>
  <si>
    <t>0014-25</t>
  </si>
  <si>
    <t>No responde se volverá a llamar</t>
  </si>
  <si>
    <t>El celular sale apagado</t>
  </si>
  <si>
    <t>Contactado no interesado</t>
  </si>
  <si>
    <t>No se encuentran interesados</t>
  </si>
  <si>
    <t>Volver a llamar Lunes 27 de Octubre por respuesta</t>
  </si>
  <si>
    <t>Se volvió a llamar,dejamos un mensaje a su whatsapp</t>
  </si>
  <si>
    <t>Volver a llamarlo el dia Viernes 30 de Octubre</t>
  </si>
  <si>
    <t>Se volverá a llamar el dia Viernes 30 de Octubre por respuesta</t>
  </si>
  <si>
    <t>Se le llamará hoy Sábado 25 de Octubre por que solicitó un ajusyte en el precio.</t>
  </si>
  <si>
    <t>El señor Condori indica que hoy revisará la nueva cotización</t>
  </si>
  <si>
    <t>Se le llamó al celular y se le escribió no hay respuesta.</t>
  </si>
  <si>
    <t>Se le dejó mensaje no responde</t>
  </si>
  <si>
    <t>Indico iba a revisar la cotización</t>
  </si>
  <si>
    <t>Visitó hoy 25 de Octubre, posible compra</t>
  </si>
  <si>
    <t xml:space="preserve">00012-25 </t>
  </si>
  <si>
    <t xml:space="preserve">00015-25 </t>
  </si>
  <si>
    <t>Va a poner emprendimiento, todavía no tiene respuesta de parte de su pareja socia</t>
  </si>
  <si>
    <t>El señor Quiñones va a iniciar con un negocio de lavandería Todavía no hay respuesta tiene que conversarlo con su socia(Pareja)</t>
  </si>
  <si>
    <t>Se volvió a llamar el dia de hoy Lunes 27 y nos cortan</t>
  </si>
  <si>
    <t>Se volvió a llamar, no responde se dejó mensaje en whatsapp</t>
  </si>
  <si>
    <t>El celular sale apagado nuevamente</t>
  </si>
  <si>
    <t>No hay respuesta, Contactado no interesado</t>
  </si>
  <si>
    <t>Se conversó con él y estamos a la espera de reunión con Socios, quedamos en llamarlo el dia Viernes 30 de Octubre.</t>
  </si>
  <si>
    <t>El señor Condori indica que hoy revisará la nueva cotización, se envió una segunda cotización por ajuste de su presupuesto.</t>
  </si>
  <si>
    <t>Se le llamó al celular y se le escribió nuevamente no hay respuesta.</t>
  </si>
  <si>
    <t>Se le llamó hoy por respuesta de la cotización, se le hizo un ajuste pero indica esta viendo adicionalmente otros proveedores.</t>
  </si>
  <si>
    <t>Se le timbró hoy acerca de su visita pero no responde, se le dejó mensaje a su whatsapp, respondió que llamará temprano para visitarnos ese mimo día</t>
  </si>
  <si>
    <t>Se conversó hoy con la Sra. Huamani menciona que quiere ver su tiempo para viajar a  Lima y ver presencialmente la lavadora lo mas probable indica que sería en Diciembre.</t>
  </si>
  <si>
    <t>Mogollón Mauro</t>
  </si>
  <si>
    <t>mauro0905m@gmail.com</t>
  </si>
  <si>
    <t>Cliente solicitó información de lavadoras semiindustriales, no responde, se le dejó mensaje en Whatsapp, el DNI dejado al aparecer está incorrecto no se le puede filtrar</t>
  </si>
  <si>
    <t>Rodriguez Jenny</t>
  </si>
  <si>
    <t>jenny13roes@gmail.com</t>
  </si>
  <si>
    <t>Cliente solicitó información de lavadora Primus FX 280, no responde, se le dejó mensaje en Whatsapp.</t>
  </si>
  <si>
    <t>Hotel Flamingo</t>
  </si>
  <si>
    <t>Lince</t>
  </si>
  <si>
    <t>Se habló con Recepción e indicó que en este momento están tercerizando pero no quisieron dar información del contacto de lavandería.Manifestaron igual que enviaran el correo para tenernos para cualquier contacto.</t>
  </si>
  <si>
    <t>Hotel Mandarin</t>
  </si>
  <si>
    <t>Se habló con Recepción e indicó que en este momento están prohibidos dar información del contacto de lavandería.</t>
  </si>
  <si>
    <t>Katia Hernández</t>
  </si>
  <si>
    <t>Jefa de Logistica y compras</t>
  </si>
  <si>
    <t>khernandez@elbosque.org.pe</t>
  </si>
  <si>
    <t>Country Club El Bosque</t>
  </si>
  <si>
    <t>Se le llamó por celular  no respondió, se le envió mensaje de presentación a su whatsapp y correo</t>
  </si>
  <si>
    <t>Rosario Carpena</t>
  </si>
  <si>
    <t>reservas@hotelyeyas.com</t>
  </si>
  <si>
    <t>Hotel Yeyas</t>
  </si>
  <si>
    <t>Se habló con recepcionista indicó que le enviaran información al correo registrado que es el mismo.Se le envió correo</t>
  </si>
  <si>
    <t>No quiso dar su nombre</t>
  </si>
  <si>
    <t>Administrador</t>
  </si>
  <si>
    <t>Hotel Javer Prado Inn</t>
  </si>
  <si>
    <t>Indican que tercerizan con Corporación Lavassa</t>
  </si>
  <si>
    <t>Alexander Golac</t>
  </si>
  <si>
    <t>918337428/918337429/977129080</t>
  </si>
  <si>
    <t>servicios@corporacionlavassa.pe</t>
  </si>
  <si>
    <t>Corporación Lavassa SAC</t>
  </si>
  <si>
    <t>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t>
  </si>
  <si>
    <t>info@hotellamolina.com.pe</t>
  </si>
  <si>
    <t>Hotel La  Molina</t>
  </si>
  <si>
    <t>La  Molina</t>
  </si>
  <si>
    <t>Se habló con recepcionista e indicó que enviemos correo, es el mismo que se encuentra en Data. Se envió correo</t>
  </si>
  <si>
    <t>invotel@gmail.com</t>
  </si>
  <si>
    <t>Hotel Serenzza</t>
  </si>
  <si>
    <t>La Victoria</t>
  </si>
  <si>
    <t>El Señor Quiñones se encuentra interesado en visitar la planta, quedó en confirmarme en estos dias tiene que coordinarlo con su pareja (Socia)</t>
  </si>
  <si>
    <t>El señor Quiñones junto con su pareja (socia )estan coordinando que día podrían venir a la planta, indican posiblemnete mañana o pasado</t>
  </si>
  <si>
    <t>No tenemos información su celular timbra no responden se le dejó mensaje en su whatsapp de seguimiento</t>
  </si>
  <si>
    <t>Carrasco Luis Miguel ( No trabajan formal)</t>
  </si>
  <si>
    <t>Se le timbró nuevamente al señor Carrasco por respuesta de la cotización enviada y no responde estaba buscando una lavadora para edredones</t>
  </si>
  <si>
    <t>El celular ya sale operativo depues de estar apagado pero no responden se le dejó un mensaje a su whatsapp</t>
  </si>
  <si>
    <t>El Señor Condori va a viajar a Lima tiene previsto venir el Lunes 3 de Noviembre esta viendo otras opciones, le apareció adecuada el precio de la lavadora LG de 13 kilos</t>
  </si>
  <si>
    <t>Se le hizo seguimiento se le brindó mas información de la  marca Primus y también se le envió un video</t>
  </si>
  <si>
    <t>Se le escribió a su whatsapp para coordinar su visita y hoy respondió que han decidido por el momento no comprar</t>
  </si>
  <si>
    <t>00010-25</t>
  </si>
  <si>
    <t>La Sra Huamani viene en Diciembre para verlas fiscamente llamarala en quincena de Noviembre</t>
  </si>
  <si>
    <t>00011-25</t>
  </si>
  <si>
    <t>sociu</t>
  </si>
  <si>
    <t>Lurigancho Chosica</t>
  </si>
  <si>
    <t>Cliente solicitó información de lavadora Primus FX 280, Hoy respondió por Whatsapp e indicó que lava 50 kilos aprox, se le está recomendando una lavadora LG semiindustrial.Esta siendo clara cotizarle sin compromiso</t>
  </si>
  <si>
    <t>00018-25</t>
  </si>
  <si>
    <t>Se le llamó por celular  hoy nos respondió indicando que tercerizan con una lavandería en Chacalayo no nos dió el dato</t>
  </si>
  <si>
    <t>Se habló con recepcionista indicó que le enviaran información al correo registrado que es el mismo.Se le envió correo.</t>
  </si>
  <si>
    <t xml:space="preserve">Se hizo el filtro adecuado y pertenece al grupo de la competencia SERFRAC </t>
  </si>
  <si>
    <t>No hay respuesta del correo</t>
  </si>
  <si>
    <t>Rubenal Guevara/Liz Hurtado (Esposa a cargo del negocio)</t>
  </si>
  <si>
    <t>Dueños</t>
  </si>
  <si>
    <t>995550026/940186694</t>
  </si>
  <si>
    <t>No quiso darlo</t>
  </si>
  <si>
    <t>Lavandería Euros</t>
  </si>
  <si>
    <t>El señor Rubenal Guevara no quiso dar mucha información requerían mantenimiento pero les interesó conocer nuestro catálogo de máquinas LG semiindutriales.Se les envió presentación y catálogo.</t>
  </si>
  <si>
    <t>Recepción</t>
  </si>
  <si>
    <t>Hostal Los Balcones</t>
  </si>
  <si>
    <t>El señor Miguel indicó que el administrador/Dueño masomenos llega entre 12 a 2 pm mañana Miercoles 29 se intentrá localizarlo</t>
  </si>
  <si>
    <t>Poblet Hurtado Enrique</t>
  </si>
  <si>
    <t>El Señor Hurtado no quiso dar información sobre su requerimiento ni dara mas datos suyos, solo indicó que necesita una Lavadora de 30-34 kilos, al parecer esta solo consultando precios se  le envió primero una cotización de lavadora de 17 kilos LG</t>
  </si>
  <si>
    <t>00017-25</t>
  </si>
  <si>
    <t>El Señor Quiñones junto con su pareja(socia) indica que nos visitará el próximo Sábado 8 de Noviembre ya que este Sábado es feriado, en la semana se les hace complicado si pudiera antes nos avisa.</t>
  </si>
  <si>
    <t>Hoy intentamos contactarla por tercera vez y nos corta, se le ha dejado mensajes de seguimiento</t>
  </si>
  <si>
    <t>Se le timbró nuevamente al señor Carrasco por respuesta de la cotización enviada y no responde estaba buscando una lavadora para edredones hoy se le dejó otro tipo de mensaje a su whatsapp para interesarlo.</t>
  </si>
  <si>
    <t>Se volvió a llamar por tercera vez, no responde se dejó nuevo mensaje en whatsapp para interesarla</t>
  </si>
  <si>
    <t>Sr Campos</t>
  </si>
  <si>
    <t>Despues de varios intentos se le dejó un mensaje a su whatsapp nuevamente y respondió nos encontramos a la espera de contactarla</t>
  </si>
  <si>
    <t>Se hizo seguimiento con mensaje a whatsapp e indicó que esta evaluando otras propuestas parea decidir su compra máximo la segunda semana de Noviembre</t>
  </si>
  <si>
    <t>Se le llamó al celular y se le escribió nuevamente  a su whatsapp para interesarlo, respondió escribiendo si se pueden mejorar los precios se interesa por lavadora de 17 kilos y secadora de 15 kilos tiene otra proforma mas económica</t>
  </si>
  <si>
    <t>Se le hizo seguimiento hoy y respondió que mañana viene a la planta 2da visita, por confirmar la hora</t>
  </si>
  <si>
    <t>Se le hizo seguimiento hoy, respondió que mañana viene a la planta 2da visita, por confirmar la hora</t>
  </si>
  <si>
    <t>Luego de los seguimientos respondió el día Martes 28 de Octubre que han decidido por el momento no comprar</t>
  </si>
  <si>
    <t>Cliente solicitó información de lavadoras semiindustriales, no responde, se le dejó mensaje nuevamente en Whatsapp, el DNI dejado al aparecer está incorrecto no se le puede filtrar.</t>
  </si>
  <si>
    <t>Se le hizo seguimiento acerca de la cotización enviada no responde, se le dejó mensaje por whatsapp</t>
  </si>
  <si>
    <t>Ell dia Martes 28 de Octubre nos respondió indicando que tercerizan con una lavandería en Chacalayo no nos dió el dato</t>
  </si>
  <si>
    <t>Se habló con recepcionista nuevamente no ubicamos a la Sra Carpena.No hay respuesta en el correo</t>
  </si>
  <si>
    <t xml:space="preserve">Jenny hizo el filtro adecuado el dia Martes 28 de Octubre y pertenece al grupo de la competencia SERFRAC </t>
  </si>
  <si>
    <t>La Sra Hurtado manifestó brevemente que ella quiere equipos industriales pero no se pudo conversar al detalle por que está ocupada durante el día pidió que la llamen a las 9 pm</t>
  </si>
  <si>
    <t>El señor Miguel indicó que el administrador/Dueño masomenos llega entre 12 a 2 pm mañana Miercoles 29 se intentó localizarlo</t>
  </si>
  <si>
    <t>Conversamos con el  Sr. Hurtado por teléfono y manifestó que esta revisando varias cotizaciones.</t>
  </si>
  <si>
    <t>Lorenzo Moreno</t>
  </si>
  <si>
    <t>Jefe de Logistica</t>
  </si>
  <si>
    <t>asistente@kingdomhotelperu.com</t>
  </si>
  <si>
    <t>Hotel Kingdom</t>
  </si>
  <si>
    <t>Conversamos con la recepcionista y nos proprcionó el dato del jefe de Logistica para enviarle el correo y se envió catálogo</t>
  </si>
  <si>
    <t>Todavía no hay nombre</t>
  </si>
  <si>
    <t>Area de Compras</t>
  </si>
  <si>
    <t>Hotel Carrera</t>
  </si>
  <si>
    <t>Conversamos con recepción y al pasarnos al area de compras nos indicaron que lo llamemos a partir del 2 de Noviembre por estar en cierre por estar apurado no nos proporcionó el correo ni mas datos</t>
  </si>
  <si>
    <t>Javier  Gamarra</t>
  </si>
  <si>
    <t>Logistica/Compras</t>
  </si>
  <si>
    <t>2656691/944173301</t>
  </si>
  <si>
    <t>reservas@hotelsanremoperu.com</t>
  </si>
  <si>
    <t>Hotel San Remo</t>
  </si>
  <si>
    <t>Se habló con recepcionista nos proporcionó el whatsapp del hotel y nos indicó enviaramos nuestra información al correo que es el mismo de la Data, se envió catálogo</t>
  </si>
  <si>
    <t>Antonio</t>
  </si>
  <si>
    <t>Encargado del Hotel</t>
  </si>
  <si>
    <t>Hostal las Retamas</t>
  </si>
  <si>
    <t>Se habló con recepción nos brindó el celular del encargado del hotel Sr. Antonio pero no recuerda su apellido, indicó le escriban alli, se envió mensaje de presentación</t>
  </si>
  <si>
    <t>Hotel Los Olivos Inn</t>
  </si>
  <si>
    <t>Los Olivos</t>
  </si>
  <si>
    <t>Se habló con recepcionista nos dió el whatsapp del hotel indicando que alli enviemos nuestra información , no le está permitido dar ningún dato.Se envió presentación</t>
  </si>
  <si>
    <t>Hostal La Confianza</t>
  </si>
  <si>
    <t>Lunahuana</t>
  </si>
  <si>
    <t>La Recepcionista indicó que la administradora no se encontraba que llamaramos mañana a partir de las 10 am cuentan con lavandería.</t>
  </si>
  <si>
    <t>Sara Quiroga</t>
  </si>
  <si>
    <t>Administradora</t>
  </si>
  <si>
    <t>adm.suites@hotelesinkari.com</t>
  </si>
  <si>
    <t>Suites Hotel Inkari</t>
  </si>
  <si>
    <t>Magdalena</t>
  </si>
  <si>
    <t>La Recepcionista nos dió el dato del correo de la administradora indicando que alli le enviémos la i nformación y se le envió</t>
  </si>
  <si>
    <t>Logistica</t>
  </si>
  <si>
    <t>logistica.comunica@casa-andino.com</t>
  </si>
  <si>
    <t>Hoteles Casa Andino</t>
  </si>
  <si>
    <t>La Recepcionista nos dió el correo del encargado de logistica pero nada mas de información y se envió el correo.</t>
  </si>
  <si>
    <t>Sandro Valdez</t>
  </si>
  <si>
    <t>sandro.valdez@inkaterra.com</t>
  </si>
  <si>
    <t>Inkaterra Hotel</t>
  </si>
  <si>
    <t>Se habló con asistente del  señor  Valdez y nos indicó le enviaramos el correo y se le envió</t>
  </si>
  <si>
    <t>Jhonatan Feijo</t>
  </si>
  <si>
    <t>compras@hotelesjoseantonio.com</t>
  </si>
  <si>
    <t>Hotel Jose antonio</t>
  </si>
  <si>
    <t>Se habló con recepcion y nos indicó enviaramos el correo, es el mismo de la Data, se envió catálogo</t>
  </si>
  <si>
    <t>Ericka Armijo</t>
  </si>
  <si>
    <t>Administradora del Edificio</t>
  </si>
  <si>
    <t>administración.modo@proper.com.pe</t>
  </si>
  <si>
    <t>Proper Perú SAC</t>
  </si>
  <si>
    <t>San Miguel</t>
  </si>
  <si>
    <t>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t>
  </si>
  <si>
    <t>00019-25</t>
  </si>
  <si>
    <t>Nuevamente intentamos contactarla, se ha dejado varios mensajes al parecer no se encuentra interesado</t>
  </si>
  <si>
    <t>Al parecer ya no se encuentra interesado, se le ha dejado por varios días mensajes para retroalimentación, no responde</t>
  </si>
  <si>
    <t>Hoy se comunicó con nosotros su referida Ericka Armijo administradora del Edificio donde se implementará lavandería.</t>
  </si>
  <si>
    <t>No responden celular, se les dejó nuevo mensaje de seguimiento con foto</t>
  </si>
  <si>
    <t>Nos encontrabamos en espera de reunión de socios hoy no nos respondió el celular</t>
  </si>
  <si>
    <t>Se encuentra evaluando otras propuestas para decidir su compra máximo la segunda semana de Noviembre lo indicó ayer, hoy se timbró para retroalimentación y no responde</t>
  </si>
  <si>
    <t>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t>
  </si>
  <si>
    <t>Hoy viene a la planta por segunda vez, posible compra</t>
  </si>
  <si>
    <t>Al Sr. Mogollón se le ha timbrado y dejado mensajes de seguimiento, no responde.</t>
  </si>
  <si>
    <t>Se le hizo seguimiento acerca de la cotización enviada nuevamente no responde, se le dejó mensaje por whatsapp</t>
  </si>
  <si>
    <t>Hoy nos indicaron que la Sra. Rosario Carpena no viene hasta despues del día Martes 4 de Noviembre, se volverá a intectar contactarla</t>
  </si>
  <si>
    <t>Hoy no respondió, se intentará hablar con ella en el horario indicado 9 PM</t>
  </si>
  <si>
    <t>El día de ayer conversamos con el  Sr. Poblet por teléfono y manifestó que esta revisando varias cotizaciones. Hoy le escribimos mensaje de seguimiento.</t>
  </si>
  <si>
    <t>No hay respuesta del correo enviado ayer</t>
  </si>
  <si>
    <t>No hay respuesta en Whatsapp del hotel, se solicito datos para persona de contacto.</t>
  </si>
  <si>
    <t>Sr. Antonio</t>
  </si>
  <si>
    <t>Recepcionista indicó ya le dió el mensaje al Sr. Antonio, encargado del hotel, cualquier cosita comunican.</t>
  </si>
  <si>
    <t>Informaron solamente que ya cuentan con proveedor</t>
  </si>
  <si>
    <t>Recepcionista manifestó que por el momento no hay requerimiento pero que dejemos la información al Whatsapp se dejó mensaje de presentación.</t>
  </si>
  <si>
    <t>Se le timbró hoy al celular se encontraba en reunión no podía hablar, se le dejó mensaje en whatsapp de seguimiento y luego nos respondió indicando que hoy en la tarde tienen revisión de proformas.</t>
  </si>
  <si>
    <t>No se encuentra interesado, no responde ni telefono, ni mensajes</t>
  </si>
  <si>
    <t>Manifestó por whatsapp que él se comunicará con nosotros</t>
  </si>
  <si>
    <t>El día Jueves 30 se comunicó con nosotros su referida Ericka Armijo</t>
  </si>
  <si>
    <t>Indican que todavía no se encuentran interesados</t>
  </si>
  <si>
    <t>Sra Rosangela Rosales</t>
  </si>
  <si>
    <t>Asistente del dueño</t>
  </si>
  <si>
    <t>corporativo@hotelelangolo.com.pe</t>
  </si>
  <si>
    <t>El día de hoy nos proporcionaron el contacto de la asistente del dueño Srta. Rosangela Rosales, la llamamos y nos manifestó que le enviaramos la información por whatsapp (El Angolo es un grupo de 6 hoteles)Al obtener su correo también enviamos el catálogo</t>
  </si>
  <si>
    <t>Queria implementar lavandería, nos encontrabamos en espera de reunión de socios pero no nos responde el celular</t>
  </si>
  <si>
    <t>Lavandería La Solución</t>
  </si>
  <si>
    <t>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t>
  </si>
  <si>
    <t>Desea  implementar lavandería, sigue evaluando propuestas, se habló de nuestros productos y beneficios su compra máximo segunda semana de Noviembre, se le comunicó que por su compra inmediata se le puede hacer un precio especial.</t>
  </si>
  <si>
    <t>Se le timbró nuevamente al celular comunicandole el ajuste y dará respuesta el dia Lunes 3 de Noviembre por tener proforma de la competencia, se le emitió nueva cotización</t>
  </si>
  <si>
    <t>00020-25</t>
  </si>
  <si>
    <t>Sr. Ureta se ha interesado en separar calandría, nos avisará cuando realize el pago</t>
  </si>
  <si>
    <t xml:space="preserve">00021-25 </t>
  </si>
  <si>
    <t>Cotización de Lavadora, Sr Ureta manifiesta que ha solicitado un préstamo</t>
  </si>
  <si>
    <t xml:space="preserve">00022-25 </t>
  </si>
  <si>
    <t>La Sra. Huamani viene en Diciembre para verlas fiscamente llamarla en quincena de Noviembre</t>
  </si>
  <si>
    <t>El día de ayer Jueves 30 de Octubre al comunicarnos manifestaron que la Sra. Rosario Carpena no viene hasta despues del día Martes 4 de Noviembre, se volverá a intectar contactarla</t>
  </si>
  <si>
    <t>No responde, se intentará hablar con ella nuevamente en el horario indicado 9 PM</t>
  </si>
  <si>
    <t>Hoy respondieron que no se encuentran interesados</t>
  </si>
  <si>
    <t>El señor Poblet manifestó que ya tomaron decisión con otro proveedor, se le hicieron algunas preguntas para conocer el motivo no respondió</t>
  </si>
  <si>
    <t>No hay respuesta en Whatsapp del hotel</t>
  </si>
  <si>
    <t>No hay respuesta en Whatsapp del hotel no nos dieron mas información</t>
  </si>
  <si>
    <t>Janet Torpoco</t>
  </si>
  <si>
    <t>Encargada del hotel</t>
  </si>
  <si>
    <t>riviera@hotelessanagustin.com.pe</t>
  </si>
  <si>
    <t>Hotel San Agustin Riviera</t>
  </si>
  <si>
    <t>Nos brindaron el contacto de la encaragada del hotel y se envió correo</t>
  </si>
  <si>
    <t>Sr. Martin</t>
  </si>
  <si>
    <t>Encargado de Operaciones</t>
  </si>
  <si>
    <t>operaciones@mariel-hotel.com</t>
  </si>
  <si>
    <t>Hotel Mariel</t>
  </si>
  <si>
    <t>Nos brindaron correo del area y se envió catálogo</t>
  </si>
  <si>
    <t>Beatriz Jibaja</t>
  </si>
  <si>
    <t>loscisnesdelmarsano@hotmail.com</t>
  </si>
  <si>
    <t>Hotel los cisnes del Marsano</t>
  </si>
  <si>
    <t>Santiago Quispe</t>
  </si>
  <si>
    <t>almacen.cp@otphoteles.com</t>
  </si>
  <si>
    <t>Hotel Crowne Plaza</t>
  </si>
  <si>
    <t>Sr. Vasquez</t>
  </si>
  <si>
    <t>Encargado</t>
  </si>
  <si>
    <t>elfarolito.hotel@gmail.com</t>
  </si>
  <si>
    <t>Hotel El Farolito</t>
  </si>
  <si>
    <t>Srta. Maribel</t>
  </si>
  <si>
    <t>cuentas@hotelboulevard.com.pe</t>
  </si>
  <si>
    <t>Hotel Boulevard</t>
  </si>
  <si>
    <t>Leonardo Rodriguez</t>
  </si>
  <si>
    <t>leonardo.rodriguez@decapolisperu.com</t>
  </si>
  <si>
    <t>Radisson Hotel &amp; Suites</t>
  </si>
  <si>
    <t>Luis Maldonado</t>
  </si>
  <si>
    <t>luis_maldonado2000@hotmail.com</t>
  </si>
  <si>
    <t>Hotel Solis Dies</t>
  </si>
  <si>
    <t>Hotel Santa Cruz</t>
  </si>
  <si>
    <t>Se envió información al whatsapp del hotel</t>
  </si>
  <si>
    <t>reservas@hotelvilasanta.com</t>
  </si>
  <si>
    <t>Hotel Vila Santa</t>
  </si>
  <si>
    <t>kontiki.miraflores.peru@gmail.com</t>
  </si>
  <si>
    <t>Hostal Kon Tiki</t>
  </si>
  <si>
    <t>Nos comunicamos por teléfono con interrupciones pero lo volvimos a llamar, se envió mensaje para coordinar una proxima llamada y aterrizar fecha de visita porque comentó que visitaría entre el 7 y 10 de noviembre</t>
  </si>
  <si>
    <t>Se decidió por la competencia, la diferencia de precios en los equipos no fue mucha, lo que le motivó la compra fue el envío y puesta en marcha gratuitos. Por otro lado en 1 mes aprox va a necesitar más equipos, para el seguimiento respectivo</t>
  </si>
  <si>
    <t>El Señor Quiñones junto con su pareja(socia) indica que nos visitará este Sábado 8 de Noviembre. Ya enviaron datos para el permiso de ingreso, están decidiendo locales, fecha estimada de compra fines de noviembre</t>
  </si>
  <si>
    <t>la Sra Annie, sigue pensando en viajar a Lima para ver los equipos, el contacto fue para definir la fecha de visita, pero estaba en SUNAT, coordinamos para hablar por whatsapp, se le dejó mensaje</t>
  </si>
  <si>
    <t>Volvi a contactar a la sra para definir fecha de viaje, pero no contesta, se le llamó y envió mensaje por whatsapp</t>
  </si>
  <si>
    <t>Luis Ángel Gutiérrez</t>
  </si>
  <si>
    <t>jorge Alfredo Sandoval Arteaga</t>
  </si>
  <si>
    <t>Gerente/Titular</t>
  </si>
  <si>
    <t>transportes.jasa61@gmail.com</t>
  </si>
  <si>
    <t>trasporte jasa10</t>
  </si>
  <si>
    <t>Piura</t>
  </si>
  <si>
    <t>Nos comunicamos con el señor pero nos indica que sus trabajadores se han independizdo por lo tanto no requieren nigun sevicio de equipamiento industrial. Se le adjunta video en whatsaap de la empresa.</t>
  </si>
  <si>
    <t>pendiente</t>
  </si>
  <si>
    <t>ALEJO GRADOS PILAR CECILIA</t>
  </si>
  <si>
    <t>Trabajador</t>
  </si>
  <si>
    <t>davidmoreno7353@gmail.com</t>
  </si>
  <si>
    <t>JMD</t>
  </si>
  <si>
    <t>Nos comunicamos con el señor. Pidio que le mandaramos el catalogo por whatsapp.</t>
  </si>
  <si>
    <t>Patricia Alarcon</t>
  </si>
  <si>
    <t>administradora</t>
  </si>
  <si>
    <t>patriciaalarcon889@gmail.com</t>
  </si>
  <si>
    <t>F y R Inversiones Comercio y Servicio</t>
  </si>
  <si>
    <t>Atendio la llamada pero no quiere dar información, niega pedir el servicio antes y no quiere nigun tipo de documentos por ningún medio.</t>
  </si>
  <si>
    <t>PAREDESMATTA90@GMAIL.COM</t>
  </si>
  <si>
    <t>Javier Paredes</t>
  </si>
  <si>
    <t>No atendio la llamada, sin embargo contesto el mensaje dando las gracias.</t>
  </si>
  <si>
    <t>skemyherlinyolimar@gmail.com</t>
  </si>
  <si>
    <t>Kemyherlin yolimar sequera martinez</t>
  </si>
  <si>
    <t>lima</t>
  </si>
  <si>
    <t>no atendio y no quiso infirmacion</t>
  </si>
  <si>
    <t>(01) 7090000</t>
  </si>
  <si>
    <t>eventos@losincas.com.pe</t>
  </si>
  <si>
    <t>Hotel los Incas</t>
  </si>
  <si>
    <t>deribaron a Lavaquick/ Ya se hizo contacto y se llamará hoy</t>
  </si>
  <si>
    <t>Yoel Cajo cosanatan</t>
  </si>
  <si>
    <t>Novio de la dueña</t>
  </si>
  <si>
    <t>Yoel Cajo Cosanatan</t>
  </si>
  <si>
    <t>Esta interesado y necesita el equipo de lavanderia para su hotel. Pidio mas informacion en su telefono</t>
  </si>
  <si>
    <t>karilin4369@gmail.com</t>
  </si>
  <si>
    <t>Liliana Karina Cachan Barzola</t>
  </si>
  <si>
    <t>Necesitaba una doméstica solo la usa 1 vez por semana/ No necesita una industrial</t>
  </si>
  <si>
    <t>Esther ruth</t>
  </si>
  <si>
    <t>ruthvc335@gmail.com</t>
  </si>
  <si>
    <t>Ester Rhut</t>
  </si>
  <si>
    <t>Se le envio nuevamente un mensaje por via Whatsaap.</t>
  </si>
  <si>
    <t>Anthonygarcia982@gmail.com</t>
  </si>
  <si>
    <t>Anthony Guevara</t>
  </si>
  <si>
    <t>Se envió un mensaje de seguimiento</t>
  </si>
  <si>
    <t>Leyser</t>
  </si>
  <si>
    <t>SANTOSLEYSERMOSTACEROPLASENCIA@GMAIL.COM</t>
  </si>
  <si>
    <t>Se le envió el catalogo y el mensaje respectivo por whatsapp</t>
  </si>
  <si>
    <t>Andy Bolivar</t>
  </si>
  <si>
    <t>andybolivar011@gmail.com</t>
  </si>
  <si>
    <t>Se llamo tres veces y no contesto</t>
  </si>
  <si>
    <t>Piero Mavila</t>
  </si>
  <si>
    <t>PMMAVILA@OUTLOOK.ES</t>
  </si>
  <si>
    <t>SE LLAMO TRES VECES Y NO CONTESTO</t>
  </si>
  <si>
    <t>Viviana Leyton Venegas</t>
  </si>
  <si>
    <t>charitoleyton27@gmail.com</t>
  </si>
  <si>
    <t>Va a iniciar su empresa de lavanderia, me pidio que le envie el catalogo por via whatsapp</t>
  </si>
  <si>
    <t>Elmer Galindo</t>
  </si>
  <si>
    <t>EGALIBDO222@HOTMAIL.COM</t>
  </si>
  <si>
    <t>Kennet Levy</t>
  </si>
  <si>
    <t>KENNETHLEVYG@GMAIL.COM</t>
  </si>
  <si>
    <t>No esta interesado y no quiere nuestros servicios</t>
  </si>
  <si>
    <t>Kuwae Higa Dorys Beatriz</t>
  </si>
  <si>
    <t>lavanderiacityplus.com</t>
  </si>
  <si>
    <t>Lavandría CityPlus</t>
  </si>
  <si>
    <t>San borja</t>
  </si>
  <si>
    <t>Lavanderia Comercial</t>
  </si>
  <si>
    <t>Se pidio el catalogo y nos dio su numero</t>
  </si>
  <si>
    <t>-</t>
  </si>
  <si>
    <t>Eduardo Valera</t>
  </si>
  <si>
    <t>Propietario</t>
  </si>
  <si>
    <t>Casa de Reposo Señor de los milagros</t>
  </si>
  <si>
    <t>Club Adulto Mayor</t>
  </si>
  <si>
    <t>Se coordino una cita para el viernes. Se intereso por ver las maquinas</t>
  </si>
  <si>
    <t>Miranda Castillo Helard Juan</t>
  </si>
  <si>
    <t>Lavandería San Antonio</t>
  </si>
  <si>
    <t>Se informo que los equipos industriales que usan ya requieren cambios porque estan muy usados y antiguos/Me dio un numero de la tienda central/ Tiene una propia planta.</t>
  </si>
  <si>
    <t>Moreno Carrascal Javier Enrique</t>
  </si>
  <si>
    <t>aquariuslaundryy@gmail.com</t>
  </si>
  <si>
    <t>Aquarius Lavandería</t>
  </si>
  <si>
    <t>Se dio el numero de la administradora, madre del gerente de la lavandería. (Necesitan repuestos o insumos)</t>
  </si>
  <si>
    <t>Mazuelos Monges Carlos Enrique/Selem Ramirez Jessica del Rocio</t>
  </si>
  <si>
    <t>Administración</t>
  </si>
  <si>
    <t>contacto@klix.pe</t>
  </si>
  <si>
    <t>Lavandería KLIX</t>
  </si>
  <si>
    <t>Se dio el numero de administración para hablar con el cliente, no se montro interes</t>
  </si>
  <si>
    <t>Pareja Mendoza Sonia</t>
  </si>
  <si>
    <t>941 330 991</t>
  </si>
  <si>
    <t>mariojca17@gmail.com</t>
  </si>
  <si>
    <t>Súper Rápido</t>
  </si>
  <si>
    <t>Nos pidieron un mensaje para ver mas información de la empresa</t>
  </si>
  <si>
    <t>Reich Pinedo Jesus Imelda</t>
  </si>
  <si>
    <t>alavanderia2021.com@gmail.com</t>
  </si>
  <si>
    <t>La Lavandería</t>
  </si>
  <si>
    <t>La tienda se encontró cerrada</t>
  </si>
  <si>
    <t>Mesias Salazar de Chea Betzabee Dolores</t>
  </si>
  <si>
    <t>lavanderia.aton@gmail.com</t>
  </si>
  <si>
    <t>Lavandería Aton</t>
  </si>
  <si>
    <t>Nos pidió información y el dia de mañana, pasar el catalogo</t>
  </si>
  <si>
    <t>Acosta Zarez María Fausts</t>
  </si>
  <si>
    <t>Lavanderia Germana</t>
  </si>
  <si>
    <t>No mostro interes el trabajador, pero dio un numero de consulta</t>
  </si>
  <si>
    <t>Vega Costa Juan Manuel</t>
  </si>
  <si>
    <t>2253459/947 296 023</t>
  </si>
  <si>
    <t>clean.surco@yahoo.com</t>
  </si>
  <si>
    <t>Clean &amp; Clean</t>
  </si>
  <si>
    <t>Me dió el mismo numero que la pagina de facebook, tiene vaeias sucursales</t>
  </si>
  <si>
    <t>Lavado Arroyo Elmer Erick</t>
  </si>
  <si>
    <t>lavarred@gmail.com</t>
  </si>
  <si>
    <t>Lavarred</t>
  </si>
  <si>
    <t>No se presentan trabajadores</t>
  </si>
  <si>
    <t>IPARRAGUIRRE HONORES YOSELIN VANESA</t>
  </si>
  <si>
    <t>joseluisneyra@outlook.com</t>
  </si>
  <si>
    <t>Super Clean/ Surquillo</t>
  </si>
  <si>
    <t>surquillo</t>
  </si>
  <si>
    <t>La gerente Sara me dió su numero, ahi se mandrá el mensaje correspondiente/ Esta interesada a futuro en el servicio de autolavado, pregunto si temdriamos esa información</t>
  </si>
  <si>
    <t>PONCE DE LEON MELENDEZ MOISES DAVID</t>
  </si>
  <si>
    <t>12721911/945 773 289</t>
  </si>
  <si>
    <t>lavatodolavanderias@gmail.com</t>
  </si>
  <si>
    <t>Lavatodo</t>
  </si>
  <si>
    <t>Me pidieron el costo de la secadora industrial/ Le vamos a solicitar la brindar la información/ No quiso que entre al establecimiento</t>
  </si>
  <si>
    <t>Thalia Verano</t>
  </si>
  <si>
    <t>Punto de Lavado</t>
  </si>
  <si>
    <t>Se me entrego el numero de la Gerente Thalia Verano</t>
  </si>
  <si>
    <t>Manrique Novoa Gonzalo Alberto</t>
  </si>
  <si>
    <t>902 558 156</t>
  </si>
  <si>
    <t>servicios.lavagyn@gmail.com</t>
  </si>
  <si>
    <t>LAVANDERIA GYNEXPRESS</t>
  </si>
  <si>
    <t>Surquillo</t>
  </si>
  <si>
    <t>Pidieron el catalogo, no quisieron dar el numero ni el correo</t>
  </si>
  <si>
    <t>RODRIGUEZ TORRES JORGE ERASMO</t>
  </si>
  <si>
    <t>informes@ecocleangestion.com.pe</t>
  </si>
  <si>
    <t>ECO CLEAN/LANNACLEAN</t>
  </si>
  <si>
    <t>El gerente solicito insumos, la cotizacion esta pendiente/ Tiene equipos primus. Se le ofreció equipos de lavadoras industriales pero no se intereso.</t>
  </si>
  <si>
    <t>PONCE SANCHEZ ZAIDA NELLY</t>
  </si>
  <si>
    <t>955 037 996</t>
  </si>
  <si>
    <t>lavadorita.peru@gmail.com</t>
  </si>
  <si>
    <t>LAVADORITA</t>
  </si>
  <si>
    <t>La gerente se llama Zaira/ Cuentan con equipo industrial nuevo</t>
  </si>
  <si>
    <t>MAYORGA ZARATE JUAN MAURICIO</t>
  </si>
  <si>
    <t>943 335 136</t>
  </si>
  <si>
    <t>LAVAPRO</t>
  </si>
  <si>
    <t>Se interesaron en la mesa de planchado</t>
  </si>
  <si>
    <t>CIEZA SALDIVAR MAGALI DEL ROCIO</t>
  </si>
  <si>
    <t>Personal</t>
  </si>
  <si>
    <t>Lavandería principal</t>
  </si>
  <si>
    <t>Se les dejo solo el catalogo presencial en la Lavanderia</t>
  </si>
  <si>
    <t>BRAGA ANGULO PAULO CESAR</t>
  </si>
  <si>
    <t>ecolaund.lavanderias@gmail.com</t>
  </si>
  <si>
    <t>Lavanderia Ecolaund</t>
  </si>
  <si>
    <t>Me pidieron informacion vía whatsapp</t>
  </si>
  <si>
    <t>Edilberto Kau Rivasplata</t>
  </si>
  <si>
    <t>lavanderiarivasplata@gmail.com</t>
  </si>
  <si>
    <t>LAVANDERIA RIVASPLATA</t>
  </si>
  <si>
    <t xml:space="preserve">
10419329032</t>
  </si>
  <si>
    <t>Comunicarme con el numero y mandar el catalogo via whatsapp</t>
  </si>
  <si>
    <t>LIMA</t>
  </si>
  <si>
    <t>Se hizo llamada con el señor Ozuna, pide y se visiona con tres lavadoras, tres secadoras, aun no tiene nada, pero se dedida al rubro de limpieza y lavado, piensa lavar frazadas ropa y colchas, 60 y 80kilos de ropa por día</t>
  </si>
  <si>
    <t>hotelero</t>
  </si>
  <si>
    <t>mailto:jcosanatan@gmail.com</t>
  </si>
  <si>
    <t>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t>
  </si>
  <si>
    <t>Se le entrego el catalogo y mensaje por whatsapp</t>
  </si>
  <si>
    <t>Agendamos una cita en llamada para las 7pm.</t>
  </si>
  <si>
    <t>Se le dejo un mensaje explicando el motivo de la llamada la fecha anterior, y se le pregunto si esta interesado.</t>
  </si>
  <si>
    <t>Se comprobó que maneja tres lavadoras samnsung</t>
  </si>
  <si>
    <t>Lavanderia San Antonio</t>
  </si>
  <si>
    <t>Siguiendo con lo conversado en la visita se hizo un seguimiento anotando las debilidades de la lavandería, que los equipos ya estan usados</t>
  </si>
  <si>
    <t>Se hizo su respectivo seguimiento, incitando una visita a la planta</t>
  </si>
  <si>
    <t>Se hizo seguimiento y se madó el catalogo virtual</t>
  </si>
  <si>
    <t>Se volvió a enviar el mensaje/ Parece que es un numero equivocado recibido de esa visita</t>
  </si>
  <si>
    <t>No se encontró el numero de dicha Lavandería</t>
  </si>
  <si>
    <t>Lavanderia Aton</t>
  </si>
  <si>
    <t>Se le adjunto el catálogo y se hizo el respectivo seguimiento</t>
  </si>
  <si>
    <t>Lavandería Germana</t>
  </si>
  <si>
    <t>Se hizo seguimiento entregando el catalogo, además se dejo en claro una visita para la planta</t>
  </si>
  <si>
    <t>Adjunte el catalogo junto con los datos necesaios para una cotización</t>
  </si>
  <si>
    <t>Se mando el catalogo y se brindo informacion acerca de tecnologia como metodo de pago/ Lavadoras de autoservicio.</t>
  </si>
  <si>
    <t>Se Hará llamada preguntando si sigue interesado en la cotizacion de la lavanderia industrial/ De igual manera se brindó el catalogo</t>
  </si>
  <si>
    <t>Se hizo el seguimiento a la gerente/ Se le brindó el catalogo</t>
  </si>
  <si>
    <t>Se mando el catalogo para mostrar interes o si aún quieren comprar mas equipos industriales</t>
  </si>
  <si>
    <t>Se hizo seguimiento y se mando el catalogo/ Se programara una llamada</t>
  </si>
  <si>
    <t>Catalogo adjuntado</t>
  </si>
  <si>
    <t>Veliz Express</t>
  </si>
  <si>
    <t>Solo dieron volantes</t>
  </si>
  <si>
    <t>AYVAR VALLEJO ELIANA NISKAR</t>
  </si>
  <si>
    <t>Elizabethroblesprado842@gmail.com</t>
  </si>
  <si>
    <t>Lava full</t>
  </si>
  <si>
    <t>Converse con el dueño, vio el catalogo, sus lavadoras no se veían</t>
  </si>
  <si>
    <t>RODRIGUEZ MADERA JOSE LUIS</t>
  </si>
  <si>
    <t>933 362 582</t>
  </si>
  <si>
    <t>instagram.com/lavanderialavalux_</t>
  </si>
  <si>
    <t>LavaLUX</t>
  </si>
  <si>
    <t>Si esta intereada en comprar a futuro una nueva lavadora industrial, abrirá nuevo local, no quiso dar datos pero cuando tenga espacio nos llamará</t>
  </si>
  <si>
    <t>BOULOS DE MUFARECH TERESA</t>
  </si>
  <si>
    <t>drycleanersperu@gmail.com</t>
  </si>
  <si>
    <t>Dry Cleanning</t>
  </si>
  <si>
    <t>Me dieron el numero de la gerente, sin embargo no contesto, no quisieron dar el reuc, esta de baja de oficio.</t>
  </si>
  <si>
    <t>DIAZ HORNA JHEN BLADIMIR</t>
  </si>
  <si>
    <t>956 723 114</t>
  </si>
  <si>
    <t>atencionalcliente@puntoblanco.pe</t>
  </si>
  <si>
    <t>Punto Blanco</t>
  </si>
  <si>
    <t>lavanderia Comercial</t>
  </si>
  <si>
    <t>Cuentan con su propia planta/ me dieron este correo Pbchacarilla@gmail.com</t>
  </si>
  <si>
    <t>MOSSONI FESTA NICOLA</t>
  </si>
  <si>
    <t>style.clean101@gmail.com</t>
  </si>
  <si>
    <t>Lavandería Style &amp; Clean</t>
  </si>
  <si>
    <t>Cuentan con Lavado al seco y Lavadoras industriales.</t>
  </si>
  <si>
    <t>TOKUMOTO GUIBU MIGUEL</t>
  </si>
  <si>
    <t>998 169 085</t>
  </si>
  <si>
    <t>Lavanderia Chacarilla</t>
  </si>
  <si>
    <t>Se dejo el catalogo al personal para que lo vea el gerente</t>
  </si>
  <si>
    <t>AYVAR CEVALLOS DANTE ELIAS</t>
  </si>
  <si>
    <t>info@lavatec.com</t>
  </si>
  <si>
    <t>LavaTec</t>
  </si>
  <si>
    <t>VASQUEZ VERA DE GIBU IRIS MARISOL</t>
  </si>
  <si>
    <t>Olympia Laundry</t>
  </si>
  <si>
    <t>https://www.instagram.com/olimpialaundry/?hl=es</t>
  </si>
  <si>
    <t>Su ruc esta en baja de Oficio.</t>
  </si>
  <si>
    <t>CARRION DEL SOLAR ANDRES FELIPE/DRAGO MATURO MIGUEL MARIO</t>
  </si>
  <si>
    <t>981 136 452</t>
  </si>
  <si>
    <t>delivery@lavaquick.com</t>
  </si>
  <si>
    <t>Es cliente del Hotel los incas, traen máquinas usadas de EEUU</t>
  </si>
  <si>
    <t>Li Chu Miguel Angel</t>
  </si>
  <si>
    <t>(01) 2243563</t>
  </si>
  <si>
    <t>Hennesy</t>
  </si>
  <si>
    <t xml:space="preserve">20380807255
</t>
  </si>
  <si>
    <t>San Borja</t>
  </si>
  <si>
    <t>No quiso brindar información</t>
  </si>
  <si>
    <t>956 677 820</t>
  </si>
  <si>
    <t>Lavanderia Bellas Artes</t>
  </si>
  <si>
    <t>Me dió información de la planta Sagita. numero 993 515137</t>
  </si>
  <si>
    <t>Pomasoncco Quispe Kyle Yasmin</t>
  </si>
  <si>
    <t>lavanderiajys.iqt@gmail.com</t>
  </si>
  <si>
    <t xml:space="preserve">Lavanderia J Y S </t>
  </si>
  <si>
    <t xml:space="preserve">
20612603171</t>
  </si>
  <si>
    <t>Tienen lavadoras no industriales, se les explico el funcionamiento de estas pero no estan interesados ya que sus lavadoras son nuevas</t>
  </si>
  <si>
    <t>No existe</t>
  </si>
  <si>
    <t>Jorge Rosales</t>
  </si>
  <si>
    <t>Hostal HS AR</t>
  </si>
  <si>
    <t xml:space="preserve">No encontré </t>
  </si>
  <si>
    <t>Tienen garantia con sus lavadoras, cambian su repuesto cada 3 años</t>
  </si>
  <si>
    <t xml:space="preserve">	Crisostomo Pañera Yydalia Nelita</t>
  </si>
  <si>
    <t>........................</t>
  </si>
  <si>
    <t xml:space="preserve">America Clean </t>
  </si>
  <si>
    <t>No quiso dar datos, tienen lavadoras comunes, de dejo el numero</t>
  </si>
  <si>
    <t>No hay información</t>
  </si>
  <si>
    <t>Rodriguez Madera José Luis</t>
  </si>
  <si>
    <t>Lavalux</t>
  </si>
  <si>
    <t xml:space="preserve">
instagram.com/lavanderialavalux_</t>
  </si>
  <si>
    <t>No necesitan Lavadoras industriales, para el proximo año si, piensan expadirse</t>
  </si>
  <si>
    <t xml:space="preserve">	Canales Motta Lizardo</t>
  </si>
  <si>
    <t>929 751 557</t>
  </si>
  <si>
    <t>Hotel Palomar</t>
  </si>
  <si>
    <t>No cuentan con lavanderia industrial, su secadora común se malogró, la empleada es reacia no dejo numero</t>
  </si>
  <si>
    <t>Echegaray Cuba de Gamarra Elizabeth</t>
  </si>
  <si>
    <t>(01) 3460119</t>
  </si>
  <si>
    <t>hospedajelavidena@hotmail.com</t>
  </si>
  <si>
    <t>La Videna Hospedaje</t>
  </si>
  <si>
    <t>Proveedor que lava sus ropas (Rama Textil servicios sac) La direccion de la planta es Av Circunvalación numero 2643 interior Ps 03</t>
  </si>
  <si>
    <t>LI CHU ALEX HONORIO</t>
  </si>
  <si>
    <t>(01) 3081668/936828461</t>
  </si>
  <si>
    <t>Hostal Blue Sky</t>
  </si>
  <si>
    <t>Aviación</t>
  </si>
  <si>
    <t>No estuvieron interesados en lavadoras industriales y tienen su propia lavanderia, no me quiso pasar el dato</t>
  </si>
  <si>
    <t xml:space="preserve">	Auris Marca Teodorico</t>
  </si>
  <si>
    <t xml:space="preserve"> reservas@hotelnova.com/ pamimasac@gmail.com</t>
  </si>
  <si>
    <t>Hotel Nova</t>
  </si>
  <si>
    <t>Cuentan con muchas lavadoras dentro. Son las normales</t>
  </si>
  <si>
    <t xml:space="preserve">	Medina Miranda Daniel Franklin</t>
  </si>
  <si>
    <t>Hotel El Prado</t>
  </si>
  <si>
    <t>En el local se lava todo/ Solo pude rescatar esa información</t>
  </si>
  <si>
    <t xml:space="preserve">	Cconcha Leon Sixto</t>
  </si>
  <si>
    <t>1 2231925</t>
  </si>
  <si>
    <t>Hostal Dubai Ynn</t>
  </si>
  <si>
    <t>Aviacion</t>
  </si>
  <si>
    <t>Se lava en el hotel, se compro las lavadoras recientemente, la administradora no esta interesada por el momento</t>
  </si>
  <si>
    <t>......</t>
  </si>
  <si>
    <t>Lavanderia del Norte</t>
  </si>
  <si>
    <t>..............</t>
  </si>
  <si>
    <t>Con disponibilidad para ver el catalogo virtual, menejan muchas lavadoras</t>
  </si>
  <si>
    <t>Boullosa Chavez Kevin</t>
  </si>
  <si>
    <t>942432101/957347260</t>
  </si>
  <si>
    <t>Mr. Cleaning</t>
  </si>
  <si>
    <t>Dicen que ya trabajan con nosotros/ Tienen la LG  titan</t>
  </si>
  <si>
    <t>Empleado</t>
  </si>
  <si>
    <t>.........</t>
  </si>
  <si>
    <t>940 294 802</t>
  </si>
  <si>
    <t>Lavanderia Lavaphilp</t>
  </si>
  <si>
    <t xml:space="preserve">
instagram.com/lavaphilp</t>
  </si>
  <si>
    <t>Tienen lavado automatico, con lavadoras industriales</t>
  </si>
  <si>
    <t>Xu Wanyi/Chi Hen Yuen/Yang Haizhao</t>
  </si>
  <si>
    <t>Gerentes</t>
  </si>
  <si>
    <t>Gold Source Hotel</t>
  </si>
  <si>
    <t>Cuentan con lavadoras y secadoras industriales primus</t>
  </si>
  <si>
    <t>Florez Loo de Li Magaly Vanessa</t>
  </si>
  <si>
    <t>(01) 7131721</t>
  </si>
  <si>
    <t>hotelasiatika.com</t>
  </si>
  <si>
    <t>Hotel Asiatika</t>
  </si>
  <si>
    <t>https://www.facebook.com/p/Asiatika-Hotel-100057112253649/?locale=es_LA</t>
  </si>
  <si>
    <t>Ya le vinieron a ofrecer de otros sitios. Recalque la importancia de la empresa</t>
  </si>
  <si>
    <t xml:space="preserve">	Acevedo Portillo Gruyer Ubaldo</t>
  </si>
  <si>
    <t>01 2720045</t>
  </si>
  <si>
    <t>hostal.blois@gmail.com</t>
  </si>
  <si>
    <t>Hostal Blois</t>
  </si>
  <si>
    <t>El encargado me dijo que no puede brindarme esa información que usualmente el jefe esta de 12 a 1. Lavan todo dentro del hotel</t>
  </si>
  <si>
    <t>Espinoza Chavez Solange</t>
  </si>
  <si>
    <t>Dueña de restaurante</t>
  </si>
  <si>
    <t>espinozacsolange30@gmail.com</t>
  </si>
  <si>
    <t>https://www.linkedin.com/in/solange-espinoza-chavez-192426356/?originalSubdomain=pe</t>
  </si>
  <si>
    <t xml:space="preserve">Se contacto con la señorita pero no contesto las tres veces, de igual manera se le envió el catalogo con la presentación de la empresa por via whatssapp. Ademas en su linkedin sale como dueña de un chifa "El olivar" que esta ubicado en Lima Callao. Se intereso por una Lavadora Industrial Rigida Centrifuga </t>
  </si>
  <si>
    <t>Armando Alexis Diego</t>
  </si>
  <si>
    <t>Veterinario/Dueño</t>
  </si>
  <si>
    <t>adaas_19@hotmail.com</t>
  </si>
  <si>
    <t>https://www.linkedin.com/in/alexis-diego-armando-araujo-sanchez-21a606125/?originalSubdomain=pe</t>
  </si>
  <si>
    <t>Chiclayo</t>
  </si>
  <si>
    <t>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t>
  </si>
  <si>
    <t>Hubner Salas Arturo Moises</t>
  </si>
  <si>
    <t>info@sagitasa.com.pe</t>
  </si>
  <si>
    <t>Sagita sociedad Anonima Cerrada - Sagita S.A.C.</t>
  </si>
  <si>
    <t>https://sagitasa.com.pe/</t>
  </si>
  <si>
    <t>Calllao</t>
  </si>
  <si>
    <t>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t>
  </si>
  <si>
    <t>970 175 949</t>
  </si>
  <si>
    <t>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t>
  </si>
  <si>
    <t>Hicimos seguimiento al señor Ozuna, sin embargo el ya encontro otros precios mas económicos.</t>
  </si>
  <si>
    <t>Se llamo a Eco Lara para poder  comunicarme mas directamente con su gerente, dejo el correo electronico para una comunicaciòn mas directa. se hizo seguimiento.</t>
  </si>
  <si>
    <t>Se hizo una videollamada con. el señor Yoel en la planta de Effameinsa, se le mostro todas las maquinas industriales y la lavadora Titan max LG 17 kg. Quedamos para un metodo de pago con tarjeta pos o transferencia, además</t>
  </si>
  <si>
    <t>Se llamo para  hacer el seguimiento, sin embargo la encargada de turno se mostro cortante y reacia, pidio que le hablaramos por whatssapp  toda la información.  Se dejo mensaje del catalogo por whatssap</t>
  </si>
  <si>
    <t>Lavaluc</t>
  </si>
  <si>
    <t>No contestaron las tres llamadas, se adjuntara el catalogo por Whatssapp</t>
  </si>
  <si>
    <t>Se llamo tres ve ces y no contestó, se adjuntará el mensaje y catalogo por whtasapp</t>
  </si>
  <si>
    <t xml:space="preserve">Se volvió a tener una conversación con la lavandería,  pregunté acerca de la planta  y me dijeron que no es aparte, ellos tienen su propia planta. Además me informaron que ya le pasaron el catalogo a su gerente, y el verá necesario llamar. </t>
  </si>
  <si>
    <t>telefono</t>
  </si>
  <si>
    <t>Se llamo tres veces y no contesto, de igual manera se le hará seguimiento</t>
  </si>
  <si>
    <t xml:space="preserve">Se llamo tres veces y no contestaron, de igual manera se le volverá a hacer seguimiento. </t>
  </si>
  <si>
    <t>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t>
  </si>
  <si>
    <t xml:space="preserve">	Ayvar Cevallos Dante Elias </t>
  </si>
  <si>
    <t>(01) 4367873</t>
  </si>
  <si>
    <t>Lavatec (Monterrico)</t>
  </si>
  <si>
    <t>https://www.instagram.com/lavatec.lavanderia</t>
  </si>
  <si>
    <t>Monterrico</t>
  </si>
  <si>
    <t>En la tienda no se encontraba la gerente, además se le entrogó el catalogo, la encargado dijo que manejan su propia planta y que si quiero que accedan a nuestras lavadoras industriales lo haga en la sede principal.</t>
  </si>
  <si>
    <t>Ore Martinez Epifanio Agustin</t>
  </si>
  <si>
    <t>ventas@lavanderiaaqua.com</t>
  </si>
  <si>
    <t>Lavanderia Aqua Clean S.a.C.</t>
  </si>
  <si>
    <t>instagram.com/aquadrycleaners</t>
  </si>
  <si>
    <t>Lavandería  Comercial</t>
  </si>
  <si>
    <t>Tienen su propia planta al costado, en su lavanderia tienen lavadora industrial marca renazicc, posee una lavadora y secadora, me cuenta que actualmente no necesitan y se comunico con nosotros en el pasado pero nuestros precios eran muy elevados.</t>
  </si>
  <si>
    <t>Tohara Tamayoshi Luis</t>
  </si>
  <si>
    <t>967 782 837</t>
  </si>
  <si>
    <t>lavanderiakikue@hotmail.com</t>
  </si>
  <si>
    <t>Lavanderia kikue</t>
  </si>
  <si>
    <t>Lavanderia  Comercial</t>
  </si>
  <si>
    <t>Tienen la misma lavadora industrial marca Renzacci, ya lleva años en la industria y la encargada me permitió tomar foto a las mesas de planchado, me indicó que el gerente esta en tienda de 3 a 5 pm del lunes. Se le aduntó el catalogo de igual manera.</t>
  </si>
  <si>
    <t xml:space="preserve">Duarte Hernandez Andrea Marcela </t>
  </si>
  <si>
    <t>Lavandería Peppa</t>
  </si>
  <si>
    <t>................................</t>
  </si>
  <si>
    <t>Monterrici</t>
  </si>
  <si>
    <t>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t>
  </si>
  <si>
    <t>986 848 865</t>
  </si>
  <si>
    <t>lavanderiaespumasae@gmail.com</t>
  </si>
  <si>
    <t xml:space="preserve">Lavandería Espuma Dry Cleanners </t>
  </si>
  <si>
    <t xml:space="preserve">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t>
  </si>
  <si>
    <t>Vergara Culqui Salomon</t>
  </si>
  <si>
    <t>998 570 635</t>
  </si>
  <si>
    <t>reservas@monterricohotelperu.com</t>
  </si>
  <si>
    <t>Monterrico Sutes Hotel</t>
  </si>
  <si>
    <t>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t>
  </si>
  <si>
    <t>(01) 2110211</t>
  </si>
  <si>
    <t>La Positiva (Centro Medico)</t>
  </si>
  <si>
    <t>https://www.lapositiva.com.pe/wps/portal/corporativo/home</t>
  </si>
  <si>
    <t>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t>
  </si>
  <si>
    <t>Gonzalez Castillo Maria Elsa</t>
  </si>
  <si>
    <t xml:space="preserve">
991 547 457</t>
  </si>
  <si>
    <t>Lima Mini Apart Monterrico</t>
  </si>
  <si>
    <t>Me dijeron que no necesitan ya que los clientes no son muchos y pueden manejarse con equipamiento no industrial. Dicen conocer sobre Effameinsa pero no nos pidieron ni dieron datos.</t>
  </si>
  <si>
    <t>Luque Caballero Luis Fernando</t>
  </si>
  <si>
    <t>Lavanderías All Clean</t>
  </si>
  <si>
    <t>https://www.instagram.com/allclean.lavanderia/?hl=es-la</t>
  </si>
  <si>
    <t>El señor nos dijo que ya trabajaba con maquinas industriales pesadas, por ejemplo tiene la Unimac y la Speed Queen, nos indica que lo que esta buscando ahora son lavadoras mas pequeñas y que su presupuesto es lo que vale una speed Queen</t>
  </si>
  <si>
    <t>Viene a lima el 18 de noviembre, visitará la planta. Piensa dar el adelanto el día de hoy</t>
  </si>
  <si>
    <t>Hablamos con la dueña, tiene lavadoras domésticas de 20 kilos, ingresan a las justas una colcha King, le comenté que en nuestras lavadoras de 17 Kg son las ideales. Quedamos en enviarle cotización</t>
  </si>
  <si>
    <t>CIERRE DE VENTA</t>
  </si>
  <si>
    <t>fecha</t>
  </si>
  <si>
    <t>Razon Social</t>
  </si>
  <si>
    <t>Código</t>
  </si>
  <si>
    <t>Producto</t>
  </si>
  <si>
    <t>Modelo</t>
  </si>
  <si>
    <t>KG</t>
  </si>
  <si>
    <t>Marca</t>
  </si>
  <si>
    <t>Sub Total</t>
  </si>
  <si>
    <t>Igv</t>
  </si>
  <si>
    <t>Total</t>
  </si>
  <si>
    <t>Quiñones Alvarez Angelo</t>
  </si>
  <si>
    <t xml:space="preserve"> I22829</t>
  </si>
  <si>
    <t>Centro de Lavado</t>
  </si>
  <si>
    <t>Giant C Max</t>
  </si>
  <si>
    <t>10 a 13 KG</t>
  </si>
  <si>
    <t>LG</t>
  </si>
  <si>
    <t>I22547</t>
  </si>
  <si>
    <t>Seventh Heaven SCRL</t>
  </si>
  <si>
    <t>I22637</t>
  </si>
  <si>
    <t>Rodillo de planchado industrial automatico</t>
  </si>
  <si>
    <t>G14.25</t>
  </si>
  <si>
    <t>1450 x 270 mm</t>
  </si>
  <si>
    <t>GMP</t>
  </si>
  <si>
    <t>Corporacion Munakuyki SAC</t>
  </si>
  <si>
    <t>I22937</t>
  </si>
  <si>
    <t>Lavadora centrifuga semi industrial</t>
  </si>
  <si>
    <t>Titan Max</t>
  </si>
  <si>
    <t>17 KG</t>
  </si>
  <si>
    <t>META TOTAL POR MES SIN IGV</t>
  </si>
  <si>
    <t>MES</t>
  </si>
  <si>
    <t>ENERO</t>
  </si>
  <si>
    <t>FEBRERO</t>
  </si>
  <si>
    <t>MARZO</t>
  </si>
  <si>
    <t>ABRIL</t>
  </si>
  <si>
    <t>MAYO</t>
  </si>
  <si>
    <t>JUNIO</t>
  </si>
  <si>
    <t>JULIO</t>
  </si>
  <si>
    <t>AGOSTO</t>
  </si>
  <si>
    <t>SETIEMBRE</t>
  </si>
  <si>
    <t>OCTUBRE</t>
  </si>
  <si>
    <t>NOVIEMBRE</t>
  </si>
  <si>
    <t>DICIEMBRE</t>
  </si>
  <si>
    <t>TOTAL</t>
  </si>
  <si>
    <t>MONTO</t>
  </si>
  <si>
    <t>Información a ver de manera diaria, semanal, mensual</t>
  </si>
  <si>
    <r>
      <t xml:space="preserve">Todos los KPI´s se deben de ver tanto por </t>
    </r>
    <r>
      <rPr>
        <b/>
        <sz val="11"/>
        <color theme="1"/>
        <rFont val="Aptos Narrow"/>
        <family val="2"/>
        <scheme val="minor"/>
      </rPr>
      <t>totales</t>
    </r>
    <r>
      <rPr>
        <sz val="11"/>
        <color theme="1"/>
        <rFont val="Aptos Narrow"/>
        <family val="2"/>
        <scheme val="minor"/>
      </rPr>
      <t xml:space="preserve"> como por </t>
    </r>
    <r>
      <rPr>
        <b/>
        <sz val="11"/>
        <color theme="1"/>
        <rFont val="Aptos Narrow"/>
        <family val="2"/>
        <scheme val="minor"/>
      </rPr>
      <t>asesor</t>
    </r>
    <r>
      <rPr>
        <sz val="11"/>
        <color theme="1"/>
        <rFont val="Aptos Narrow"/>
        <family val="2"/>
        <scheme val="minor"/>
      </rPr>
      <t xml:space="preserve"> comercial</t>
    </r>
  </si>
  <si>
    <t>Ventas Totales</t>
  </si>
  <si>
    <t>Suma de Subtotal</t>
  </si>
  <si>
    <t>Margen $</t>
  </si>
  <si>
    <t>(subtotal-Costo)</t>
  </si>
  <si>
    <t>Margen %</t>
  </si>
  <si>
    <t>(subtotal-Costo)/Subtotal</t>
  </si>
  <si>
    <t>Meta</t>
  </si>
  <si>
    <t>De Hoja Meta en archivo consolidado Dashboard</t>
  </si>
  <si>
    <t>EMBUDO DE VENTAS</t>
  </si>
  <si>
    <t>Prospectos</t>
  </si>
  <si>
    <t xml:space="preserve">Contar todas las razones sociales sin repetir </t>
  </si>
  <si>
    <t>De CRM</t>
  </si>
  <si>
    <t>Clientes</t>
  </si>
  <si>
    <t>Contar todas las razones sociales sin repetir</t>
  </si>
  <si>
    <t>De Cierres de venta</t>
  </si>
  <si>
    <t>clientes</t>
  </si>
  <si>
    <t>Conversión %</t>
  </si>
  <si>
    <t>Prospectos/Clientes</t>
  </si>
  <si>
    <t>Conversión</t>
  </si>
  <si>
    <t>Venta por Rubro y participación %</t>
  </si>
  <si>
    <t>Producto más vendido</t>
  </si>
  <si>
    <t>Suma de Producto</t>
  </si>
  <si>
    <t>Marca más Vendida</t>
  </si>
  <si>
    <t>Venta por orígen de Lead</t>
  </si>
  <si>
    <t>Venta por departamento</t>
  </si>
  <si>
    <t>Venta por asesor comercial</t>
  </si>
  <si>
    <t>Venta por Marca y participación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</si>
</sst>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yyyy;@"/>
    <numFmt numFmtId="165" formatCode="d/mm/yy"/>
    <numFmt numFmtId="166" formatCode="_-* #,##0_-;\-* #,##0_-;_-* &quot;-&quot;??_-;_-@_-"/>
  </numFmts>
  <fonts count="18">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2"/>
      <color theme="1"/>
      <name val="Arial"/>
      <family val="2"/>
    </font>
    <font>
      <sz val="12"/>
      <name val="Arial"/>
      <family val="2"/>
    </font>
    <font>
      <u/>
      <sz val="12"/>
      <color theme="10"/>
      <name val="Aptos Narrow"/>
      <family val="2"/>
      <scheme val="minor"/>
    </font>
    <font>
      <u/>
      <sz val="12"/>
      <name val="Arial"/>
      <family val="2"/>
    </font>
    <font>
      <b/>
      <sz val="12"/>
      <color theme="1"/>
      <name val="Arial"/>
      <family val="2"/>
    </font>
    <font>
      <sz val="11"/>
      <color rgb="FF434343"/>
      <name val="Arial"/>
      <family val="2"/>
    </font>
    <font>
      <sz val="11"/>
      <color rgb="FF242424"/>
      <name val="Aptos Narrow"/>
      <family val="2"/>
    </font>
    <font>
      <sz val="11"/>
      <color theme="1"/>
      <name val="Arial"/>
      <family val="2"/>
    </font>
    <font>
      <sz val="11"/>
      <color rgb="FF000000"/>
      <name val="Aptos Narrow"/>
      <family val="2"/>
      <scheme val="minor"/>
    </font>
    <font>
      <sz val="11"/>
      <color rgb="FF434343"/>
      <name val="Roboto"/>
    </font>
    <font>
      <sz val="9"/>
      <color theme="1"/>
      <name val="Arial"/>
      <family val="2"/>
    </font>
    <font>
      <b/>
      <sz val="12"/>
      <color theme="4" tint="-0.249977111117893"/>
      <name val="Aptos Narrow"/>
      <family val="2"/>
      <scheme val="minor"/>
    </font>
    <font>
      <sz val="12"/>
      <color theme="4" tint="-0.249977111117893"/>
      <name val="Aptos Narrow"/>
      <family val="2"/>
      <scheme val="minor"/>
    </font>
  </fonts>
  <fills count="13">
    <fill>
      <patternFill patternType="none"/>
    </fill>
    <fill>
      <patternFill patternType="gray125"/>
    </fill>
    <fill>
      <patternFill patternType="solid">
        <fgColor theme="6" tint="-0.249977111117893"/>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6F8F9"/>
        <bgColor indexed="64"/>
      </patternFill>
    </fill>
    <fill>
      <patternFill patternType="solid">
        <fgColor rgb="FFCCFFFF"/>
        <bgColor indexed="64"/>
      </patternFill>
    </fill>
    <fill>
      <patternFill patternType="solid">
        <fgColor theme="8" tint="0.39997558519241921"/>
        <bgColor indexed="64"/>
      </patternFill>
    </fill>
    <fill>
      <patternFill patternType="solid">
        <fgColor theme="3" tint="0.89999084444715716"/>
        <bgColor indexed="64"/>
      </patternFill>
    </fill>
    <fill>
      <patternFill patternType="solid">
        <fgColor theme="9" tint="0.59999389629810485"/>
        <bgColor indexed="64"/>
      </patternFill>
    </fill>
  </fills>
  <borders count="16">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theme="3" tint="0.249977111117893"/>
      </right>
      <top style="thin">
        <color theme="3" tint="0.249977111117893"/>
      </top>
      <bottom style="thin">
        <color theme="3" tint="0.249977111117893"/>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indexed="64"/>
      </left>
      <right style="thin">
        <color theme="3" tint="0.249977111117893"/>
      </right>
      <top style="thin">
        <color theme="3" tint="0.249977111117893"/>
      </top>
      <bottom style="thin">
        <color theme="4" tint="0.39997558519241921"/>
      </bottom>
      <diagonal/>
    </border>
    <border>
      <left style="thin">
        <color theme="3" tint="0.249977111117893"/>
      </left>
      <right style="thin">
        <color theme="3" tint="0.249977111117893"/>
      </right>
      <top style="thin">
        <color theme="3" tint="0.249977111117893"/>
      </top>
      <bottom style="thin">
        <color theme="4" tint="0.39997558519241921"/>
      </bottom>
      <diagonal/>
    </border>
    <border>
      <left style="medium">
        <color rgb="FFCCCCCC"/>
      </left>
      <right style="medium">
        <color rgb="FFFFFFFF"/>
      </right>
      <top style="medium">
        <color rgb="FFCCCCCC"/>
      </top>
      <bottom style="medium">
        <color rgb="FFF6F8F9"/>
      </bottom>
      <diagonal/>
    </border>
    <border>
      <left style="thin">
        <color theme="6" tint="0.39997558519241921"/>
      </left>
      <right/>
      <top style="thin">
        <color theme="6" tint="0.39997558519241921"/>
      </top>
      <bottom style="thin">
        <color theme="6" tint="0.39997558519241921"/>
      </bottom>
      <diagonal/>
    </border>
    <border>
      <left/>
      <right style="medium">
        <color rgb="FFFFFFFF"/>
      </right>
      <top style="medium">
        <color rgb="FF284E3F"/>
      </top>
      <bottom style="medium">
        <color rgb="FFF6F8F9"/>
      </bottom>
      <diagonal/>
    </border>
    <border>
      <left style="medium">
        <color rgb="FFCCCCCC"/>
      </left>
      <right style="medium">
        <color rgb="FFFFFFFF"/>
      </right>
      <top style="medium">
        <color rgb="FF284E3F"/>
      </top>
      <bottom style="medium">
        <color rgb="FFF6F8F9"/>
      </bottom>
      <diagonal/>
    </border>
    <border>
      <left style="medium">
        <color rgb="FFCCCCCC"/>
      </left>
      <right style="medium">
        <color rgb="FF284E3F"/>
      </right>
      <top style="medium">
        <color rgb="FF284E3F"/>
      </top>
      <bottom style="medium">
        <color rgb="FFF6F8F9"/>
      </bottom>
      <diagonal/>
    </border>
    <border>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right style="medium">
        <color rgb="FFFFFFFF"/>
      </right>
      <top style="medium">
        <color rgb="FFCCCCCC"/>
      </top>
      <bottom style="medium">
        <color rgb="FFF6F8F9"/>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156">
    <xf numFmtId="0" fontId="0" fillId="0" borderId="0" xfId="0"/>
    <xf numFmtId="0" fontId="3" fillId="0" borderId="1" xfId="0" applyFont="1" applyBorder="1"/>
    <xf numFmtId="0" fontId="3" fillId="0" borderId="2" xfId="0" applyFont="1" applyBorder="1"/>
    <xf numFmtId="0" fontId="3" fillId="0" borderId="2" xfId="0" applyFont="1" applyBorder="1" applyAlignment="1">
      <alignment wrapText="1"/>
    </xf>
    <xf numFmtId="0" fontId="3" fillId="2" borderId="2" xfId="0" applyFont="1" applyFill="1" applyBorder="1"/>
    <xf numFmtId="0" fontId="5" fillId="3" borderId="3" xfId="0" applyFont="1" applyFill="1" applyBorder="1" applyAlignment="1">
      <alignment horizontal="center" vertical="top"/>
    </xf>
    <xf numFmtId="14" fontId="6" fillId="3" borderId="4" xfId="0" applyNumberFormat="1" applyFont="1" applyFill="1" applyBorder="1" applyAlignment="1">
      <alignment horizontal="center" vertical="top" wrapText="1"/>
    </xf>
    <xf numFmtId="0" fontId="5" fillId="3" borderId="4" xfId="0" applyFont="1" applyFill="1" applyBorder="1" applyAlignment="1">
      <alignment horizontal="center" vertical="top" wrapText="1"/>
    </xf>
    <xf numFmtId="1" fontId="5" fillId="3" borderId="4" xfId="0" applyNumberFormat="1" applyFont="1" applyFill="1" applyBorder="1" applyAlignment="1">
      <alignment horizontal="center" vertical="top" wrapText="1"/>
    </xf>
    <xf numFmtId="1" fontId="5" fillId="3" borderId="4" xfId="1" applyNumberFormat="1" applyFont="1" applyFill="1" applyBorder="1" applyAlignment="1">
      <alignment horizontal="center" vertical="top" wrapText="1"/>
    </xf>
    <xf numFmtId="0" fontId="6" fillId="3" borderId="4" xfId="0" applyFont="1" applyFill="1" applyBorder="1" applyAlignment="1">
      <alignment horizontal="center" vertical="top" wrapText="1"/>
    </xf>
    <xf numFmtId="0" fontId="7" fillId="3" borderId="4" xfId="2" applyFont="1" applyFill="1" applyBorder="1" applyAlignment="1">
      <alignment horizontal="center" vertical="top" wrapText="1"/>
    </xf>
    <xf numFmtId="0" fontId="6" fillId="3" borderId="4" xfId="0" applyFont="1" applyFill="1" applyBorder="1" applyAlignment="1">
      <alignment horizontal="center" vertical="top"/>
    </xf>
    <xf numFmtId="14" fontId="6" fillId="3" borderId="4" xfId="0" applyNumberFormat="1" applyFont="1" applyFill="1" applyBorder="1" applyAlignment="1">
      <alignment horizontal="center" vertical="top"/>
    </xf>
    <xf numFmtId="0" fontId="6" fillId="3" borderId="4" xfId="0" applyFont="1" applyFill="1" applyBorder="1" applyAlignment="1">
      <alignment horizontal="left" vertical="top" wrapText="1"/>
    </xf>
    <xf numFmtId="0" fontId="5" fillId="0" borderId="3" xfId="0" applyFont="1" applyBorder="1" applyAlignment="1">
      <alignment horizontal="center" vertical="top"/>
    </xf>
    <xf numFmtId="14" fontId="6" fillId="0" borderId="4" xfId="0" applyNumberFormat="1" applyFont="1" applyBorder="1" applyAlignment="1">
      <alignment horizontal="center" vertical="top" wrapText="1"/>
    </xf>
    <xf numFmtId="0" fontId="5" fillId="0" borderId="4" xfId="0" applyFont="1" applyBorder="1" applyAlignment="1">
      <alignment horizontal="center" vertical="top" wrapText="1"/>
    </xf>
    <xf numFmtId="1" fontId="5" fillId="0" borderId="4" xfId="0" applyNumberFormat="1" applyFont="1" applyBorder="1" applyAlignment="1">
      <alignment horizontal="center" vertical="top" wrapText="1"/>
    </xf>
    <xf numFmtId="0" fontId="6" fillId="0" borderId="4" xfId="0" applyFont="1" applyBorder="1" applyAlignment="1">
      <alignment horizontal="center" vertical="top" wrapText="1"/>
    </xf>
    <xf numFmtId="0" fontId="7" fillId="0" borderId="4" xfId="2" applyFont="1" applyBorder="1" applyAlignment="1">
      <alignment horizontal="center" vertical="top" wrapText="1"/>
    </xf>
    <xf numFmtId="0" fontId="6" fillId="0" borderId="4" xfId="0" applyFont="1" applyBorder="1" applyAlignment="1">
      <alignment horizontal="center" vertical="top"/>
    </xf>
    <xf numFmtId="14" fontId="6" fillId="0" borderId="4" xfId="0" applyNumberFormat="1" applyFont="1" applyBorder="1" applyAlignment="1">
      <alignment horizontal="center" vertical="top"/>
    </xf>
    <xf numFmtId="0" fontId="6" fillId="0" borderId="4" xfId="0" applyFont="1" applyBorder="1" applyAlignment="1">
      <alignment horizontal="left" vertical="top" wrapText="1"/>
    </xf>
    <xf numFmtId="0" fontId="5" fillId="3" borderId="4" xfId="0" applyFont="1" applyFill="1" applyBorder="1" applyAlignment="1">
      <alignment vertical="top"/>
    </xf>
    <xf numFmtId="0" fontId="6" fillId="4" borderId="4" xfId="0" applyFont="1" applyFill="1" applyBorder="1" applyAlignment="1">
      <alignment horizontal="center" vertical="top" wrapText="1"/>
    </xf>
    <xf numFmtId="0" fontId="7" fillId="4" borderId="4" xfId="2" applyFont="1" applyFill="1" applyBorder="1" applyAlignment="1">
      <alignment horizontal="center" vertical="top" wrapText="1"/>
    </xf>
    <xf numFmtId="0" fontId="5" fillId="0" borderId="4" xfId="0" applyFont="1" applyBorder="1" applyAlignment="1">
      <alignment vertical="top"/>
    </xf>
    <xf numFmtId="0" fontId="5" fillId="3" borderId="4" xfId="0" applyFont="1" applyFill="1" applyBorder="1" applyAlignment="1">
      <alignment horizontal="center" vertical="center" wrapText="1"/>
    </xf>
    <xf numFmtId="0" fontId="0" fillId="0" borderId="4" xfId="0" applyBorder="1"/>
    <xf numFmtId="0" fontId="6" fillId="5" borderId="4" xfId="0" applyFont="1" applyFill="1" applyBorder="1" applyAlignment="1">
      <alignment horizontal="center" vertical="top" wrapText="1"/>
    </xf>
    <xf numFmtId="0" fontId="5" fillId="5" borderId="4" xfId="0" applyFont="1" applyFill="1" applyBorder="1" applyAlignment="1">
      <alignment horizontal="center" vertical="top" wrapText="1"/>
    </xf>
    <xf numFmtId="0" fontId="7" fillId="5" borderId="4" xfId="2" applyFont="1" applyFill="1" applyBorder="1" applyAlignment="1">
      <alignment horizontal="center" vertical="top" wrapText="1"/>
    </xf>
    <xf numFmtId="0" fontId="5" fillId="5" borderId="4" xfId="0" applyFont="1" applyFill="1" applyBorder="1" applyAlignment="1">
      <alignment horizontal="center" vertical="top"/>
    </xf>
    <xf numFmtId="0" fontId="0" fillId="0" borderId="4" xfId="0" applyBorder="1" applyAlignment="1">
      <alignment vertical="top"/>
    </xf>
    <xf numFmtId="0" fontId="0" fillId="3" borderId="4" xfId="0" applyFill="1" applyBorder="1" applyAlignment="1">
      <alignment vertical="top"/>
    </xf>
    <xf numFmtId="0" fontId="8" fillId="3" borderId="4" xfId="2" applyFont="1" applyFill="1" applyBorder="1" applyAlignment="1">
      <alignment horizontal="center" vertical="top" wrapText="1"/>
    </xf>
    <xf numFmtId="164" fontId="5" fillId="3" borderId="4" xfId="0" applyNumberFormat="1" applyFont="1" applyFill="1" applyBorder="1" applyAlignment="1">
      <alignment horizontal="center" vertical="top" wrapText="1"/>
    </xf>
    <xf numFmtId="165" fontId="6" fillId="0" borderId="4" xfId="0" applyNumberFormat="1" applyFont="1" applyBorder="1" applyAlignment="1">
      <alignment horizontal="center" vertical="top" wrapText="1"/>
    </xf>
    <xf numFmtId="0" fontId="4" fillId="0" borderId="4" xfId="2" applyBorder="1"/>
    <xf numFmtId="165" fontId="6" fillId="0" borderId="4" xfId="0" applyNumberFormat="1" applyFont="1" applyBorder="1" applyAlignment="1">
      <alignment horizontal="center" vertical="top"/>
    </xf>
    <xf numFmtId="165" fontId="6" fillId="3" borderId="4" xfId="0" applyNumberFormat="1" applyFont="1" applyFill="1" applyBorder="1" applyAlignment="1">
      <alignment horizontal="center" vertical="top" wrapText="1"/>
    </xf>
    <xf numFmtId="165" fontId="6" fillId="3" borderId="4" xfId="0" applyNumberFormat="1" applyFont="1" applyFill="1" applyBorder="1" applyAlignment="1">
      <alignment horizontal="center" vertical="top"/>
    </xf>
    <xf numFmtId="14" fontId="0" fillId="0" borderId="4" xfId="0" applyNumberFormat="1" applyBorder="1" applyAlignment="1">
      <alignment vertical="top"/>
    </xf>
    <xf numFmtId="0" fontId="4" fillId="3" borderId="4" xfId="2" applyFill="1" applyBorder="1"/>
    <xf numFmtId="0" fontId="4" fillId="3" borderId="4" xfId="2" applyFill="1" applyBorder="1" applyAlignment="1">
      <alignment horizontal="center" vertical="top" wrapText="1"/>
    </xf>
    <xf numFmtId="14" fontId="0" fillId="3" borderId="4" xfId="0" applyNumberFormat="1" applyFill="1" applyBorder="1" applyAlignment="1">
      <alignment vertical="top"/>
    </xf>
    <xf numFmtId="0" fontId="4" fillId="0" borderId="4" xfId="2" applyBorder="1" applyAlignment="1">
      <alignment horizontal="center" vertical="top" wrapText="1"/>
    </xf>
    <xf numFmtId="1" fontId="5" fillId="0" borderId="4" xfId="1" applyNumberFormat="1" applyFont="1" applyBorder="1" applyAlignment="1">
      <alignment horizontal="center" vertical="top" wrapText="1"/>
    </xf>
    <xf numFmtId="14" fontId="6" fillId="0" borderId="4" xfId="0" applyNumberFormat="1" applyFont="1" applyBorder="1" applyAlignment="1">
      <alignment horizontal="left" vertical="top" wrapText="1"/>
    </xf>
    <xf numFmtId="16" fontId="0" fillId="3" borderId="4" xfId="0" applyNumberFormat="1" applyFill="1" applyBorder="1" applyAlignment="1">
      <alignment vertical="top"/>
    </xf>
    <xf numFmtId="0" fontId="0" fillId="0" borderId="4" xfId="0" applyBorder="1" applyAlignment="1">
      <alignment vertical="top" wrapText="1"/>
    </xf>
    <xf numFmtId="1" fontId="0" fillId="3" borderId="4" xfId="1" applyNumberFormat="1" applyFont="1" applyFill="1" applyBorder="1" applyAlignment="1">
      <alignment vertical="top"/>
    </xf>
    <xf numFmtId="1" fontId="0" fillId="0" borderId="4" xfId="1" applyNumberFormat="1" applyFont="1" applyBorder="1" applyAlignment="1">
      <alignment vertical="top"/>
    </xf>
    <xf numFmtId="43" fontId="6" fillId="0" borderId="4" xfId="1" applyFont="1" applyBorder="1" applyAlignment="1">
      <alignment horizontal="left" vertical="top" wrapText="1"/>
    </xf>
    <xf numFmtId="0" fontId="5" fillId="6" borderId="4" xfId="0" applyFont="1" applyFill="1" applyBorder="1" applyAlignment="1">
      <alignment horizontal="center" vertical="top" wrapText="1"/>
    </xf>
    <xf numFmtId="43" fontId="6" fillId="3" borderId="4" xfId="1" applyFont="1" applyFill="1" applyBorder="1" applyAlignment="1">
      <alignment horizontal="left" vertical="top" wrapText="1"/>
    </xf>
    <xf numFmtId="0" fontId="5" fillId="0" borderId="5" xfId="0" applyFont="1" applyBorder="1" applyAlignment="1">
      <alignment horizontal="center" vertical="top"/>
    </xf>
    <xf numFmtId="165" fontId="6" fillId="0" borderId="6" xfId="0" applyNumberFormat="1" applyFont="1" applyBorder="1" applyAlignment="1">
      <alignment horizontal="center" vertical="top" wrapText="1"/>
    </xf>
    <xf numFmtId="0" fontId="6" fillId="0" borderId="6" xfId="0" applyFont="1" applyBorder="1" applyAlignment="1">
      <alignment horizontal="center" vertical="top" wrapText="1"/>
    </xf>
    <xf numFmtId="0" fontId="4" fillId="0" borderId="6" xfId="2" applyBorder="1" applyAlignment="1">
      <alignment horizontal="center" vertical="top" wrapText="1"/>
    </xf>
    <xf numFmtId="0" fontId="5" fillId="0" borderId="6" xfId="0" applyFont="1" applyBorder="1" applyAlignment="1">
      <alignment horizontal="center" vertical="top" wrapText="1"/>
    </xf>
    <xf numFmtId="0" fontId="0" fillId="0" borderId="6" xfId="0" applyBorder="1" applyAlignment="1">
      <alignment vertical="top"/>
    </xf>
    <xf numFmtId="0" fontId="7" fillId="0" borderId="6" xfId="2" applyFont="1" applyBorder="1" applyAlignment="1">
      <alignment horizontal="center" vertical="top" wrapText="1"/>
    </xf>
    <xf numFmtId="0" fontId="6" fillId="0" borderId="6" xfId="0" applyFont="1" applyBorder="1" applyAlignment="1">
      <alignment horizontal="center" vertical="top"/>
    </xf>
    <xf numFmtId="165" fontId="6" fillId="0" borderId="6" xfId="0" applyNumberFormat="1" applyFont="1" applyBorder="1" applyAlignment="1">
      <alignment horizontal="center" vertical="top"/>
    </xf>
    <xf numFmtId="0" fontId="6" fillId="0" borderId="6" xfId="0" applyFont="1" applyBorder="1" applyAlignment="1">
      <alignment horizontal="left" vertical="top" wrapText="1"/>
    </xf>
    <xf numFmtId="0" fontId="5" fillId="3" borderId="5" xfId="0" applyFont="1" applyFill="1" applyBorder="1" applyAlignment="1">
      <alignment horizontal="center" vertical="top"/>
    </xf>
    <xf numFmtId="165" fontId="6" fillId="3" borderId="6" xfId="0" applyNumberFormat="1" applyFont="1" applyFill="1" applyBorder="1" applyAlignment="1">
      <alignment horizontal="center" vertical="top" wrapText="1"/>
    </xf>
    <xf numFmtId="0" fontId="6" fillId="3" borderId="6" xfId="0" applyFont="1" applyFill="1" applyBorder="1" applyAlignment="1">
      <alignment horizontal="center" vertical="top" wrapText="1"/>
    </xf>
    <xf numFmtId="0" fontId="7" fillId="3" borderId="6" xfId="2" applyFont="1" applyFill="1" applyBorder="1" applyAlignment="1">
      <alignment horizontal="center" vertical="top" wrapText="1"/>
    </xf>
    <xf numFmtId="0" fontId="5" fillId="3" borderId="6" xfId="0" applyFont="1" applyFill="1" applyBorder="1" applyAlignment="1">
      <alignment horizontal="center" vertical="top" wrapText="1"/>
    </xf>
    <xf numFmtId="0" fontId="0" fillId="3" borderId="6" xfId="0" applyFill="1" applyBorder="1" applyAlignment="1">
      <alignment vertical="top"/>
    </xf>
    <xf numFmtId="0" fontId="6" fillId="3" borderId="6" xfId="0" applyFont="1" applyFill="1" applyBorder="1" applyAlignment="1">
      <alignment horizontal="center" vertical="top"/>
    </xf>
    <xf numFmtId="165" fontId="6" fillId="3" borderId="6" xfId="0" applyNumberFormat="1" applyFont="1" applyFill="1" applyBorder="1" applyAlignment="1">
      <alignment horizontal="center" vertical="top"/>
    </xf>
    <xf numFmtId="0" fontId="6" fillId="3" borderId="6" xfId="0" applyFont="1" applyFill="1" applyBorder="1" applyAlignment="1">
      <alignment horizontal="left" vertical="top" wrapText="1"/>
    </xf>
    <xf numFmtId="0" fontId="10" fillId="7" borderId="7" xfId="0" applyFont="1" applyFill="1" applyBorder="1" applyAlignment="1">
      <alignment vertical="center" wrapText="1"/>
    </xf>
    <xf numFmtId="14" fontId="6" fillId="0" borderId="6" xfId="1" applyNumberFormat="1" applyFont="1" applyBorder="1" applyAlignment="1">
      <alignment horizontal="center" vertical="top"/>
    </xf>
    <xf numFmtId="0" fontId="4" fillId="3" borderId="6" xfId="2" applyFill="1" applyBorder="1" applyAlignment="1">
      <alignment horizontal="center" vertical="top" wrapText="1"/>
    </xf>
    <xf numFmtId="14" fontId="6" fillId="3" borderId="6" xfId="1" applyNumberFormat="1" applyFont="1" applyFill="1" applyBorder="1" applyAlignment="1">
      <alignment horizontal="center" vertical="top"/>
    </xf>
    <xf numFmtId="1" fontId="6" fillId="0" borderId="6" xfId="0" applyNumberFormat="1" applyFont="1" applyBorder="1" applyAlignment="1">
      <alignment horizontal="center" vertical="top" wrapText="1"/>
    </xf>
    <xf numFmtId="1" fontId="6" fillId="0" borderId="6" xfId="1" applyNumberFormat="1" applyFont="1" applyBorder="1" applyAlignment="1">
      <alignment horizontal="center" vertical="top" wrapText="1"/>
    </xf>
    <xf numFmtId="0" fontId="0" fillId="0" borderId="6" xfId="2" applyFont="1" applyBorder="1" applyAlignment="1">
      <alignment vertical="top"/>
    </xf>
    <xf numFmtId="14" fontId="5" fillId="0" borderId="6" xfId="0" applyNumberFormat="1" applyFont="1" applyBorder="1" applyAlignment="1">
      <alignment horizontal="center" vertical="top" wrapText="1"/>
    </xf>
    <xf numFmtId="14" fontId="0" fillId="0" borderId="6" xfId="0" applyNumberFormat="1" applyBorder="1" applyAlignment="1">
      <alignment vertical="top"/>
    </xf>
    <xf numFmtId="14" fontId="6" fillId="0" borderId="6" xfId="0" applyNumberFormat="1" applyFont="1" applyBorder="1" applyAlignment="1">
      <alignment horizontal="center" vertical="top"/>
    </xf>
    <xf numFmtId="14" fontId="6" fillId="0" borderId="6" xfId="0" applyNumberFormat="1" applyFont="1" applyBorder="1" applyAlignment="1">
      <alignment horizontal="left" vertical="top" wrapText="1"/>
    </xf>
    <xf numFmtId="16" fontId="0" fillId="3" borderId="6" xfId="0" applyNumberFormat="1" applyFill="1" applyBorder="1" applyAlignment="1">
      <alignment vertical="top"/>
    </xf>
    <xf numFmtId="16" fontId="0" fillId="0" borderId="6" xfId="0" applyNumberFormat="1" applyBorder="1" applyAlignment="1">
      <alignment vertical="top"/>
    </xf>
    <xf numFmtId="14" fontId="5" fillId="3" borderId="6" xfId="0" applyNumberFormat="1" applyFont="1" applyFill="1" applyBorder="1" applyAlignment="1">
      <alignment horizontal="center" vertical="top" wrapText="1"/>
    </xf>
    <xf numFmtId="17" fontId="0" fillId="0" borderId="6" xfId="0" applyNumberFormat="1" applyBorder="1" applyAlignment="1">
      <alignment vertical="top"/>
    </xf>
    <xf numFmtId="14" fontId="0" fillId="0" borderId="0" xfId="0" applyNumberFormat="1"/>
    <xf numFmtId="0" fontId="1" fillId="0" borderId="0" xfId="0" applyFont="1"/>
    <xf numFmtId="0" fontId="0" fillId="0" borderId="0" xfId="0" applyAlignment="1">
      <alignment horizontal="left"/>
    </xf>
    <xf numFmtId="0" fontId="4" fillId="0" borderId="0" xfId="3"/>
    <xf numFmtId="1" fontId="1" fillId="0" borderId="0" xfId="1" applyNumberFormat="1" applyFont="1"/>
    <xf numFmtId="0" fontId="1" fillId="0" borderId="0" xfId="0" applyFont="1" applyAlignment="1">
      <alignment wrapText="1"/>
    </xf>
    <xf numFmtId="0" fontId="0" fillId="0" borderId="0" xfId="0" applyAlignment="1">
      <alignment wrapText="1"/>
    </xf>
    <xf numFmtId="14" fontId="1" fillId="0" borderId="0" xfId="0" applyNumberFormat="1" applyFont="1"/>
    <xf numFmtId="0" fontId="4" fillId="0" borderId="0" xfId="2"/>
    <xf numFmtId="0" fontId="11" fillId="0" borderId="0" xfId="0" applyFont="1"/>
    <xf numFmtId="14" fontId="12" fillId="0" borderId="0" xfId="0" applyNumberFormat="1" applyFont="1"/>
    <xf numFmtId="16" fontId="0" fillId="0" borderId="0" xfId="0" applyNumberFormat="1"/>
    <xf numFmtId="0" fontId="12" fillId="0" borderId="0" xfId="0" applyFont="1" applyAlignment="1">
      <alignment wrapText="1"/>
    </xf>
    <xf numFmtId="1" fontId="1" fillId="0" borderId="0" xfId="1" applyNumberFormat="1" applyFont="1" applyAlignment="1">
      <alignment horizontal="left"/>
    </xf>
    <xf numFmtId="0" fontId="12" fillId="0" borderId="0" xfId="0" applyFont="1"/>
    <xf numFmtId="1" fontId="1" fillId="0" borderId="0" xfId="1" applyNumberFormat="1" applyFont="1" applyAlignment="1">
      <alignment wrapText="1"/>
    </xf>
    <xf numFmtId="1" fontId="0" fillId="0" borderId="0" xfId="1" applyNumberFormat="1" applyFont="1" applyAlignment="1">
      <alignment wrapText="1"/>
    </xf>
    <xf numFmtId="0" fontId="2" fillId="0" borderId="0" xfId="0" applyFont="1" applyAlignment="1">
      <alignment wrapText="1"/>
    </xf>
    <xf numFmtId="0" fontId="13" fillId="0" borderId="0" xfId="0" applyFont="1" applyAlignment="1">
      <alignment wrapText="1"/>
    </xf>
    <xf numFmtId="0" fontId="0" fillId="5" borderId="0" xfId="0" applyFill="1" applyAlignment="1">
      <alignment wrapText="1"/>
    </xf>
    <xf numFmtId="0" fontId="0" fillId="5" borderId="0" xfId="0" applyFill="1"/>
    <xf numFmtId="0" fontId="0" fillId="6" borderId="0" xfId="0" applyFill="1" applyAlignment="1">
      <alignment wrapText="1"/>
    </xf>
    <xf numFmtId="0" fontId="2" fillId="0" borderId="0" xfId="0" applyFont="1"/>
    <xf numFmtId="1" fontId="0" fillId="0" borderId="0" xfId="1" applyNumberFormat="1" applyFont="1"/>
    <xf numFmtId="0" fontId="14" fillId="7" borderId="8" xfId="0" applyFont="1" applyFill="1" applyBorder="1" applyAlignment="1">
      <alignment vertical="center" wrapText="1"/>
    </xf>
    <xf numFmtId="14" fontId="0" fillId="7" borderId="9" xfId="0" applyNumberFormat="1" applyFill="1" applyBorder="1" applyAlignment="1">
      <alignment horizontal="right" vertical="center" wrapText="1"/>
    </xf>
    <xf numFmtId="0" fontId="14" fillId="7" borderId="10" xfId="0" applyFont="1" applyFill="1" applyBorder="1" applyAlignment="1">
      <alignment vertical="center" wrapText="1"/>
    </xf>
    <xf numFmtId="0" fontId="0" fillId="7" borderId="10" xfId="0" applyFill="1" applyBorder="1" applyAlignment="1">
      <alignment vertical="center" wrapText="1"/>
    </xf>
    <xf numFmtId="0" fontId="10" fillId="7" borderId="10" xfId="0" applyFont="1" applyFill="1" applyBorder="1" applyAlignment="1">
      <alignment horizontal="right" vertical="center" wrapText="1"/>
    </xf>
    <xf numFmtId="0" fontId="4" fillId="7" borderId="10" xfId="2" applyFill="1" applyBorder="1" applyAlignment="1">
      <alignment vertical="center" wrapText="1"/>
    </xf>
    <xf numFmtId="0" fontId="15" fillId="7" borderId="10" xfId="0" applyFont="1" applyFill="1" applyBorder="1" applyAlignment="1">
      <alignment vertical="center" wrapText="1"/>
    </xf>
    <xf numFmtId="0" fontId="10" fillId="7" borderId="10" xfId="0" applyFont="1" applyFill="1" applyBorder="1" applyAlignment="1">
      <alignment vertical="center" wrapText="1"/>
    </xf>
    <xf numFmtId="14" fontId="12" fillId="7" borderId="10" xfId="0" applyNumberFormat="1" applyFont="1" applyFill="1" applyBorder="1" applyAlignment="1">
      <alignment horizontal="right" vertical="center" wrapText="1"/>
    </xf>
    <xf numFmtId="0" fontId="14" fillId="7" borderId="11" xfId="0" applyFont="1" applyFill="1" applyBorder="1" applyAlignment="1">
      <alignment horizontal="right" vertical="center" wrapText="1"/>
    </xf>
    <xf numFmtId="0" fontId="14" fillId="8" borderId="8" xfId="0" applyFont="1" applyFill="1" applyBorder="1" applyAlignment="1">
      <alignment vertical="center" wrapText="1"/>
    </xf>
    <xf numFmtId="14" fontId="0" fillId="8" borderId="12" xfId="0" applyNumberFormat="1" applyFill="1" applyBorder="1" applyAlignment="1">
      <alignment horizontal="right" vertical="center" wrapText="1"/>
    </xf>
    <xf numFmtId="0" fontId="14" fillId="8" borderId="13" xfId="0" applyFont="1" applyFill="1" applyBorder="1" applyAlignment="1">
      <alignment vertical="center" wrapText="1"/>
    </xf>
    <xf numFmtId="0" fontId="14" fillId="8" borderId="13" xfId="0" applyFont="1" applyFill="1" applyBorder="1" applyAlignment="1">
      <alignment horizontal="right" vertical="center" wrapText="1"/>
    </xf>
    <xf numFmtId="0" fontId="4" fillId="8" borderId="13" xfId="2" applyFill="1" applyBorder="1" applyAlignment="1">
      <alignment vertical="center" wrapText="1"/>
    </xf>
    <xf numFmtId="0" fontId="15" fillId="8" borderId="13" xfId="0" applyFont="1" applyFill="1" applyBorder="1" applyAlignment="1">
      <alignment vertical="center" wrapText="1"/>
    </xf>
    <xf numFmtId="0" fontId="0" fillId="8" borderId="13" xfId="0" applyFill="1" applyBorder="1" applyAlignment="1">
      <alignment vertical="center" wrapText="1"/>
    </xf>
    <xf numFmtId="0" fontId="14" fillId="7" borderId="7" xfId="0" applyFont="1" applyFill="1" applyBorder="1" applyAlignment="1">
      <alignment vertical="center" wrapText="1"/>
    </xf>
    <xf numFmtId="0" fontId="10" fillId="8" borderId="13" xfId="0" applyFont="1" applyFill="1" applyBorder="1" applyAlignment="1">
      <alignment vertical="center" wrapText="1"/>
    </xf>
    <xf numFmtId="14" fontId="12" fillId="8" borderId="13" xfId="0" applyNumberFormat="1" applyFont="1" applyFill="1" applyBorder="1" applyAlignment="1">
      <alignment horizontal="right" vertical="center" wrapText="1"/>
    </xf>
    <xf numFmtId="0" fontId="14" fillId="8" borderId="14" xfId="0" applyFont="1" applyFill="1" applyBorder="1" applyAlignment="1">
      <alignment horizontal="right" vertical="center" wrapText="1"/>
    </xf>
    <xf numFmtId="14" fontId="0" fillId="7" borderId="15" xfId="0" applyNumberFormat="1" applyFill="1" applyBorder="1" applyAlignment="1">
      <alignment horizontal="right" vertical="center" wrapText="1"/>
    </xf>
    <xf numFmtId="0" fontId="14" fillId="7" borderId="7" xfId="0" applyFont="1" applyFill="1" applyBorder="1" applyAlignment="1">
      <alignment horizontal="right" vertical="center" wrapText="1"/>
    </xf>
    <xf numFmtId="0" fontId="4" fillId="7" borderId="7" xfId="2" applyFill="1" applyBorder="1" applyAlignment="1">
      <alignment vertical="center" wrapText="1"/>
    </xf>
    <xf numFmtId="0" fontId="15" fillId="7" borderId="7" xfId="0" applyFont="1" applyFill="1" applyBorder="1" applyAlignment="1">
      <alignment vertical="center" wrapText="1"/>
    </xf>
    <xf numFmtId="0" fontId="0" fillId="7" borderId="7" xfId="0" applyFill="1" applyBorder="1" applyAlignment="1">
      <alignment vertical="center" wrapText="1"/>
    </xf>
    <xf numFmtId="14" fontId="12" fillId="7" borderId="7" xfId="0" applyNumberFormat="1" applyFont="1" applyFill="1" applyBorder="1" applyAlignment="1">
      <alignment horizontal="right" vertical="center" wrapText="1"/>
    </xf>
    <xf numFmtId="0" fontId="14" fillId="7" borderId="14" xfId="0" applyFont="1" applyFill="1" applyBorder="1" applyAlignment="1">
      <alignment horizontal="right" vertical="center" wrapText="1"/>
    </xf>
    <xf numFmtId="14" fontId="10" fillId="8" borderId="13" xfId="0" applyNumberFormat="1" applyFont="1" applyFill="1" applyBorder="1" applyAlignment="1">
      <alignment horizontal="right" vertical="center" wrapText="1"/>
    </xf>
    <xf numFmtId="0" fontId="0" fillId="8" borderId="14" xfId="0" applyFill="1" applyBorder="1" applyAlignment="1">
      <alignment vertical="center" wrapText="1"/>
    </xf>
    <xf numFmtId="0" fontId="17" fillId="0" borderId="0" xfId="0" applyFont="1"/>
    <xf numFmtId="0" fontId="16" fillId="9" borderId="0" xfId="0" applyFont="1" applyFill="1"/>
    <xf numFmtId="17" fontId="0" fillId="0" borderId="0" xfId="0" applyNumberFormat="1"/>
    <xf numFmtId="166" fontId="0" fillId="0" borderId="0" xfId="1" applyNumberFormat="1" applyFont="1"/>
    <xf numFmtId="0" fontId="16" fillId="10" borderId="0" xfId="0" applyFont="1" applyFill="1"/>
    <xf numFmtId="0" fontId="0" fillId="0" borderId="0" xfId="0" applyAlignment="1">
      <alignment horizontal="center" vertical="center"/>
    </xf>
    <xf numFmtId="0" fontId="3" fillId="10" borderId="2" xfId="0" applyFont="1" applyFill="1" applyBorder="1"/>
    <xf numFmtId="0" fontId="0" fillId="11" borderId="0" xfId="0" applyFill="1"/>
    <xf numFmtId="0" fontId="0" fillId="12" borderId="0" xfId="0" applyFill="1"/>
    <xf numFmtId="166" fontId="0" fillId="0" borderId="0" xfId="0" applyNumberFormat="1"/>
    <xf numFmtId="0" fontId="16" fillId="9" borderId="0" xfId="0" applyFont="1" applyFill="1" applyAlignment="1">
      <alignment horizontal="center"/>
    </xf>
  </cellXfs>
  <cellStyles count="4">
    <cellStyle name="Hipervínculo" xfId="2" builtinId="8"/>
    <cellStyle name="Hyperlink" xfId="3" xr:uid="{27EE11A8-D210-4E16-991E-FE42A7C315FA}"/>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50800</xdr:colOff>
      <xdr:row>7</xdr:row>
      <xdr:rowOff>0</xdr:rowOff>
    </xdr:from>
    <xdr:to>
      <xdr:col>3</xdr:col>
      <xdr:colOff>755650</xdr:colOff>
      <xdr:row>10</xdr:row>
      <xdr:rowOff>6350</xdr:rowOff>
    </xdr:to>
    <xdr:sp macro="" textlink="">
      <xdr:nvSpPr>
        <xdr:cNvPr id="2" name="Triángulo isósceles 1">
          <a:extLst>
            <a:ext uri="{FF2B5EF4-FFF2-40B4-BE49-F238E27FC236}">
              <a16:creationId xmlns:a16="http://schemas.microsoft.com/office/drawing/2014/main" id="{DA829ABC-8C88-8049-41C5-02076BB840DA}"/>
            </a:ext>
          </a:extLst>
        </xdr:cNvPr>
        <xdr:cNvSpPr/>
      </xdr:nvSpPr>
      <xdr:spPr>
        <a:xfrm rot="10800000">
          <a:off x="8274050" y="1104900"/>
          <a:ext cx="704850" cy="558800"/>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8c874c11f203d11/Documentos/CRM&#180;s/CRM%20Gerencia.xlsx" TargetMode="External"/><Relationship Id="rId1" Type="http://schemas.openxmlformats.org/officeDocument/2006/relationships/externalLinkPath" Target="CRM%20Gerenci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08c874c11f203d11/Documentos/CRM&#180;s/CRM%20Comercial%203%20Compass%2012.11.25.xlsx" TargetMode="External"/><Relationship Id="rId1" Type="http://schemas.openxmlformats.org/officeDocument/2006/relationships/externalLinkPath" Target="CRM%20Comercial%203%20Compass%2012.11.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08c874c11f203d11/Documentos/CRM&#180;s/CRM%20Comercial%202%20Compass%2027.10.xlsx" TargetMode="External"/><Relationship Id="rId1" Type="http://schemas.openxmlformats.org/officeDocument/2006/relationships/externalLinkPath" Target="CRM%20Comercial%202%20Compass%2027.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NDA"/>
      <sheetName val="CRM"/>
      <sheetName val="CIERRES"/>
      <sheetName val="Detalle"/>
      <sheetName val="CRM Gerencia"/>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NDA"/>
      <sheetName val="Base CRM"/>
      <sheetName val="Detalle"/>
      <sheetName val="CIERRES"/>
      <sheetName val="CRM Comercial 3 Compass 12.11"/>
    </sheetNames>
    <sheetDataSet>
      <sheetData sheetId="0"/>
      <sheetData sheetId="1"/>
      <sheetData sheetId="2"/>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NDA"/>
      <sheetName val="Base CRM"/>
      <sheetName val="CIERRE"/>
      <sheetName val="Detalle"/>
      <sheetName val="CRM Comercial 2 Compass 27.10"/>
    </sheetNames>
    <sheetDataSet>
      <sheetData sheetId="0" refreshError="1"/>
      <sheetData sheetId="1"/>
      <sheetData sheetId="2" refreshError="1"/>
      <sheetData sheetId="3" refreshError="1"/>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reservas@hotelanthonys.com" TargetMode="External"/><Relationship Id="rId21" Type="http://schemas.openxmlformats.org/officeDocument/2006/relationships/hyperlink" Target="http://www.medicalhome.com.pe/" TargetMode="External"/><Relationship Id="rId42" Type="http://schemas.openxmlformats.org/officeDocument/2006/relationships/hyperlink" Target="mailto:nnavarro@acity.com.pe" TargetMode="External"/><Relationship Id="rId63" Type="http://schemas.openxmlformats.org/officeDocument/2006/relationships/hyperlink" Target="https://www.facebook.com/nomebusquesmeencontraste/" TargetMode="External"/><Relationship Id="rId84" Type="http://schemas.openxmlformats.org/officeDocument/2006/relationships/hyperlink" Target="mailto:hotel-palacio@hotmail.com" TargetMode="External"/><Relationship Id="rId138" Type="http://schemas.openxmlformats.org/officeDocument/2006/relationships/hyperlink" Target="mailto:angeles.comerciales.ventas@gmail.com" TargetMode="External"/><Relationship Id="rId159" Type="http://schemas.openxmlformats.org/officeDocument/2006/relationships/hyperlink" Target="mailto:info@hotellamolina.com.pe" TargetMode="External"/><Relationship Id="rId170" Type="http://schemas.openxmlformats.org/officeDocument/2006/relationships/hyperlink" Target="mailto:sengu4lch@gmail.com" TargetMode="External"/><Relationship Id="rId191" Type="http://schemas.openxmlformats.org/officeDocument/2006/relationships/hyperlink" Target="mailto:servicios.lavagyn@gmail.com" TargetMode="External"/><Relationship Id="rId205" Type="http://schemas.openxmlformats.org/officeDocument/2006/relationships/hyperlink" Target="https://www.instagram.com/olimpialaundry/?hl=es" TargetMode="External"/><Relationship Id="rId226" Type="http://schemas.openxmlformats.org/officeDocument/2006/relationships/hyperlink" Target="https://www.instagram.com/allclean.lavanderia/?hl=es-la" TargetMode="External"/><Relationship Id="rId107" Type="http://schemas.openxmlformats.org/officeDocument/2006/relationships/hyperlink" Target="mailto:carlos.herrera.gonzaga@gmail.com" TargetMode="External"/><Relationship Id="rId11" Type="http://schemas.openxmlformats.org/officeDocument/2006/relationships/hyperlink" Target="http://www.clinicapardocusco.com/" TargetMode="External"/><Relationship Id="rId32" Type="http://schemas.openxmlformats.org/officeDocument/2006/relationships/hyperlink" Target="mailto:logistica@idetex.com.pe" TargetMode="External"/><Relationship Id="rId53" Type="http://schemas.openxmlformats.org/officeDocument/2006/relationships/hyperlink" Target="mailto:luis.alberto.ortiz.43@gmail.com" TargetMode="External"/><Relationship Id="rId74" Type="http://schemas.openxmlformats.org/officeDocument/2006/relationships/hyperlink" Target="mailto:cmarroquin@chinalco.com.pe" TargetMode="External"/><Relationship Id="rId128" Type="http://schemas.openxmlformats.org/officeDocument/2006/relationships/hyperlink" Target="mailto:valgutsac@gmail.com" TargetMode="External"/><Relationship Id="rId149" Type="http://schemas.openxmlformats.org/officeDocument/2006/relationships/hyperlink" Target="mailto:reservas@hotelyeyas.com" TargetMode="External"/><Relationship Id="rId5" Type="http://schemas.openxmlformats.org/officeDocument/2006/relationships/hyperlink" Target="http://www.garciabragagnini.com/" TargetMode="External"/><Relationship Id="rId95" Type="http://schemas.openxmlformats.org/officeDocument/2006/relationships/hyperlink" Target="mailto:marco.condoriramos420@gmail.com" TargetMode="External"/><Relationship Id="rId160" Type="http://schemas.openxmlformats.org/officeDocument/2006/relationships/hyperlink" Target="mailto:invotel@gmail.com" TargetMode="External"/><Relationship Id="rId181" Type="http://schemas.openxmlformats.org/officeDocument/2006/relationships/hyperlink" Target="mailto:davidmoreno7353@gmail.com" TargetMode="External"/><Relationship Id="rId216" Type="http://schemas.openxmlformats.org/officeDocument/2006/relationships/hyperlink" Target="https://sagitasa.com.pe/" TargetMode="External"/><Relationship Id="rId22" Type="http://schemas.openxmlformats.org/officeDocument/2006/relationships/hyperlink" Target="http://www.macsalud.com/" TargetMode="External"/><Relationship Id="rId43" Type="http://schemas.openxmlformats.org/officeDocument/2006/relationships/hyperlink" Target="mailto:marlene.galicia@sheraton.com" TargetMode="External"/><Relationship Id="rId64" Type="http://schemas.openxmlformats.org/officeDocument/2006/relationships/hyperlink" Target="https://www.facebook.com/nomebusquesmeencontraste/" TargetMode="External"/><Relationship Id="rId118" Type="http://schemas.openxmlformats.org/officeDocument/2006/relationships/hyperlink" Target="mailto:hotelcontinentalperu@gmail.com" TargetMode="External"/><Relationship Id="rId139" Type="http://schemas.openxmlformats.org/officeDocument/2006/relationships/hyperlink" Target="mailto:valgutsac@gmail.com" TargetMode="External"/><Relationship Id="rId85" Type="http://schemas.openxmlformats.org/officeDocument/2006/relationships/hyperlink" Target="mailto:hotelinternacional763@hotmail.com" TargetMode="External"/><Relationship Id="rId150" Type="http://schemas.openxmlformats.org/officeDocument/2006/relationships/hyperlink" Target="mailto:info@hotellamolina.com.pe" TargetMode="External"/><Relationship Id="rId171" Type="http://schemas.openxmlformats.org/officeDocument/2006/relationships/hyperlink" Target="mailto:info@hotellamolina.com.pe" TargetMode="External"/><Relationship Id="rId192" Type="http://schemas.openxmlformats.org/officeDocument/2006/relationships/hyperlink" Target="mailto:informes@ecocleangestion.com.pe" TargetMode="External"/><Relationship Id="rId206" Type="http://schemas.openxmlformats.org/officeDocument/2006/relationships/hyperlink" Target="mailto:eventos@losincas.com.pe" TargetMode="External"/><Relationship Id="rId227" Type="http://schemas.openxmlformats.org/officeDocument/2006/relationships/hyperlink" Target="mailto:jcosanatan@gmail.com" TargetMode="External"/><Relationship Id="rId12" Type="http://schemas.openxmlformats.org/officeDocument/2006/relationships/hyperlink" Target="mailto:informes@sanjose.com.pe" TargetMode="External"/><Relationship Id="rId33" Type="http://schemas.openxmlformats.org/officeDocument/2006/relationships/hyperlink" Target="http://www.idetex.com.pe/" TargetMode="External"/><Relationship Id="rId108" Type="http://schemas.openxmlformats.org/officeDocument/2006/relationships/hyperlink" Target="mailto:angeles.comerciales.ventas@gmail.com" TargetMode="External"/><Relationship Id="rId129" Type="http://schemas.openxmlformats.org/officeDocument/2006/relationships/hyperlink" Target="mailto:marco.condoriramos420@gmail.com" TargetMode="External"/><Relationship Id="rId54" Type="http://schemas.openxmlformats.org/officeDocument/2006/relationships/hyperlink" Target="mailto:luis.alberto.ortiz.43@gmail.com" TargetMode="External"/><Relationship Id="rId75" Type="http://schemas.openxmlformats.org/officeDocument/2006/relationships/hyperlink" Target="mailto:ventas@aquaruf.com.pe" TargetMode="External"/><Relationship Id="rId96" Type="http://schemas.openxmlformats.org/officeDocument/2006/relationships/hyperlink" Target="mailto:lichiufb@gmail.com" TargetMode="External"/><Relationship Id="rId140" Type="http://schemas.openxmlformats.org/officeDocument/2006/relationships/hyperlink" Target="mailto:lichiufb@gmail.com" TargetMode="External"/><Relationship Id="rId161" Type="http://schemas.openxmlformats.org/officeDocument/2006/relationships/hyperlink" Target="mailto:asistente@kingdomhotelperu.com" TargetMode="External"/><Relationship Id="rId182" Type="http://schemas.openxmlformats.org/officeDocument/2006/relationships/hyperlink" Target="mailto:patriciaalarcon889@gmail.com" TargetMode="External"/><Relationship Id="rId217" Type="http://schemas.openxmlformats.org/officeDocument/2006/relationships/hyperlink" Target="mailto:jcosanatan@gmail.com" TargetMode="External"/><Relationship Id="rId6" Type="http://schemas.openxmlformats.org/officeDocument/2006/relationships/hyperlink" Target="http://www.clinicadac.com/" TargetMode="External"/><Relationship Id="rId23" Type="http://schemas.openxmlformats.org/officeDocument/2006/relationships/hyperlink" Target="https://www.lavanderiasdonmarcelo.com/" TargetMode="External"/><Relationship Id="rId119" Type="http://schemas.openxmlformats.org/officeDocument/2006/relationships/hyperlink" Target="mailto:hotel-palacio@hotmail.com" TargetMode="External"/><Relationship Id="rId44" Type="http://schemas.openxmlformats.org/officeDocument/2006/relationships/hyperlink" Target="http://www.lucent.pe/" TargetMode="External"/><Relationship Id="rId65" Type="http://schemas.openxmlformats.org/officeDocument/2006/relationships/hyperlink" Target="mailto:jcosanatan@gmail.com" TargetMode="External"/><Relationship Id="rId86" Type="http://schemas.openxmlformats.org/officeDocument/2006/relationships/hyperlink" Target="mailto:gerencia@inkapath.com" TargetMode="External"/><Relationship Id="rId130" Type="http://schemas.openxmlformats.org/officeDocument/2006/relationships/hyperlink" Target="mailto:lichiufb@gmail.com" TargetMode="External"/><Relationship Id="rId151" Type="http://schemas.openxmlformats.org/officeDocument/2006/relationships/hyperlink" Target="mailto:invotel@gmail.com" TargetMode="External"/><Relationship Id="rId172" Type="http://schemas.openxmlformats.org/officeDocument/2006/relationships/hyperlink" Target="mailto:invotel@gmail.com" TargetMode="External"/><Relationship Id="rId193" Type="http://schemas.openxmlformats.org/officeDocument/2006/relationships/hyperlink" Target="mailto:lavadorita.peru@gmail.com" TargetMode="External"/><Relationship Id="rId207" Type="http://schemas.openxmlformats.org/officeDocument/2006/relationships/hyperlink" Target="mailto:lavanderiajys.iqt@gmail.com" TargetMode="External"/><Relationship Id="rId13" Type="http://schemas.openxmlformats.org/officeDocument/2006/relationships/hyperlink" Target="mailto:consultas@cps.com.pe" TargetMode="External"/><Relationship Id="rId109" Type="http://schemas.openxmlformats.org/officeDocument/2006/relationships/hyperlink" Target="mailto:valgutsac@gmail.com" TargetMode="External"/><Relationship Id="rId34" Type="http://schemas.openxmlformats.org/officeDocument/2006/relationships/hyperlink" Target="mailto:carolains.vargas@paz.pe" TargetMode="External"/><Relationship Id="rId55" Type="http://schemas.openxmlformats.org/officeDocument/2006/relationships/hyperlink" Target="mailto:jefatura.log&#237;stica@losinkasgolf.com" TargetMode="External"/><Relationship Id="rId76" Type="http://schemas.openxmlformats.org/officeDocument/2006/relationships/hyperlink" Target="mailto:recepcion.hgisurco@den-group.com" TargetMode="External"/><Relationship Id="rId97" Type="http://schemas.openxmlformats.org/officeDocument/2006/relationships/hyperlink" Target="mailto:reservas@hotelanthonys.com" TargetMode="External"/><Relationship Id="rId120" Type="http://schemas.openxmlformats.org/officeDocument/2006/relationships/hyperlink" Target="mailto:hotelinternacional763@hotmail.com" TargetMode="External"/><Relationship Id="rId141" Type="http://schemas.openxmlformats.org/officeDocument/2006/relationships/hyperlink" Target="mailto:lichiufb@gmail.com" TargetMode="External"/><Relationship Id="rId7" Type="http://schemas.openxmlformats.org/officeDocument/2006/relationships/hyperlink" Target="https://clinicasanjosecusco.com/" TargetMode="External"/><Relationship Id="rId162" Type="http://schemas.openxmlformats.org/officeDocument/2006/relationships/hyperlink" Target="mailto:reservas@hotelsanremoperu.com" TargetMode="External"/><Relationship Id="rId183" Type="http://schemas.openxmlformats.org/officeDocument/2006/relationships/hyperlink" Target="mailto:PAREDESMATTA90@GMAIL.COM" TargetMode="External"/><Relationship Id="rId218" Type="http://schemas.openxmlformats.org/officeDocument/2006/relationships/hyperlink" Target="mailto:davidmoreno7353@gmail.com" TargetMode="External"/><Relationship Id="rId24" Type="http://schemas.openxmlformats.org/officeDocument/2006/relationships/hyperlink" Target="mailto:donmar@gmail.com" TargetMode="External"/><Relationship Id="rId45" Type="http://schemas.openxmlformats.org/officeDocument/2006/relationships/hyperlink" Target="http://www.lucent.pe/" TargetMode="External"/><Relationship Id="rId66" Type="http://schemas.openxmlformats.org/officeDocument/2006/relationships/hyperlink" Target="mailto:drevilla@westinlima.com" TargetMode="External"/><Relationship Id="rId87" Type="http://schemas.openxmlformats.org/officeDocument/2006/relationships/hyperlink" Target="mailto:reservas@hotelanthonys.com" TargetMode="External"/><Relationship Id="rId110" Type="http://schemas.openxmlformats.org/officeDocument/2006/relationships/hyperlink" Target="mailto:marco.condoriramos420@gmail.com" TargetMode="External"/><Relationship Id="rId131" Type="http://schemas.openxmlformats.org/officeDocument/2006/relationships/hyperlink" Target="mailto:lichiufb@gmail.com" TargetMode="External"/><Relationship Id="rId152" Type="http://schemas.openxmlformats.org/officeDocument/2006/relationships/hyperlink" Target="mailto:servicios@corporacionlavassa.pe" TargetMode="External"/><Relationship Id="rId173" Type="http://schemas.openxmlformats.org/officeDocument/2006/relationships/hyperlink" Target="mailto:cuentas@hotelboulevard.com.pe" TargetMode="External"/><Relationship Id="rId194" Type="http://schemas.openxmlformats.org/officeDocument/2006/relationships/hyperlink" Target="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TargetMode="External"/><Relationship Id="rId208" Type="http://schemas.openxmlformats.org/officeDocument/2006/relationships/hyperlink" Target="mailto:hospedajelavidena@hotmail.com" TargetMode="External"/><Relationship Id="rId14" Type="http://schemas.openxmlformats.org/officeDocument/2006/relationships/hyperlink" Target="mailto:clinicasjd@sanjuandedioscusco.org" TargetMode="External"/><Relationship Id="rId35" Type="http://schemas.openxmlformats.org/officeDocument/2006/relationships/hyperlink" Target="mailto:egonzales@bengala.pe" TargetMode="External"/><Relationship Id="rId56" Type="http://schemas.openxmlformats.org/officeDocument/2006/relationships/hyperlink" Target="mailto:nnavarro@acity.com.pe" TargetMode="External"/><Relationship Id="rId77" Type="http://schemas.openxmlformats.org/officeDocument/2006/relationships/hyperlink" Target="mailto:martin.meza@melia.com" TargetMode="External"/><Relationship Id="rId100" Type="http://schemas.openxmlformats.org/officeDocument/2006/relationships/hyperlink" Target="mailto:hotelinternacional763@hotmail.com" TargetMode="External"/><Relationship Id="rId8" Type="http://schemas.openxmlformats.org/officeDocument/2006/relationships/hyperlink" Target="http://www.clinicadac.com/" TargetMode="External"/><Relationship Id="rId98" Type="http://schemas.openxmlformats.org/officeDocument/2006/relationships/hyperlink" Target="mailto:hotelcontinentalperu@gmail.com" TargetMode="External"/><Relationship Id="rId121" Type="http://schemas.openxmlformats.org/officeDocument/2006/relationships/hyperlink" Target="mailto:gerencia@inkapath.com" TargetMode="External"/><Relationship Id="rId142" Type="http://schemas.openxmlformats.org/officeDocument/2006/relationships/hyperlink" Target="mailto:jalvarado@barymas.com" TargetMode="External"/><Relationship Id="rId163" Type="http://schemas.openxmlformats.org/officeDocument/2006/relationships/hyperlink" Target="mailto:annie-lu-se@outlook.com" TargetMode="External"/><Relationship Id="rId184" Type="http://schemas.openxmlformats.org/officeDocument/2006/relationships/hyperlink" Target="mailto:skemyherlinyolimar@gmail.com" TargetMode="External"/><Relationship Id="rId219" Type="http://schemas.openxmlformats.org/officeDocument/2006/relationships/hyperlink" Target="mailto:jcosanatan@gmail.com" TargetMode="External"/><Relationship Id="rId3" Type="http://schemas.openxmlformats.org/officeDocument/2006/relationships/hyperlink" Target="http://www.sanjuandediosarequipa.com/" TargetMode="External"/><Relationship Id="rId214" Type="http://schemas.openxmlformats.org/officeDocument/2006/relationships/hyperlink" Target="mailto:adaas_19@hotmail.com" TargetMode="External"/><Relationship Id="rId25" Type="http://schemas.openxmlformats.org/officeDocument/2006/relationships/hyperlink" Target="http://www.clinicalospinos.com/" TargetMode="External"/><Relationship Id="rId46" Type="http://schemas.openxmlformats.org/officeDocument/2006/relationships/hyperlink" Target="mailto:luis.alberto.ortiz.43@gmail.com" TargetMode="External"/><Relationship Id="rId67" Type="http://schemas.openxmlformats.org/officeDocument/2006/relationships/hyperlink" Target="https://www.facebook.com/nomebusquesmeencontraste/" TargetMode="External"/><Relationship Id="rId116" Type="http://schemas.openxmlformats.org/officeDocument/2006/relationships/hyperlink" Target="mailto:sengu4lch@gmail.com" TargetMode="External"/><Relationship Id="rId137" Type="http://schemas.openxmlformats.org/officeDocument/2006/relationships/hyperlink" Target="mailto:carlos.herrera.gonzaga@gmail.com" TargetMode="External"/><Relationship Id="rId158" Type="http://schemas.openxmlformats.org/officeDocument/2006/relationships/hyperlink" Target="mailto:sengu4lch@gmail.com" TargetMode="External"/><Relationship Id="rId20" Type="http://schemas.openxmlformats.org/officeDocument/2006/relationships/hyperlink" Target="mailto:info@clinica-casafranca.com" TargetMode="External"/><Relationship Id="rId41" Type="http://schemas.openxmlformats.org/officeDocument/2006/relationships/hyperlink" Target="http://www.corporacionpanaservice.com/" TargetMode="External"/><Relationship Id="rId62" Type="http://schemas.openxmlformats.org/officeDocument/2006/relationships/hyperlink" Target="mailto:angeloqa12@gmail.com" TargetMode="External"/><Relationship Id="rId83" Type="http://schemas.openxmlformats.org/officeDocument/2006/relationships/hyperlink" Target="mailto:hotelcontinentalperu@gmail.com" TargetMode="External"/><Relationship Id="rId88" Type="http://schemas.openxmlformats.org/officeDocument/2006/relationships/hyperlink" Target="mailto:administraci&#243;n@hotelolaya.com.pe/gerencia@hotelolaya.com.pe" TargetMode="External"/><Relationship Id="rId111" Type="http://schemas.openxmlformats.org/officeDocument/2006/relationships/hyperlink" Target="mailto:lichiufb@gmail.com" TargetMode="External"/><Relationship Id="rId132" Type="http://schemas.openxmlformats.org/officeDocument/2006/relationships/hyperlink" Target="mailto:angeloqa12@gmail.com" TargetMode="External"/><Relationship Id="rId153" Type="http://schemas.openxmlformats.org/officeDocument/2006/relationships/hyperlink" Target="mailto:angeloqa12@gmail.com" TargetMode="External"/><Relationship Id="rId174" Type="http://schemas.openxmlformats.org/officeDocument/2006/relationships/hyperlink" Target="mailto:leonardo.rodriguez@decapolisperu.com" TargetMode="External"/><Relationship Id="rId179" Type="http://schemas.openxmlformats.org/officeDocument/2006/relationships/hyperlink" Target="mailto:leonardo.rodriguez@decapolisperu.com" TargetMode="External"/><Relationship Id="rId195" Type="http://schemas.openxmlformats.org/officeDocument/2006/relationships/hyperlink" Target="mailto:lavanderiarivasplata@gmail.com" TargetMode="External"/><Relationship Id="rId209" Type="http://schemas.openxmlformats.org/officeDocument/2006/relationships/hyperlink" Target="https://l.facebook.com/l.php?u=https%3A%2F%2Fwww.hotelasiatika.com%2F&amp;h=AT3BLoX-uB6lAgPYUdzvCFWd34U-5QgTrlDKWCoNFJfWkoQffny_AEXzAKk_lY2DLB0gY7KyvpFM63NJvi6yai7_51TaLaUT2eNsEdsztogHA_EETyfrnmXmY2NJ5ePwl02kDsVzshly1rMg9pRJpw" TargetMode="External"/><Relationship Id="rId190" Type="http://schemas.openxmlformats.org/officeDocument/2006/relationships/hyperlink" Target="https://l.facebook.com/l.php?u=http%3A%2F%2Fwww.lavanderiacityplus.com%2F&amp;h=AT3fAok9QRhB9Kl2aGN7wiSpP6CkJEwzlLJ48-MW2dyyW_vfAiP2UEF6RwezuBX-zdbUUSUyxAH166ziDEuvJn34U96ciJQFHhxq0INC-DZKk54H0vL-tdO47OIy-GyWUTWW-ZnPhrucd0RLdOGiHA" TargetMode="External"/><Relationship Id="rId204" Type="http://schemas.openxmlformats.org/officeDocument/2006/relationships/hyperlink" Target="https://l.facebook.com/l.php?u=https%3A%2F%2Fwww.instagram.com%2Flavanderialavalux_%2F&amp;h=AT01zNSlSK0g6_5HNS6nZCERFvB2pkC06WFLYX20MuCx7DNvmbPAEGUmT3qCVZ_3gk1_OO_6a9Hu9Kah9LK-lhceD6r_5fJOH60y8mT0UAKmmHUCACeVj1vc_Gw95y-cHDYblk7uRj6frP6nqVBvDw" TargetMode="External"/><Relationship Id="rId220" Type="http://schemas.openxmlformats.org/officeDocument/2006/relationships/hyperlink" Target="mailto:lavanderiajys.iqt@gmail.com" TargetMode="External"/><Relationship Id="rId225" Type="http://schemas.openxmlformats.org/officeDocument/2006/relationships/hyperlink" Target="https://www.lapositiva.com.pe/wps/portal/corporativo/home" TargetMode="External"/><Relationship Id="rId15" Type="http://schemas.openxmlformats.org/officeDocument/2006/relationships/hyperlink" Target="http://www.clinicasanjuandedioscusco.org/" TargetMode="External"/><Relationship Id="rId36" Type="http://schemas.openxmlformats.org/officeDocument/2006/relationships/hyperlink" Target="mailto:marlene.galicia@sheraton.com" TargetMode="External"/><Relationship Id="rId57" Type="http://schemas.openxmlformats.org/officeDocument/2006/relationships/hyperlink" Target="mailto:amadeoj.berrocal@hotelesestelar.com" TargetMode="External"/><Relationship Id="rId106" Type="http://schemas.openxmlformats.org/officeDocument/2006/relationships/hyperlink" Target="mailto:fiorella22303@gmail.com" TargetMode="External"/><Relationship Id="rId127" Type="http://schemas.openxmlformats.org/officeDocument/2006/relationships/hyperlink" Target="mailto:angeles.comerciales.ventas@gmail.com" TargetMode="External"/><Relationship Id="rId10" Type="http://schemas.openxmlformats.org/officeDocument/2006/relationships/hyperlink" Target="mailto:contabilidad3.montecarmelo@gmail.com" TargetMode="External"/><Relationship Id="rId31" Type="http://schemas.openxmlformats.org/officeDocument/2006/relationships/hyperlink" Target="https://www.casa-andina.com/es/destinos/surco/hoteles/casa-andina-premium-golf-los-incas" TargetMode="External"/><Relationship Id="rId52" Type="http://schemas.openxmlformats.org/officeDocument/2006/relationships/hyperlink" Target="mailto:luis.alberto.ortiz.43@gmail.com" TargetMode="External"/><Relationship Id="rId73" Type="http://schemas.openxmlformats.org/officeDocument/2006/relationships/hyperlink" Target="mailto:logistica@miraflorescolonhotel.com" TargetMode="External"/><Relationship Id="rId78" Type="http://schemas.openxmlformats.org/officeDocument/2006/relationships/hyperlink" Target="mailto:martin.meza@melia.com" TargetMode="External"/><Relationship Id="rId94" Type="http://schemas.openxmlformats.org/officeDocument/2006/relationships/hyperlink" Target="mailto:valgutsac@gmail.com" TargetMode="External"/><Relationship Id="rId99" Type="http://schemas.openxmlformats.org/officeDocument/2006/relationships/hyperlink" Target="mailto:hotel-palacio@hotmail.com" TargetMode="External"/><Relationship Id="rId101" Type="http://schemas.openxmlformats.org/officeDocument/2006/relationships/hyperlink" Target="mailto:gerencia@inkapath.com" TargetMode="External"/><Relationship Id="rId122" Type="http://schemas.openxmlformats.org/officeDocument/2006/relationships/hyperlink" Target="mailto:administraci&#243;n@hotelolaya.com.pe/gerencia@hotelolaya.com.pe" TargetMode="External"/><Relationship Id="rId143" Type="http://schemas.openxmlformats.org/officeDocument/2006/relationships/hyperlink" Target="mailto:annie-lu-se@outlook.com" TargetMode="External"/><Relationship Id="rId148" Type="http://schemas.openxmlformats.org/officeDocument/2006/relationships/hyperlink" Target="mailto:khernandez@elbosque.org.pe" TargetMode="External"/><Relationship Id="rId164" Type="http://schemas.openxmlformats.org/officeDocument/2006/relationships/hyperlink" Target="mailto:adm.suites@hotelesinkari.com" TargetMode="External"/><Relationship Id="rId169" Type="http://schemas.openxmlformats.org/officeDocument/2006/relationships/hyperlink" Target="mailto:angeloqa12@gmail.com" TargetMode="External"/><Relationship Id="rId185" Type="http://schemas.openxmlformats.org/officeDocument/2006/relationships/hyperlink" Target="https://www.google.com/search?q=los+incas+numero%7D+hoteal%7D&amp;sca_esv=679517c3ba0a5d08&amp;rlz=1C1VDKB_esPE1178PE1178&amp;sxsrf=AE3TifMcPEY3K4KC2QrIaBjfb7qTc91ZxQ%3A1760136697285&amp;ei=-Y3paNSZEfGq5OUPv7m0CQ&amp;ved=0ahUKEwiU-uOU3JqQAxVxFbkGHb8cLQEQ4dUDCBA&amp;uact=5&amp;oq=los+incas+numero%7D+hoteal%7D&amp;gs_lp=Egxnd3Mtd2l6LXNlcnAiGWxvcyBpbmNhcyBudW1lcm99IGhvdGVhbH0yBxAhGKABGAoyBxAhGKABGAoyBxAhGKABGAoyBxAhGKABGAoyBRAhGJ8FMgUQIRifBTIFECEYnwUyBRAhGJ8FMgUQIRifBTIFECEYnwVItRlQpwFYqhJwAXgBkAEAmAGCAqABzQmqAQUwLjcuMbgBA8gBAPgBAZgCCaACjQrCAgoQABiwAxjWBBhHwgIEECMYJ8ICBRAAGO8FwgIFECEYoAGYAwCIBgGQBgiSBwUxLjcuMaAH9BiyBwUwLjcuMbgHhwrCBwUwLjIuN8gHIQ&amp;sclient=gws-wiz-serp&amp;lqi=Chhsb3MgaW5jYXMgbnVtZXJvfSBob3RlbH0iAhABSMTIhufrgICACFofEAAQARgAGAEiC2luY2FzIGhvdGVsKgQIAxABMgJlc5IBBWhvdGVsqgFFEAEqDyILaW5jYXMgaG90ZWwoDjIfEAEiG_CRY0X3qS3b0X-ZUFuepwY7cM1R5_uI6BgmHzIPEAIiC2luY2FzIGhvdGVs" TargetMode="External"/><Relationship Id="rId4" Type="http://schemas.openxmlformats.org/officeDocument/2006/relationships/hyperlink" Target="mailto:logistica@sanjuandediosarequipa.com" TargetMode="External"/><Relationship Id="rId9" Type="http://schemas.openxmlformats.org/officeDocument/2006/relationships/hyperlink" Target="http://www.montecarmelocm.com/" TargetMode="External"/><Relationship Id="rId180" Type="http://schemas.openxmlformats.org/officeDocument/2006/relationships/hyperlink" Target="mailto:transportes.jasa61@gmail.com" TargetMode="External"/><Relationship Id="rId210" Type="http://schemas.openxmlformats.org/officeDocument/2006/relationships/hyperlink" Target="https://www.facebook.com/p/Asiatika-Hotel-100057112253649/?locale=es_LA" TargetMode="External"/><Relationship Id="rId215" Type="http://schemas.openxmlformats.org/officeDocument/2006/relationships/hyperlink" Target="https://www.linkedin.com/in/alexis-diego-armando-araujo-sanchez-21a606125/?originalSubdomain=pe" TargetMode="External"/><Relationship Id="rId26" Type="http://schemas.openxmlformats.org/officeDocument/2006/relationships/hyperlink" Target="http://www.gdc.pe/" TargetMode="External"/><Relationship Id="rId47" Type="http://schemas.openxmlformats.org/officeDocument/2006/relationships/hyperlink" Target="mailto:moisesfranklinccasanichahua@gmail.com" TargetMode="External"/><Relationship Id="rId68" Type="http://schemas.openxmlformats.org/officeDocument/2006/relationships/hyperlink" Target="http://www.moncal.pe/" TargetMode="External"/><Relationship Id="rId89" Type="http://schemas.openxmlformats.org/officeDocument/2006/relationships/hyperlink" Target="mailto:info@aroromero.com" TargetMode="External"/><Relationship Id="rId112" Type="http://schemas.openxmlformats.org/officeDocument/2006/relationships/hyperlink" Target="mailto:jalvarado@barymas.com" TargetMode="External"/><Relationship Id="rId133" Type="http://schemas.openxmlformats.org/officeDocument/2006/relationships/hyperlink" Target="mailto:sengu4lch@gmail.com" TargetMode="External"/><Relationship Id="rId154" Type="http://schemas.openxmlformats.org/officeDocument/2006/relationships/hyperlink" Target="mailto:sengu4lch@gmail.com" TargetMode="External"/><Relationship Id="rId175" Type="http://schemas.openxmlformats.org/officeDocument/2006/relationships/hyperlink" Target="mailto:luis_maldonado2000@hotmail.com" TargetMode="External"/><Relationship Id="rId196" Type="http://schemas.openxmlformats.org/officeDocument/2006/relationships/hyperlink" Target="mailto:davidmoreno7353@gmail.com" TargetMode="External"/><Relationship Id="rId200" Type="http://schemas.openxmlformats.org/officeDocument/2006/relationships/hyperlink" Target="mailto:informes@ecocleangestion.com.pe" TargetMode="External"/><Relationship Id="rId16" Type="http://schemas.openxmlformats.org/officeDocument/2006/relationships/hyperlink" Target="http://www.cuscohealth.com/" TargetMode="External"/><Relationship Id="rId221" Type="http://schemas.openxmlformats.org/officeDocument/2006/relationships/hyperlink" Target="https://www.google.com/search?q=lavatec+numero&amp;rlz=1C1VDKB_esUS1156US1156&amp;oq=lavatec+numero&amp;gs_lcrp=EgZjaHJvbWUyBggAEEUYOTIICAEQABgWGB4yCggCEAAYogQYiQUyCggDEAAYgAQYogQyBwgEEAAY7wUyCggFEAAYgAQYogQyBwgGEAAY7wXSAQgzMTg0ajBqN6gCALACAA&amp;sourceid=chrome&amp;ie=UTF-8&amp;lqi=Cg5sYXZhdGVjIG51bWVybyICEAFIkYTxja6vgIAIWg0QABgAIgdsYXZhdGVjkgEPbGF1bmRyeV9zZXJ2aWNl" TargetMode="External"/><Relationship Id="rId37" Type="http://schemas.openxmlformats.org/officeDocument/2006/relationships/hyperlink" Target="mailto:jcosanatan@gmail.com" TargetMode="External"/><Relationship Id="rId58" Type="http://schemas.openxmlformats.org/officeDocument/2006/relationships/hyperlink" Target="https://www.estelarmiraflores.com/es/" TargetMode="External"/><Relationship Id="rId79" Type="http://schemas.openxmlformats.org/officeDocument/2006/relationships/hyperlink" Target="mailto:gserquen@aquanqa,pe" TargetMode="External"/><Relationship Id="rId102" Type="http://schemas.openxmlformats.org/officeDocument/2006/relationships/hyperlink" Target="mailto:reservas@hotelanthonys.com" TargetMode="External"/><Relationship Id="rId123" Type="http://schemas.openxmlformats.org/officeDocument/2006/relationships/hyperlink" Target="mailto:info@aroromero.com" TargetMode="External"/><Relationship Id="rId144" Type="http://schemas.openxmlformats.org/officeDocument/2006/relationships/hyperlink" Target="mailto:luis.alberto.ortiz.43@gmail.com" TargetMode="External"/><Relationship Id="rId90" Type="http://schemas.openxmlformats.org/officeDocument/2006/relationships/hyperlink" Target="mailto:informes@elangolochosica.com" TargetMode="External"/><Relationship Id="rId165" Type="http://schemas.openxmlformats.org/officeDocument/2006/relationships/hyperlink" Target="mailto:logistica.comunica@casa-andino.com" TargetMode="External"/><Relationship Id="rId186" Type="http://schemas.openxmlformats.org/officeDocument/2006/relationships/hyperlink" Target="mailto:jcosanatan@gmail.com" TargetMode="External"/><Relationship Id="rId211" Type="http://schemas.openxmlformats.org/officeDocument/2006/relationships/hyperlink" Target="mailto:hostal.blois@gmail.com" TargetMode="External"/><Relationship Id="rId27" Type="http://schemas.openxmlformats.org/officeDocument/2006/relationships/hyperlink" Target="http://www.gdc.pe/" TargetMode="External"/><Relationship Id="rId48" Type="http://schemas.openxmlformats.org/officeDocument/2006/relationships/hyperlink" Target="mailto:leonardo.rodriguez@decapolisperu.com" TargetMode="External"/><Relationship Id="rId69" Type="http://schemas.openxmlformats.org/officeDocument/2006/relationships/hyperlink" Target="mailto:moisesfranklinccasanichahua@gmail.com" TargetMode="External"/><Relationship Id="rId113" Type="http://schemas.openxmlformats.org/officeDocument/2006/relationships/hyperlink" Target="mailto:annie-lu-se@outlook.com" TargetMode="External"/><Relationship Id="rId134" Type="http://schemas.openxmlformats.org/officeDocument/2006/relationships/hyperlink" Target="mailto:administraci&#243;n@hotelolaya.com.pe/gerencia@hotelolaya.com.pe" TargetMode="External"/><Relationship Id="rId80" Type="http://schemas.openxmlformats.org/officeDocument/2006/relationships/hyperlink" Target="mailto:adelcampo@losportales.com.pe" TargetMode="External"/><Relationship Id="rId155" Type="http://schemas.openxmlformats.org/officeDocument/2006/relationships/hyperlink" Target="mailto:info@hotellamolina.com.pe" TargetMode="External"/><Relationship Id="rId176" Type="http://schemas.openxmlformats.org/officeDocument/2006/relationships/hyperlink" Target="mailto:reservas@hotelvilasanta.com" TargetMode="External"/><Relationship Id="rId197" Type="http://schemas.openxmlformats.org/officeDocument/2006/relationships/hyperlink" Target="mailto:jcosanatan@gmail.com" TargetMode="External"/><Relationship Id="rId201" Type="http://schemas.openxmlformats.org/officeDocument/2006/relationships/hyperlink" Target="mailto:lavadorita.peru@gmail.com" TargetMode="External"/><Relationship Id="rId222" Type="http://schemas.openxmlformats.org/officeDocument/2006/relationships/hyperlink" Target="https://www.instagram.com/lavatec.lavanderia" TargetMode="External"/><Relationship Id="rId17" Type="http://schemas.openxmlformats.org/officeDocument/2006/relationships/hyperlink" Target="http://www.clinicacornejo.com/" TargetMode="External"/><Relationship Id="rId38" Type="http://schemas.openxmlformats.org/officeDocument/2006/relationships/hyperlink" Target="mailto:arevilla@westininlima.com" TargetMode="External"/><Relationship Id="rId59" Type="http://schemas.openxmlformats.org/officeDocument/2006/relationships/hyperlink" Target="mailto:sandra.lopez@accor.com" TargetMode="External"/><Relationship Id="rId103" Type="http://schemas.openxmlformats.org/officeDocument/2006/relationships/hyperlink" Target="mailto:administraci&#243;n@hotelolaya.com.pe/gerencia@hotelolaya.com.pe" TargetMode="External"/><Relationship Id="rId124" Type="http://schemas.openxmlformats.org/officeDocument/2006/relationships/hyperlink" Target="mailto:informes@elangolochosica.com" TargetMode="External"/><Relationship Id="rId70" Type="http://schemas.openxmlformats.org/officeDocument/2006/relationships/hyperlink" Target="mailto:jcosanatan@gmail.com" TargetMode="External"/><Relationship Id="rId91" Type="http://schemas.openxmlformats.org/officeDocument/2006/relationships/hyperlink" Target="mailto:fiorella22303@gmail.com" TargetMode="External"/><Relationship Id="rId145" Type="http://schemas.openxmlformats.org/officeDocument/2006/relationships/hyperlink" Target="mailto:mauro0905m@gmail.com" TargetMode="External"/><Relationship Id="rId166" Type="http://schemas.openxmlformats.org/officeDocument/2006/relationships/hyperlink" Target="mailto:sandro.valdez@inkaterra.com" TargetMode="External"/><Relationship Id="rId187" Type="http://schemas.openxmlformats.org/officeDocument/2006/relationships/hyperlink" Target="mailto:karilin4369@gmail.com" TargetMode="External"/><Relationship Id="rId1" Type="http://schemas.openxmlformats.org/officeDocument/2006/relationships/hyperlink" Target="http://www.clinicarequipa.com.pe/" TargetMode="External"/><Relationship Id="rId212" Type="http://schemas.openxmlformats.org/officeDocument/2006/relationships/hyperlink" Target="mailto:espinozacsolange30@gmail.com" TargetMode="External"/><Relationship Id="rId28" Type="http://schemas.openxmlformats.org/officeDocument/2006/relationships/hyperlink" Target="http://www.lucent.pe/" TargetMode="External"/><Relationship Id="rId49" Type="http://schemas.openxmlformats.org/officeDocument/2006/relationships/hyperlink" Target="mailto:juan.benites@vicunha.com" TargetMode="External"/><Relationship Id="rId114" Type="http://schemas.openxmlformats.org/officeDocument/2006/relationships/hyperlink" Target="mailto:luis.alberto.ortiz.43@gmail.com" TargetMode="External"/><Relationship Id="rId60" Type="http://schemas.openxmlformats.org/officeDocument/2006/relationships/hyperlink" Target="mailto:giorgina.guzman@accor.com" TargetMode="External"/><Relationship Id="rId81" Type="http://schemas.openxmlformats.org/officeDocument/2006/relationships/hyperlink" Target="mailto:osoria@losdelfineshotel.com.pe" TargetMode="External"/><Relationship Id="rId135" Type="http://schemas.openxmlformats.org/officeDocument/2006/relationships/hyperlink" Target="mailto:info@aroromero.com" TargetMode="External"/><Relationship Id="rId156" Type="http://schemas.openxmlformats.org/officeDocument/2006/relationships/hyperlink" Target="mailto:invotel@gmail.com" TargetMode="External"/><Relationship Id="rId177" Type="http://schemas.openxmlformats.org/officeDocument/2006/relationships/hyperlink" Target="mailto:kontiki.miraflores.peru@gmail.com" TargetMode="External"/><Relationship Id="rId198" Type="http://schemas.openxmlformats.org/officeDocument/2006/relationships/hyperlink" Target="https://l.facebook.com/l.php?u=http%3A%2F%2Fwww.lavanderiacityplus.com%2F&amp;h=AT3fAok9QRhB9Kl2aGN7wiSpP6CkJEwzlLJ48-MW2dyyW_vfAiP2UEF6RwezuBX-zdbUUSUyxAH166ziDEuvJn34U96ciJQFHhxq0INC-DZKk54H0vL-tdO47OIy-GyWUTWW-ZnPhrucd0RLdOGiHA" TargetMode="External"/><Relationship Id="rId202" Type="http://schemas.openxmlformats.org/officeDocument/2006/relationships/hyperlink" Target="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TargetMode="External"/><Relationship Id="rId223" Type="http://schemas.openxmlformats.org/officeDocument/2006/relationships/hyperlink" Target="mailto:ventas@lavanderiaaqua.com" TargetMode="External"/><Relationship Id="rId18" Type="http://schemas.openxmlformats.org/officeDocument/2006/relationships/hyperlink" Target="mailto:info@clinicacornejo.com" TargetMode="External"/><Relationship Id="rId39" Type="http://schemas.openxmlformats.org/officeDocument/2006/relationships/hyperlink" Target="mailto:gavelino@clubnacional.org.pe" TargetMode="External"/><Relationship Id="rId50" Type="http://schemas.openxmlformats.org/officeDocument/2006/relationships/hyperlink" Target="http://www.vicunha.com/" TargetMode="External"/><Relationship Id="rId104" Type="http://schemas.openxmlformats.org/officeDocument/2006/relationships/hyperlink" Target="mailto:info@aroromero.com" TargetMode="External"/><Relationship Id="rId125" Type="http://schemas.openxmlformats.org/officeDocument/2006/relationships/hyperlink" Target="mailto:fiorella22303@gmail.com" TargetMode="External"/><Relationship Id="rId146" Type="http://schemas.openxmlformats.org/officeDocument/2006/relationships/hyperlink" Target="mailto:jenny13roes@gmail.com" TargetMode="External"/><Relationship Id="rId167" Type="http://schemas.openxmlformats.org/officeDocument/2006/relationships/hyperlink" Target="mailto:compras@hotelesjoseantonio.com" TargetMode="External"/><Relationship Id="rId188" Type="http://schemas.openxmlformats.org/officeDocument/2006/relationships/hyperlink" Target="mailto:ruthvc335@gmail.com" TargetMode="External"/><Relationship Id="rId71" Type="http://schemas.openxmlformats.org/officeDocument/2006/relationships/hyperlink" Target="mailto:housekeeping@radissonred.com.pe" TargetMode="External"/><Relationship Id="rId92" Type="http://schemas.openxmlformats.org/officeDocument/2006/relationships/hyperlink" Target="mailto:carlos.herrera.gonzaga@gmail.com" TargetMode="External"/><Relationship Id="rId213" Type="http://schemas.openxmlformats.org/officeDocument/2006/relationships/hyperlink" Target="https://www.linkedin.com/in/solange-espinoza-chavez-192426356/?originalSubdomain=pe" TargetMode="External"/><Relationship Id="rId2" Type="http://schemas.openxmlformats.org/officeDocument/2006/relationships/hyperlink" Target="mailto:jchecca@clinicaarequipa.com.pe" TargetMode="External"/><Relationship Id="rId29" Type="http://schemas.openxmlformats.org/officeDocument/2006/relationships/hyperlink" Target="http://www.lucent.pe/" TargetMode="External"/><Relationship Id="rId40" Type="http://schemas.openxmlformats.org/officeDocument/2006/relationships/hyperlink" Target="mailto:gerencia@corporacionpanaservice.com" TargetMode="External"/><Relationship Id="rId115" Type="http://schemas.openxmlformats.org/officeDocument/2006/relationships/hyperlink" Target="mailto:angeloqa12@gmail.com" TargetMode="External"/><Relationship Id="rId136" Type="http://schemas.openxmlformats.org/officeDocument/2006/relationships/hyperlink" Target="mailto:informes@elangolochosica.com" TargetMode="External"/><Relationship Id="rId157" Type="http://schemas.openxmlformats.org/officeDocument/2006/relationships/hyperlink" Target="mailto:angeloqa12@gmail.com" TargetMode="External"/><Relationship Id="rId178" Type="http://schemas.openxmlformats.org/officeDocument/2006/relationships/hyperlink" Target="mailto:valgutsac@gmail.com" TargetMode="External"/><Relationship Id="rId61" Type="http://schemas.openxmlformats.org/officeDocument/2006/relationships/hyperlink" Target="https://www.sanagustinexclusive.com/es/" TargetMode="External"/><Relationship Id="rId82" Type="http://schemas.openxmlformats.org/officeDocument/2006/relationships/hyperlink" Target="mailto:cdiaz@casa-andina.com" TargetMode="External"/><Relationship Id="rId199" Type="http://schemas.openxmlformats.org/officeDocument/2006/relationships/hyperlink" Target="mailto:servicios.lavagyn@gmail.com" TargetMode="External"/><Relationship Id="rId203" Type="http://schemas.openxmlformats.org/officeDocument/2006/relationships/hyperlink" Target="https://www.facebook.com/nomebusquesmeencontraste/" TargetMode="External"/><Relationship Id="rId19" Type="http://schemas.openxmlformats.org/officeDocument/2006/relationships/hyperlink" Target="http://www.clinica-casafranca.com/" TargetMode="External"/><Relationship Id="rId224" Type="http://schemas.openxmlformats.org/officeDocument/2006/relationships/hyperlink" Target="mailto:reservas@monterricohotelperu.com" TargetMode="External"/><Relationship Id="rId30" Type="http://schemas.openxmlformats.org/officeDocument/2006/relationships/hyperlink" Target="mailto:arevilla@westininlima.com" TargetMode="External"/><Relationship Id="rId105" Type="http://schemas.openxmlformats.org/officeDocument/2006/relationships/hyperlink" Target="mailto:informes@elangolochosica.com" TargetMode="External"/><Relationship Id="rId126" Type="http://schemas.openxmlformats.org/officeDocument/2006/relationships/hyperlink" Target="mailto:carlos.herrera.gonzaga@gmail.com" TargetMode="External"/><Relationship Id="rId147" Type="http://schemas.openxmlformats.org/officeDocument/2006/relationships/hyperlink" Target="mailto:marco.condoriramos420@gmail.com" TargetMode="External"/><Relationship Id="rId168" Type="http://schemas.openxmlformats.org/officeDocument/2006/relationships/hyperlink" Target="mailto:administraci&#243;n.modo@proper.com.pe" TargetMode="External"/><Relationship Id="rId51" Type="http://schemas.openxmlformats.org/officeDocument/2006/relationships/hyperlink" Target="mailto:angeloqa12@gmail.com" TargetMode="External"/><Relationship Id="rId72" Type="http://schemas.openxmlformats.org/officeDocument/2006/relationships/hyperlink" Target="mailto:gerencia@lavaquick.com" TargetMode="External"/><Relationship Id="rId93" Type="http://schemas.openxmlformats.org/officeDocument/2006/relationships/hyperlink" Target="mailto:angeles.comerciales.ventas@gmail.com" TargetMode="External"/><Relationship Id="rId189" Type="http://schemas.openxmlformats.org/officeDocument/2006/relationships/hyperlink" Target="mailto:Anthonygarcia982@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914C-B0AF-4D86-ADE3-501F353EAB63}">
  <dimension ref="A1:W453"/>
  <sheetViews>
    <sheetView tabSelected="1" zoomScale="48" workbookViewId="0">
      <selection activeCell="V2" sqref="V2"/>
    </sheetView>
  </sheetViews>
  <sheetFormatPr defaultColWidth="11.42578125" defaultRowHeight="14.45"/>
  <cols>
    <col min="2" max="2" width="13" bestFit="1" customWidth="1"/>
    <col min="3" max="3" width="13.7109375" bestFit="1" customWidth="1"/>
    <col min="4" max="4" width="25.7109375" bestFit="1" customWidth="1"/>
    <col min="5" max="5" width="22.85546875" bestFit="1" customWidth="1"/>
    <col min="6" max="6" width="29.42578125" bestFit="1" customWidth="1"/>
    <col min="7" max="7" width="43.140625" customWidth="1"/>
    <col min="8" max="8" width="14.5703125" customWidth="1"/>
    <col min="9" max="9" width="24.5703125" customWidth="1"/>
    <col min="16" max="16" width="100.5703125" customWidth="1"/>
    <col min="17" max="17" width="25.28515625" bestFit="1" customWidth="1"/>
    <col min="18" max="18" width="30.42578125" bestFit="1" customWidth="1"/>
  </cols>
  <sheetData>
    <row r="1" spans="1:23" ht="43.5">
      <c r="A1" s="1" t="s">
        <v>0</v>
      </c>
      <c r="B1" s="2" t="s">
        <v>1</v>
      </c>
      <c r="C1" s="151" t="s">
        <v>2</v>
      </c>
      <c r="D1" s="2" t="s">
        <v>3</v>
      </c>
      <c r="E1" s="2" t="s">
        <v>4</v>
      </c>
      <c r="F1" s="2" t="s">
        <v>5</v>
      </c>
      <c r="G1" s="2" t="s">
        <v>6</v>
      </c>
      <c r="H1" s="2" t="s">
        <v>7</v>
      </c>
      <c r="I1" s="3" t="s">
        <v>8</v>
      </c>
      <c r="J1" s="2" t="s">
        <v>9</v>
      </c>
      <c r="K1" s="151" t="s">
        <v>10</v>
      </c>
      <c r="L1" s="2" t="s">
        <v>11</v>
      </c>
      <c r="M1" s="151" t="s">
        <v>12</v>
      </c>
      <c r="N1" s="2" t="s">
        <v>13</v>
      </c>
      <c r="O1" s="151" t="s">
        <v>14</v>
      </c>
      <c r="P1" s="2" t="s">
        <v>15</v>
      </c>
      <c r="Q1" s="151" t="s">
        <v>16</v>
      </c>
      <c r="R1" s="4" t="s">
        <v>17</v>
      </c>
      <c r="S1" s="3" t="s">
        <v>18</v>
      </c>
      <c r="T1" s="3" t="s">
        <v>19</v>
      </c>
      <c r="U1" s="3" t="s">
        <v>20</v>
      </c>
      <c r="V1" s="3" t="s">
        <v>21</v>
      </c>
      <c r="W1" s="3" t="s">
        <v>22</v>
      </c>
    </row>
    <row r="2" spans="1:23" ht="46.5">
      <c r="A2" s="5">
        <v>1</v>
      </c>
      <c r="B2" s="6">
        <v>45943</v>
      </c>
      <c r="C2" s="7" t="s">
        <v>23</v>
      </c>
      <c r="D2" s="8" t="s">
        <v>24</v>
      </c>
      <c r="E2" s="7" t="s">
        <v>25</v>
      </c>
      <c r="F2" s="9">
        <v>920144113</v>
      </c>
      <c r="G2" s="7"/>
      <c r="H2" s="10"/>
      <c r="I2" s="11"/>
      <c r="J2" s="10"/>
      <c r="K2" s="10" t="s">
        <v>26</v>
      </c>
      <c r="L2" s="10" t="s">
        <v>27</v>
      </c>
      <c r="M2" s="6" t="s">
        <v>28</v>
      </c>
      <c r="N2" s="6" t="s">
        <v>29</v>
      </c>
      <c r="O2" s="6" t="s">
        <v>30</v>
      </c>
      <c r="P2" s="10" t="s">
        <v>31</v>
      </c>
      <c r="Q2" s="12" t="s">
        <v>32</v>
      </c>
      <c r="R2" s="12"/>
      <c r="S2" s="13"/>
      <c r="T2" s="13"/>
      <c r="U2" s="14"/>
      <c r="V2" s="7" t="e">
        <f>WEEKNUM([1]!Tabla1[[#This Row],[Fecha]])</f>
        <v>#REF!</v>
      </c>
      <c r="W2" s="7"/>
    </row>
    <row r="3" spans="1:23" ht="30.95">
      <c r="A3" s="15">
        <v>2</v>
      </c>
      <c r="B3" s="16">
        <v>45943</v>
      </c>
      <c r="C3" s="17" t="s">
        <v>23</v>
      </c>
      <c r="D3" s="18" t="s">
        <v>33</v>
      </c>
      <c r="E3" s="17" t="s">
        <v>34</v>
      </c>
      <c r="F3" s="17"/>
      <c r="G3" s="17"/>
      <c r="H3" s="19" t="s">
        <v>35</v>
      </c>
      <c r="I3" s="20"/>
      <c r="J3" s="19"/>
      <c r="K3" s="19"/>
      <c r="L3" s="19"/>
      <c r="M3" s="20" t="s">
        <v>28</v>
      </c>
      <c r="N3" s="20"/>
      <c r="O3" s="16" t="s">
        <v>30</v>
      </c>
      <c r="P3" s="19" t="s">
        <v>36</v>
      </c>
      <c r="Q3" s="21" t="s">
        <v>32</v>
      </c>
      <c r="R3" s="21"/>
      <c r="S3" s="22"/>
      <c r="T3" s="22"/>
      <c r="U3" s="23"/>
      <c r="V3" s="17" t="e">
        <f>WEEKNUM([1]!Tabla1[[#This Row],[Fecha]])</f>
        <v>#REF!</v>
      </c>
      <c r="W3" s="17"/>
    </row>
    <row r="4" spans="1:23" ht="48">
      <c r="A4" s="5">
        <v>3</v>
      </c>
      <c r="B4" s="6">
        <v>45943</v>
      </c>
      <c r="C4" s="7" t="s">
        <v>23</v>
      </c>
      <c r="D4" s="10" t="s">
        <v>37</v>
      </c>
      <c r="E4" s="10" t="s">
        <v>38</v>
      </c>
      <c r="F4" s="10" t="s">
        <v>39</v>
      </c>
      <c r="G4" s="11" t="s">
        <v>40</v>
      </c>
      <c r="H4" s="7" t="s">
        <v>41</v>
      </c>
      <c r="I4" s="24"/>
      <c r="J4" s="11" t="s">
        <v>42</v>
      </c>
      <c r="K4" s="7" t="s">
        <v>43</v>
      </c>
      <c r="L4" s="7" t="s">
        <v>43</v>
      </c>
      <c r="M4" s="7" t="s">
        <v>44</v>
      </c>
      <c r="N4" s="11"/>
      <c r="O4" s="6" t="s">
        <v>30</v>
      </c>
      <c r="P4" s="14" t="s">
        <v>45</v>
      </c>
      <c r="Q4" s="12" t="s">
        <v>32</v>
      </c>
      <c r="R4" s="12"/>
      <c r="S4" s="13"/>
      <c r="T4" s="13"/>
      <c r="U4" s="24"/>
      <c r="V4" s="7" t="e">
        <f>WEEKNUM([1]!Tabla1[[#This Row],[Fecha]])</f>
        <v>#REF!</v>
      </c>
      <c r="W4" s="7"/>
    </row>
    <row r="5" spans="1:23" ht="63.95">
      <c r="A5" s="15">
        <v>4</v>
      </c>
      <c r="B5" s="16">
        <v>45943</v>
      </c>
      <c r="C5" s="17" t="s">
        <v>23</v>
      </c>
      <c r="D5" s="25" t="s">
        <v>46</v>
      </c>
      <c r="E5" s="25" t="s">
        <v>47</v>
      </c>
      <c r="F5" s="19" t="s">
        <v>48</v>
      </c>
      <c r="G5" s="26" t="s">
        <v>49</v>
      </c>
      <c r="H5" s="17" t="s">
        <v>50</v>
      </c>
      <c r="I5" s="27"/>
      <c r="J5" s="20" t="s">
        <v>51</v>
      </c>
      <c r="K5" s="17" t="s">
        <v>43</v>
      </c>
      <c r="L5" s="17" t="s">
        <v>43</v>
      </c>
      <c r="M5" s="17" t="s">
        <v>44</v>
      </c>
      <c r="N5" s="16"/>
      <c r="O5" s="16" t="s">
        <v>30</v>
      </c>
      <c r="P5" s="17" t="s">
        <v>52</v>
      </c>
      <c r="Q5" s="21" t="s">
        <v>32</v>
      </c>
      <c r="R5" s="22"/>
      <c r="S5" s="22"/>
      <c r="T5" s="23"/>
      <c r="U5" s="27"/>
      <c r="V5" s="17" t="e">
        <f>WEEKNUM([1]!Tabla1[[#This Row],[Fecha]])</f>
        <v>#REF!</v>
      </c>
      <c r="W5" s="27"/>
    </row>
    <row r="6" spans="1:23" ht="48">
      <c r="A6" s="5">
        <v>5</v>
      </c>
      <c r="B6" s="6">
        <v>45943</v>
      </c>
      <c r="C6" s="7" t="s">
        <v>23</v>
      </c>
      <c r="D6" s="10"/>
      <c r="E6" s="10"/>
      <c r="F6" s="10" t="s">
        <v>53</v>
      </c>
      <c r="G6" s="11" t="s">
        <v>54</v>
      </c>
      <c r="H6" s="7" t="s">
        <v>55</v>
      </c>
      <c r="I6" s="24"/>
      <c r="J6" s="11" t="s">
        <v>56</v>
      </c>
      <c r="K6" s="7" t="s">
        <v>43</v>
      </c>
      <c r="L6" s="7" t="s">
        <v>43</v>
      </c>
      <c r="M6" s="7" t="s">
        <v>44</v>
      </c>
      <c r="N6" s="24"/>
      <c r="O6" s="6" t="s">
        <v>30</v>
      </c>
      <c r="P6" s="7" t="s">
        <v>57</v>
      </c>
      <c r="Q6" s="12" t="s">
        <v>32</v>
      </c>
      <c r="R6" s="13"/>
      <c r="S6" s="13"/>
      <c r="T6" s="14"/>
      <c r="U6" s="24"/>
      <c r="V6" s="7" t="e">
        <f>WEEKNUM([1]!Tabla1[[#This Row],[Fecha]])</f>
        <v>#REF!</v>
      </c>
      <c r="W6" s="24"/>
    </row>
    <row r="7" spans="1:23" ht="77.45">
      <c r="A7" s="15">
        <v>6</v>
      </c>
      <c r="B7" s="16">
        <v>45943</v>
      </c>
      <c r="C7" s="17" t="s">
        <v>23</v>
      </c>
      <c r="D7" s="19" t="s">
        <v>58</v>
      </c>
      <c r="E7" s="19" t="s">
        <v>59</v>
      </c>
      <c r="F7" s="19" t="s">
        <v>60</v>
      </c>
      <c r="G7" s="20"/>
      <c r="H7" s="17" t="s">
        <v>61</v>
      </c>
      <c r="I7" s="27"/>
      <c r="J7" s="20" t="s">
        <v>62</v>
      </c>
      <c r="K7" s="17" t="s">
        <v>43</v>
      </c>
      <c r="L7" s="17" t="s">
        <v>43</v>
      </c>
      <c r="M7" s="17" t="s">
        <v>44</v>
      </c>
      <c r="N7" s="27"/>
      <c r="O7" s="16" t="s">
        <v>30</v>
      </c>
      <c r="P7" s="17" t="s">
        <v>63</v>
      </c>
      <c r="Q7" s="21" t="s">
        <v>32</v>
      </c>
      <c r="R7" s="22"/>
      <c r="S7" s="22"/>
      <c r="T7" s="23"/>
      <c r="U7" s="27"/>
      <c r="V7" s="17" t="e">
        <f>WEEKNUM([1]!Tabla1[[#This Row],[Fecha]])</f>
        <v>#REF!</v>
      </c>
      <c r="W7" s="27"/>
    </row>
    <row r="8" spans="1:23" ht="77.45">
      <c r="A8" s="5">
        <v>7</v>
      </c>
      <c r="B8" s="6">
        <v>45944</v>
      </c>
      <c r="C8" s="7" t="s">
        <v>23</v>
      </c>
      <c r="D8" s="10" t="s">
        <v>64</v>
      </c>
      <c r="E8" s="10" t="s">
        <v>65</v>
      </c>
      <c r="F8" s="10" t="s">
        <v>66</v>
      </c>
      <c r="G8" s="11"/>
      <c r="H8" s="7" t="s">
        <v>61</v>
      </c>
      <c r="I8" s="24"/>
      <c r="J8" s="11" t="s">
        <v>62</v>
      </c>
      <c r="K8" s="7" t="s">
        <v>43</v>
      </c>
      <c r="L8" s="7" t="s">
        <v>43</v>
      </c>
      <c r="M8" s="7" t="s">
        <v>44</v>
      </c>
      <c r="N8" s="24"/>
      <c r="O8" s="6" t="s">
        <v>30</v>
      </c>
      <c r="P8" s="28" t="s">
        <v>67</v>
      </c>
      <c r="Q8" s="12" t="s">
        <v>32</v>
      </c>
      <c r="R8" s="13"/>
      <c r="S8" s="13"/>
      <c r="T8" s="14"/>
      <c r="U8" s="24"/>
      <c r="V8" s="7" t="e">
        <f>WEEKNUM([1]!Tabla1[[#This Row],[Fecha]])</f>
        <v>#REF!</v>
      </c>
      <c r="W8" s="24"/>
    </row>
    <row r="9" spans="1:23" ht="48">
      <c r="A9" s="15">
        <v>8</v>
      </c>
      <c r="B9" s="16">
        <v>45944</v>
      </c>
      <c r="C9" s="17" t="s">
        <v>23</v>
      </c>
      <c r="D9" s="29"/>
      <c r="E9" s="29"/>
      <c r="F9" s="30">
        <v>989431075</v>
      </c>
      <c r="G9" s="29"/>
      <c r="H9" s="31" t="s">
        <v>68</v>
      </c>
      <c r="I9" s="27"/>
      <c r="J9" s="32" t="s">
        <v>69</v>
      </c>
      <c r="K9" s="31" t="s">
        <v>70</v>
      </c>
      <c r="L9" s="31" t="s">
        <v>70</v>
      </c>
      <c r="M9" s="17" t="s">
        <v>44</v>
      </c>
      <c r="N9" s="27"/>
      <c r="O9" s="16" t="s">
        <v>30</v>
      </c>
      <c r="P9" s="17" t="s">
        <v>71</v>
      </c>
      <c r="Q9" s="21" t="s">
        <v>32</v>
      </c>
      <c r="R9" s="29"/>
      <c r="S9" s="29"/>
      <c r="T9" s="29"/>
      <c r="U9" s="27"/>
      <c r="V9" s="17" t="e">
        <f>WEEKNUM([1]!Tabla1[[#This Row],[Fecha]])</f>
        <v>#REF!</v>
      </c>
      <c r="W9" s="27"/>
    </row>
    <row r="10" spans="1:23" ht="48">
      <c r="A10" s="5">
        <v>9</v>
      </c>
      <c r="B10" s="6">
        <v>45944</v>
      </c>
      <c r="C10" s="7" t="s">
        <v>23</v>
      </c>
      <c r="D10" s="10"/>
      <c r="E10" s="10"/>
      <c r="F10" s="10" t="s">
        <v>72</v>
      </c>
      <c r="G10" s="11" t="s">
        <v>73</v>
      </c>
      <c r="H10" s="7" t="s">
        <v>74</v>
      </c>
      <c r="I10" s="24"/>
      <c r="J10" s="11" t="s">
        <v>75</v>
      </c>
      <c r="K10" s="7" t="s">
        <v>70</v>
      </c>
      <c r="L10" s="7" t="s">
        <v>70</v>
      </c>
      <c r="M10" s="7" t="s">
        <v>44</v>
      </c>
      <c r="N10" s="24"/>
      <c r="O10" s="6" t="s">
        <v>30</v>
      </c>
      <c r="P10" s="7" t="s">
        <v>76</v>
      </c>
      <c r="Q10" s="12" t="s">
        <v>32</v>
      </c>
      <c r="R10" s="13"/>
      <c r="S10" s="13"/>
      <c r="T10" s="14"/>
      <c r="U10" s="24"/>
      <c r="V10" s="7" t="e">
        <f>WEEKNUM([1]!Tabla1[[#This Row],[Fecha]])</f>
        <v>#REF!</v>
      </c>
      <c r="W10" s="24"/>
    </row>
    <row r="11" spans="1:23" ht="48">
      <c r="A11" s="15">
        <v>10</v>
      </c>
      <c r="B11" s="16">
        <v>45944</v>
      </c>
      <c r="C11" s="17" t="s">
        <v>23</v>
      </c>
      <c r="D11" s="29"/>
      <c r="E11" s="29"/>
      <c r="F11" s="30" t="s">
        <v>77</v>
      </c>
      <c r="G11" s="29"/>
      <c r="H11" s="33" t="s">
        <v>78</v>
      </c>
      <c r="I11" s="27"/>
      <c r="J11" s="20" t="s">
        <v>79</v>
      </c>
      <c r="K11" s="31" t="s">
        <v>70</v>
      </c>
      <c r="L11" s="31" t="s">
        <v>70</v>
      </c>
      <c r="M11" s="17" t="s">
        <v>44</v>
      </c>
      <c r="N11" s="27"/>
      <c r="O11" s="16" t="s">
        <v>30</v>
      </c>
      <c r="P11" s="17" t="s">
        <v>71</v>
      </c>
      <c r="Q11" s="21" t="s">
        <v>32</v>
      </c>
      <c r="R11" s="29"/>
      <c r="S11" s="29"/>
      <c r="T11" s="29"/>
      <c r="U11" s="27"/>
      <c r="V11" s="17" t="e">
        <f>WEEKNUM([1]!Tabla1[[#This Row],[Fecha]])</f>
        <v>#REF!</v>
      </c>
      <c r="W11" s="27"/>
    </row>
    <row r="12" spans="1:23" ht="48">
      <c r="A12" s="5">
        <v>11</v>
      </c>
      <c r="B12" s="6">
        <v>45944</v>
      </c>
      <c r="C12" s="7" t="s">
        <v>23</v>
      </c>
      <c r="D12" s="10" t="s">
        <v>80</v>
      </c>
      <c r="E12" s="10" t="s">
        <v>81</v>
      </c>
      <c r="F12" s="10" t="s">
        <v>82</v>
      </c>
      <c r="G12" s="11" t="s">
        <v>83</v>
      </c>
      <c r="H12" s="7" t="s">
        <v>84</v>
      </c>
      <c r="I12" s="24"/>
      <c r="J12" s="11" t="s">
        <v>85</v>
      </c>
      <c r="K12" s="7" t="s">
        <v>70</v>
      </c>
      <c r="L12" s="7" t="s">
        <v>70</v>
      </c>
      <c r="M12" s="7" t="s">
        <v>44</v>
      </c>
      <c r="N12" s="24"/>
      <c r="O12" s="6" t="s">
        <v>30</v>
      </c>
      <c r="P12" s="14" t="s">
        <v>86</v>
      </c>
      <c r="Q12" s="12" t="s">
        <v>32</v>
      </c>
      <c r="R12" s="12"/>
      <c r="S12" s="13"/>
      <c r="T12" s="24"/>
      <c r="U12" s="24"/>
      <c r="V12" s="7" t="e">
        <f>WEEKNUM([1]!Tabla1[[#This Row],[Fecha]])</f>
        <v>#REF!</v>
      </c>
      <c r="W12" s="24"/>
    </row>
    <row r="13" spans="1:23" ht="63.95">
      <c r="A13" s="15">
        <v>12</v>
      </c>
      <c r="B13" s="16">
        <v>45944</v>
      </c>
      <c r="C13" s="17" t="s">
        <v>23</v>
      </c>
      <c r="D13" s="19"/>
      <c r="E13" s="19"/>
      <c r="F13" s="19" t="s">
        <v>87</v>
      </c>
      <c r="G13" s="20" t="s">
        <v>88</v>
      </c>
      <c r="H13" s="17" t="s">
        <v>89</v>
      </c>
      <c r="I13" s="34"/>
      <c r="J13" s="20" t="s">
        <v>90</v>
      </c>
      <c r="K13" s="17" t="s">
        <v>70</v>
      </c>
      <c r="L13" s="17" t="s">
        <v>70</v>
      </c>
      <c r="M13" s="17" t="s">
        <v>44</v>
      </c>
      <c r="N13" s="34"/>
      <c r="O13" s="16" t="s">
        <v>30</v>
      </c>
      <c r="P13" s="17" t="s">
        <v>91</v>
      </c>
      <c r="Q13" s="21" t="s">
        <v>32</v>
      </c>
      <c r="R13" s="21"/>
      <c r="S13" s="22"/>
      <c r="T13" s="23"/>
      <c r="U13" s="34"/>
      <c r="V13" s="17" t="e">
        <f>WEEKNUM([1]!Tabla1[[#This Row],[Fecha]])</f>
        <v>#REF!</v>
      </c>
      <c r="W13" s="34"/>
    </row>
    <row r="14" spans="1:23" ht="48">
      <c r="A14" s="5">
        <v>13</v>
      </c>
      <c r="B14" s="6">
        <v>45944</v>
      </c>
      <c r="C14" s="7" t="s">
        <v>23</v>
      </c>
      <c r="D14" s="10"/>
      <c r="E14" s="10"/>
      <c r="F14" s="10" t="s">
        <v>92</v>
      </c>
      <c r="G14" s="11"/>
      <c r="H14" s="7" t="s">
        <v>93</v>
      </c>
      <c r="I14" s="35"/>
      <c r="J14" s="11" t="s">
        <v>94</v>
      </c>
      <c r="K14" s="7" t="s">
        <v>70</v>
      </c>
      <c r="L14" s="7" t="s">
        <v>70</v>
      </c>
      <c r="M14" s="7" t="s">
        <v>44</v>
      </c>
      <c r="N14" s="35"/>
      <c r="O14" s="6" t="s">
        <v>30</v>
      </c>
      <c r="P14" s="7" t="s">
        <v>95</v>
      </c>
      <c r="Q14" s="12" t="s">
        <v>32</v>
      </c>
      <c r="R14" s="12"/>
      <c r="S14" s="13"/>
      <c r="T14" s="14"/>
      <c r="U14" s="35"/>
      <c r="V14" s="7" t="e">
        <f>WEEKNUM([1]!Tabla1[[#This Row],[Fecha]])</f>
        <v>#REF!</v>
      </c>
      <c r="W14" s="35"/>
    </row>
    <row r="15" spans="1:23" ht="62.1">
      <c r="A15" s="15">
        <v>14</v>
      </c>
      <c r="B15" s="16">
        <v>45944</v>
      </c>
      <c r="C15" s="17" t="s">
        <v>23</v>
      </c>
      <c r="D15" s="19"/>
      <c r="E15" s="19"/>
      <c r="F15" s="19" t="s">
        <v>96</v>
      </c>
      <c r="G15" s="20" t="s">
        <v>97</v>
      </c>
      <c r="H15" s="17" t="s">
        <v>98</v>
      </c>
      <c r="I15" s="34"/>
      <c r="J15" s="20" t="s">
        <v>99</v>
      </c>
      <c r="K15" s="17" t="s">
        <v>70</v>
      </c>
      <c r="L15" s="17" t="s">
        <v>70</v>
      </c>
      <c r="M15" s="17" t="s">
        <v>44</v>
      </c>
      <c r="N15" s="34"/>
      <c r="O15" s="16" t="s">
        <v>30</v>
      </c>
      <c r="P15" s="17" t="s">
        <v>100</v>
      </c>
      <c r="Q15" s="21" t="s">
        <v>32</v>
      </c>
      <c r="R15" s="21"/>
      <c r="S15" s="22"/>
      <c r="T15" s="23"/>
      <c r="U15" s="34"/>
      <c r="V15" s="17" t="e">
        <f>WEEKNUM([1]!Tabla1[[#This Row],[Fecha]])</f>
        <v>#REF!</v>
      </c>
      <c r="W15" s="34"/>
    </row>
    <row r="16" spans="1:23" ht="63.95">
      <c r="A16" s="5">
        <v>15</v>
      </c>
      <c r="B16" s="6">
        <v>45944</v>
      </c>
      <c r="C16" s="7" t="s">
        <v>23</v>
      </c>
      <c r="D16" s="10"/>
      <c r="E16" s="10"/>
      <c r="F16" s="10" t="s">
        <v>101</v>
      </c>
      <c r="G16" s="11" t="s">
        <v>102</v>
      </c>
      <c r="H16" s="7" t="s">
        <v>103</v>
      </c>
      <c r="I16" s="35"/>
      <c r="J16" s="11" t="s">
        <v>104</v>
      </c>
      <c r="K16" s="7" t="s">
        <v>70</v>
      </c>
      <c r="L16" s="7" t="s">
        <v>70</v>
      </c>
      <c r="M16" s="7" t="s">
        <v>44</v>
      </c>
      <c r="N16" s="35"/>
      <c r="O16" s="6" t="s">
        <v>30</v>
      </c>
      <c r="P16" s="7" t="s">
        <v>105</v>
      </c>
      <c r="Q16" s="12" t="s">
        <v>32</v>
      </c>
      <c r="R16" s="12"/>
      <c r="S16" s="13"/>
      <c r="T16" s="14"/>
      <c r="U16" s="35"/>
      <c r="V16" s="7" t="e">
        <f>WEEKNUM([1]!Tabla1[[#This Row],[Fecha]])</f>
        <v>#REF!</v>
      </c>
      <c r="W16" s="35"/>
    </row>
    <row r="17" spans="1:23" ht="48">
      <c r="A17" s="15">
        <v>16</v>
      </c>
      <c r="B17" s="16">
        <v>45944</v>
      </c>
      <c r="C17" s="17" t="s">
        <v>23</v>
      </c>
      <c r="D17" s="19"/>
      <c r="E17" s="19"/>
      <c r="F17" s="19">
        <v>984908067</v>
      </c>
      <c r="G17" s="20"/>
      <c r="H17" s="17" t="s">
        <v>106</v>
      </c>
      <c r="I17" s="34"/>
      <c r="J17" s="20" t="s">
        <v>107</v>
      </c>
      <c r="K17" s="17" t="s">
        <v>70</v>
      </c>
      <c r="L17" s="17" t="s">
        <v>70</v>
      </c>
      <c r="M17" s="17" t="s">
        <v>44</v>
      </c>
      <c r="N17" s="34"/>
      <c r="O17" s="16" t="s">
        <v>30</v>
      </c>
      <c r="P17" s="17" t="s">
        <v>108</v>
      </c>
      <c r="Q17" s="21" t="s">
        <v>32</v>
      </c>
      <c r="R17" s="21"/>
      <c r="S17" s="22"/>
      <c r="T17" s="23"/>
      <c r="U17" s="34"/>
      <c r="V17" s="17" t="e">
        <f>WEEKNUM([1]!Tabla1[[#This Row],[Fecha]])</f>
        <v>#REF!</v>
      </c>
      <c r="W17" s="34"/>
    </row>
    <row r="18" spans="1:23" ht="32.1">
      <c r="A18" s="5">
        <v>17</v>
      </c>
      <c r="B18" s="6">
        <v>45944</v>
      </c>
      <c r="C18" s="7" t="s">
        <v>23</v>
      </c>
      <c r="D18" s="10"/>
      <c r="E18" s="10"/>
      <c r="F18" s="10" t="s">
        <v>109</v>
      </c>
      <c r="G18" s="36"/>
      <c r="H18" s="7" t="s">
        <v>110</v>
      </c>
      <c r="I18" s="35"/>
      <c r="J18" s="11" t="s">
        <v>111</v>
      </c>
      <c r="K18" s="7" t="s">
        <v>70</v>
      </c>
      <c r="L18" s="7" t="s">
        <v>70</v>
      </c>
      <c r="M18" s="7" t="s">
        <v>44</v>
      </c>
      <c r="N18" s="35"/>
      <c r="O18" s="6" t="s">
        <v>30</v>
      </c>
      <c r="P18" s="7" t="s">
        <v>112</v>
      </c>
      <c r="Q18" s="12" t="s">
        <v>32</v>
      </c>
      <c r="R18" s="12"/>
      <c r="S18" s="13"/>
      <c r="T18" s="14"/>
      <c r="U18" s="35"/>
      <c r="V18" s="7" t="e">
        <f>WEEKNUM([1]!Tabla1[[#This Row],[Fecha]])</f>
        <v>#REF!</v>
      </c>
      <c r="W18" s="35"/>
    </row>
    <row r="19" spans="1:23" ht="63.95">
      <c r="A19" s="15">
        <v>18</v>
      </c>
      <c r="B19" s="16">
        <v>45944</v>
      </c>
      <c r="C19" s="17" t="s">
        <v>23</v>
      </c>
      <c r="D19" s="19" t="s">
        <v>113</v>
      </c>
      <c r="E19" s="19" t="s">
        <v>114</v>
      </c>
      <c r="F19" s="19" t="s">
        <v>115</v>
      </c>
      <c r="G19" s="20" t="s">
        <v>116</v>
      </c>
      <c r="H19" s="17" t="s">
        <v>117</v>
      </c>
      <c r="I19" s="34"/>
      <c r="J19" s="20" t="s">
        <v>118</v>
      </c>
      <c r="K19" s="17" t="s">
        <v>70</v>
      </c>
      <c r="L19" s="17" t="s">
        <v>70</v>
      </c>
      <c r="M19" s="17" t="s">
        <v>119</v>
      </c>
      <c r="N19" s="34"/>
      <c r="O19" s="16" t="s">
        <v>30</v>
      </c>
      <c r="P19" s="17" t="s">
        <v>120</v>
      </c>
      <c r="Q19" s="21" t="s">
        <v>32</v>
      </c>
      <c r="R19" s="21"/>
      <c r="S19" s="22"/>
      <c r="T19" s="23"/>
      <c r="U19" s="34"/>
      <c r="V19" s="17" t="e">
        <f>WEEKNUM([1]!Tabla1[[#This Row],[Fecha]])</f>
        <v>#REF!</v>
      </c>
      <c r="W19" s="34"/>
    </row>
    <row r="20" spans="1:23" ht="48">
      <c r="A20" s="5">
        <v>19</v>
      </c>
      <c r="B20" s="6">
        <v>45944</v>
      </c>
      <c r="C20" s="7" t="s">
        <v>23</v>
      </c>
      <c r="D20" s="10" t="s">
        <v>121</v>
      </c>
      <c r="E20" s="7"/>
      <c r="F20" s="10" t="s">
        <v>122</v>
      </c>
      <c r="G20" s="11" t="s">
        <v>123</v>
      </c>
      <c r="H20" s="7" t="s">
        <v>124</v>
      </c>
      <c r="I20" s="35"/>
      <c r="J20" s="11" t="s">
        <v>125</v>
      </c>
      <c r="K20" s="7" t="s">
        <v>126</v>
      </c>
      <c r="L20" s="7" t="s">
        <v>126</v>
      </c>
      <c r="M20" s="7" t="s">
        <v>44</v>
      </c>
      <c r="N20" s="35"/>
      <c r="O20" s="6" t="s">
        <v>30</v>
      </c>
      <c r="P20" s="7" t="s">
        <v>127</v>
      </c>
      <c r="Q20" s="12" t="s">
        <v>32</v>
      </c>
      <c r="R20" s="37"/>
      <c r="S20" s="13"/>
      <c r="T20" s="14"/>
      <c r="U20" s="35"/>
      <c r="V20" s="7" t="e">
        <f>WEEKNUM([1]!Tabla1[[#This Row],[Fecha]])</f>
        <v>#REF!</v>
      </c>
      <c r="W20" s="35"/>
    </row>
    <row r="21" spans="1:23" ht="46.5">
      <c r="A21" s="15">
        <v>20</v>
      </c>
      <c r="B21" s="38">
        <v>45951</v>
      </c>
      <c r="C21" s="17" t="s">
        <v>23</v>
      </c>
      <c r="D21" s="19" t="s">
        <v>128</v>
      </c>
      <c r="E21" s="19" t="s">
        <v>129</v>
      </c>
      <c r="F21" s="19">
        <v>991481598</v>
      </c>
      <c r="G21" s="20"/>
      <c r="H21" s="17" t="s">
        <v>130</v>
      </c>
      <c r="I21" s="34">
        <v>20605597204</v>
      </c>
      <c r="J21" s="39" t="s">
        <v>131</v>
      </c>
      <c r="K21" s="17" t="s">
        <v>26</v>
      </c>
      <c r="L21" s="17"/>
      <c r="M21" s="17" t="s">
        <v>132</v>
      </c>
      <c r="N21" s="34"/>
      <c r="O21" s="16" t="s">
        <v>30</v>
      </c>
      <c r="P21" s="17" t="s">
        <v>133</v>
      </c>
      <c r="Q21" s="21" t="s">
        <v>32</v>
      </c>
      <c r="R21" s="21"/>
      <c r="S21" s="40"/>
      <c r="T21" s="23"/>
      <c r="U21" s="34"/>
      <c r="V21" s="17" t="e">
        <f>WEEKNUM([1]!Tabla1[[#This Row],[Fecha]])</f>
        <v>#REF!</v>
      </c>
      <c r="W21" s="34"/>
    </row>
    <row r="22" spans="1:23" ht="62.1">
      <c r="A22" s="5">
        <v>21</v>
      </c>
      <c r="B22" s="41">
        <v>45957</v>
      </c>
      <c r="C22" s="7" t="s">
        <v>23</v>
      </c>
      <c r="D22" s="10" t="s">
        <v>134</v>
      </c>
      <c r="E22" s="10" t="s">
        <v>135</v>
      </c>
      <c r="F22" s="10"/>
      <c r="G22" s="11"/>
      <c r="H22" s="7"/>
      <c r="I22" s="35"/>
      <c r="J22" s="11"/>
      <c r="K22" s="7"/>
      <c r="L22" s="7"/>
      <c r="M22" s="7" t="s">
        <v>136</v>
      </c>
      <c r="N22" s="35"/>
      <c r="O22" s="6" t="s">
        <v>30</v>
      </c>
      <c r="P22" s="7" t="s">
        <v>137</v>
      </c>
      <c r="Q22" s="12" t="s">
        <v>32</v>
      </c>
      <c r="R22" s="12"/>
      <c r="S22" s="42"/>
      <c r="T22" s="14"/>
      <c r="U22" s="35"/>
      <c r="V22" s="7" t="e">
        <f>WEEKNUM([1]!Tabla1[[#This Row],[Fecha]])</f>
        <v>#REF!</v>
      </c>
      <c r="W22" s="35"/>
    </row>
    <row r="23" spans="1:23" ht="30.95">
      <c r="A23" s="15">
        <v>22</v>
      </c>
      <c r="B23" s="38">
        <v>45957</v>
      </c>
      <c r="C23" s="17" t="s">
        <v>23</v>
      </c>
      <c r="D23" s="19" t="s">
        <v>128</v>
      </c>
      <c r="E23" s="19" t="s">
        <v>129</v>
      </c>
      <c r="F23" s="19">
        <v>991481598</v>
      </c>
      <c r="G23" s="20"/>
      <c r="H23" s="17"/>
      <c r="I23" s="34"/>
      <c r="J23" s="39" t="s">
        <v>131</v>
      </c>
      <c r="K23" s="17" t="s">
        <v>26</v>
      </c>
      <c r="L23" s="17"/>
      <c r="M23" s="17" t="s">
        <v>132</v>
      </c>
      <c r="N23" s="34"/>
      <c r="O23" s="6" t="s">
        <v>138</v>
      </c>
      <c r="P23" s="17" t="s">
        <v>139</v>
      </c>
      <c r="Q23" s="21" t="s">
        <v>32</v>
      </c>
      <c r="R23" s="21"/>
      <c r="S23" s="40"/>
      <c r="T23" s="23"/>
      <c r="U23" s="43">
        <v>45965</v>
      </c>
      <c r="V23" s="17" t="e">
        <f>WEEKNUM([1]!Tabla1[[#This Row],[Fecha]])</f>
        <v>#REF!</v>
      </c>
      <c r="W23" s="34"/>
    </row>
    <row r="24" spans="1:23" ht="46.5">
      <c r="A24" s="5">
        <v>23</v>
      </c>
      <c r="B24" s="41">
        <v>45957</v>
      </c>
      <c r="C24" s="7" t="s">
        <v>23</v>
      </c>
      <c r="D24" s="10" t="s">
        <v>140</v>
      </c>
      <c r="E24" s="10" t="s">
        <v>141</v>
      </c>
      <c r="F24" s="10">
        <v>999869285</v>
      </c>
      <c r="G24" s="11"/>
      <c r="H24" s="7" t="s">
        <v>142</v>
      </c>
      <c r="I24" s="35">
        <v>20555369451</v>
      </c>
      <c r="J24" s="44" t="s">
        <v>143</v>
      </c>
      <c r="K24" s="7" t="s">
        <v>26</v>
      </c>
      <c r="L24" s="7" t="s">
        <v>144</v>
      </c>
      <c r="M24" s="7" t="s">
        <v>145</v>
      </c>
      <c r="N24" s="35"/>
      <c r="O24" s="6" t="s">
        <v>138</v>
      </c>
      <c r="P24" s="7" t="s">
        <v>146</v>
      </c>
      <c r="Q24" s="12" t="s">
        <v>32</v>
      </c>
      <c r="R24" s="12"/>
      <c r="S24" s="42"/>
      <c r="T24" s="14"/>
      <c r="U24" s="35"/>
      <c r="V24" s="7" t="e">
        <f>WEEKNUM([1]!Tabla1[[#This Row],[Fecha]])</f>
        <v>#REF!</v>
      </c>
      <c r="W24" s="35"/>
    </row>
    <row r="25" spans="1:23" ht="62.1">
      <c r="A25" s="15">
        <v>24</v>
      </c>
      <c r="B25" s="38">
        <v>45958</v>
      </c>
      <c r="C25" s="17" t="s">
        <v>23</v>
      </c>
      <c r="D25" s="19" t="s">
        <v>147</v>
      </c>
      <c r="E25" s="19" t="s">
        <v>148</v>
      </c>
      <c r="F25" s="19">
        <v>996285818</v>
      </c>
      <c r="G25" s="20"/>
      <c r="H25" s="17" t="s">
        <v>142</v>
      </c>
      <c r="I25" s="34">
        <v>20555369451</v>
      </c>
      <c r="J25" s="39" t="s">
        <v>143</v>
      </c>
      <c r="K25" s="17" t="s">
        <v>26</v>
      </c>
      <c r="L25" s="17" t="s">
        <v>144</v>
      </c>
      <c r="M25" s="17" t="s">
        <v>145</v>
      </c>
      <c r="N25" s="34"/>
      <c r="O25" s="6" t="s">
        <v>138</v>
      </c>
      <c r="P25" s="17" t="s">
        <v>149</v>
      </c>
      <c r="Q25" s="21" t="s">
        <v>150</v>
      </c>
      <c r="R25" s="21"/>
      <c r="S25" s="40"/>
      <c r="T25" s="23"/>
      <c r="U25" s="43">
        <v>45964</v>
      </c>
      <c r="V25" s="17" t="e">
        <f>WEEKNUM([1]!Tabla1[[#This Row],[Fecha]])</f>
        <v>#REF!</v>
      </c>
      <c r="W25" s="34"/>
    </row>
    <row r="26" spans="1:23" ht="46.5">
      <c r="A26" s="5">
        <v>25</v>
      </c>
      <c r="B26" s="41">
        <v>45958</v>
      </c>
      <c r="C26" s="7" t="s">
        <v>23</v>
      </c>
      <c r="D26" s="10" t="s">
        <v>151</v>
      </c>
      <c r="E26" s="10" t="s">
        <v>152</v>
      </c>
      <c r="F26" s="10"/>
      <c r="G26" s="45" t="s">
        <v>153</v>
      </c>
      <c r="H26" s="7" t="s">
        <v>154</v>
      </c>
      <c r="I26" s="35"/>
      <c r="J26" s="11"/>
      <c r="K26" s="7" t="s">
        <v>26</v>
      </c>
      <c r="L26" s="7" t="s">
        <v>155</v>
      </c>
      <c r="M26" s="7" t="s">
        <v>28</v>
      </c>
      <c r="N26" s="35"/>
      <c r="O26" s="12" t="s">
        <v>30</v>
      </c>
      <c r="P26" s="7" t="s">
        <v>156</v>
      </c>
      <c r="Q26" s="12" t="s">
        <v>157</v>
      </c>
      <c r="R26" s="12"/>
      <c r="S26" s="42"/>
      <c r="T26" s="14"/>
      <c r="U26" s="46"/>
      <c r="V26" s="7" t="e">
        <f>WEEKNUM([1]!Tabla1[[#This Row],[Fecha]])</f>
        <v>#REF!</v>
      </c>
      <c r="W26" s="35"/>
    </row>
    <row r="27" spans="1:23" ht="144.94999999999999">
      <c r="A27" s="15">
        <v>26</v>
      </c>
      <c r="B27" s="38">
        <v>45958</v>
      </c>
      <c r="C27" s="17" t="s">
        <v>23</v>
      </c>
      <c r="D27" s="19" t="s">
        <v>158</v>
      </c>
      <c r="E27" s="19" t="s">
        <v>159</v>
      </c>
      <c r="F27" s="19">
        <v>993670997</v>
      </c>
      <c r="G27" s="20"/>
      <c r="H27" s="17" t="s">
        <v>160</v>
      </c>
      <c r="I27" s="34"/>
      <c r="J27" s="47" t="s">
        <v>161</v>
      </c>
      <c r="K27" s="17" t="s">
        <v>26</v>
      </c>
      <c r="L27" s="17" t="s">
        <v>162</v>
      </c>
      <c r="M27" s="17" t="s">
        <v>28</v>
      </c>
      <c r="N27" s="34"/>
      <c r="O27" s="21" t="s">
        <v>30</v>
      </c>
      <c r="P27" s="17" t="s">
        <v>163</v>
      </c>
      <c r="Q27" s="21" t="s">
        <v>32</v>
      </c>
      <c r="R27" s="21"/>
      <c r="S27" s="40"/>
      <c r="T27" s="23"/>
      <c r="U27" s="34"/>
      <c r="V27" s="17" t="e">
        <f>WEEKNUM([1]!Tabla1[[#This Row],[Fecha]])</f>
        <v>#REF!</v>
      </c>
      <c r="W27" s="34"/>
    </row>
    <row r="28" spans="1:23" ht="62.1">
      <c r="A28" s="5">
        <v>27</v>
      </c>
      <c r="B28" s="41">
        <v>45958</v>
      </c>
      <c r="C28" s="7" t="s">
        <v>23</v>
      </c>
      <c r="D28" s="10" t="s">
        <v>164</v>
      </c>
      <c r="E28" s="10" t="s">
        <v>47</v>
      </c>
      <c r="F28" s="10">
        <v>969813109</v>
      </c>
      <c r="G28" s="45" t="s">
        <v>165</v>
      </c>
      <c r="H28" s="7" t="s">
        <v>166</v>
      </c>
      <c r="I28" s="35">
        <v>20606070579</v>
      </c>
      <c r="J28" s="45" t="s">
        <v>167</v>
      </c>
      <c r="K28" s="7" t="s">
        <v>26</v>
      </c>
      <c r="L28" s="7" t="s">
        <v>168</v>
      </c>
      <c r="M28" s="7" t="s">
        <v>145</v>
      </c>
      <c r="N28" s="35"/>
      <c r="O28" s="12" t="s">
        <v>138</v>
      </c>
      <c r="P28" s="7" t="s">
        <v>169</v>
      </c>
      <c r="Q28" s="12" t="s">
        <v>32</v>
      </c>
      <c r="R28" s="12"/>
      <c r="S28" s="42"/>
      <c r="T28" s="14"/>
      <c r="U28" s="46">
        <v>45991</v>
      </c>
      <c r="V28" s="7" t="e">
        <f>WEEKNUM([1]!Tabla1[[#This Row],[Fecha]])</f>
        <v>#REF!</v>
      </c>
      <c r="W28" s="35"/>
    </row>
    <row r="29" spans="1:23" ht="46.5">
      <c r="A29" s="15">
        <v>28</v>
      </c>
      <c r="B29" s="38">
        <v>45958</v>
      </c>
      <c r="C29" s="17" t="s">
        <v>23</v>
      </c>
      <c r="D29" s="18" t="s">
        <v>24</v>
      </c>
      <c r="E29" s="17" t="s">
        <v>25</v>
      </c>
      <c r="F29" s="48">
        <v>920144113</v>
      </c>
      <c r="G29" s="17"/>
      <c r="H29" s="19"/>
      <c r="I29" s="20"/>
      <c r="J29" s="19"/>
      <c r="K29" s="19" t="s">
        <v>26</v>
      </c>
      <c r="L29" s="19" t="s">
        <v>27</v>
      </c>
      <c r="M29" s="16" t="s">
        <v>28</v>
      </c>
      <c r="N29" s="16" t="s">
        <v>29</v>
      </c>
      <c r="O29" s="16" t="s">
        <v>30</v>
      </c>
      <c r="P29" s="19" t="s">
        <v>170</v>
      </c>
      <c r="Q29" s="21" t="s">
        <v>32</v>
      </c>
      <c r="R29" s="21"/>
      <c r="S29" s="22"/>
      <c r="T29" s="22"/>
      <c r="U29" s="49">
        <v>45977</v>
      </c>
      <c r="V29" s="7" t="e">
        <f>WEEKNUM([1]!Tabla1[[#This Row],[Fecha]])</f>
        <v>#REF!</v>
      </c>
      <c r="W29" s="17"/>
    </row>
    <row r="30" spans="1:23" ht="62.1">
      <c r="A30" s="5">
        <v>29</v>
      </c>
      <c r="B30" s="41">
        <v>45959</v>
      </c>
      <c r="C30" s="7" t="s">
        <v>23</v>
      </c>
      <c r="D30" s="10" t="s">
        <v>134</v>
      </c>
      <c r="E30" s="10" t="s">
        <v>135</v>
      </c>
      <c r="F30" s="10"/>
      <c r="G30" s="11"/>
      <c r="H30" s="7" t="s">
        <v>171</v>
      </c>
      <c r="I30" s="35">
        <v>20145915164</v>
      </c>
      <c r="J30" s="11"/>
      <c r="K30" s="7" t="s">
        <v>26</v>
      </c>
      <c r="L30" s="7" t="s">
        <v>172</v>
      </c>
      <c r="M30" s="7" t="s">
        <v>136</v>
      </c>
      <c r="N30" s="35"/>
      <c r="O30" s="12" t="s">
        <v>30</v>
      </c>
      <c r="P30" s="7" t="s">
        <v>173</v>
      </c>
      <c r="Q30" s="12" t="s">
        <v>32</v>
      </c>
      <c r="R30" s="12"/>
      <c r="S30" s="42"/>
      <c r="T30" s="14"/>
      <c r="U30" s="50">
        <v>45991</v>
      </c>
      <c r="V30" s="7" t="e">
        <f>WEEKNUM([1]!Tabla1[[#This Row],[Fecha]])</f>
        <v>#REF!</v>
      </c>
      <c r="W30" s="35"/>
    </row>
    <row r="31" spans="1:23" ht="77.45">
      <c r="A31" s="15">
        <v>30</v>
      </c>
      <c r="B31" s="38">
        <v>45960</v>
      </c>
      <c r="C31" s="17" t="s">
        <v>23</v>
      </c>
      <c r="D31" s="19" t="s">
        <v>174</v>
      </c>
      <c r="E31" s="19" t="s">
        <v>175</v>
      </c>
      <c r="F31" s="19">
        <v>969751241</v>
      </c>
      <c r="G31" s="20"/>
      <c r="H31" s="17" t="s">
        <v>176</v>
      </c>
      <c r="I31" s="34">
        <v>20608345770</v>
      </c>
      <c r="J31" s="20"/>
      <c r="K31" s="17" t="s">
        <v>177</v>
      </c>
      <c r="L31" s="17" t="s">
        <v>178</v>
      </c>
      <c r="M31" s="17" t="s">
        <v>179</v>
      </c>
      <c r="N31" s="34"/>
      <c r="O31" s="21" t="s">
        <v>30</v>
      </c>
      <c r="P31" s="17" t="s">
        <v>180</v>
      </c>
      <c r="Q31" s="21" t="s">
        <v>150</v>
      </c>
      <c r="R31" s="21"/>
      <c r="S31" s="40"/>
      <c r="T31" s="23"/>
      <c r="U31" s="43">
        <v>45961</v>
      </c>
      <c r="V31" s="17" t="e">
        <f>WEEKNUM([1]!Tabla1[[#This Row],[Fecha]])</f>
        <v>#REF!</v>
      </c>
      <c r="W31" s="34"/>
    </row>
    <row r="32" spans="1:23" ht="30.95">
      <c r="A32" s="5">
        <v>31</v>
      </c>
      <c r="B32" s="41">
        <v>45960</v>
      </c>
      <c r="C32" s="7" t="s">
        <v>23</v>
      </c>
      <c r="D32" s="10" t="s">
        <v>181</v>
      </c>
      <c r="E32" s="10" t="s">
        <v>182</v>
      </c>
      <c r="F32" s="10">
        <v>963888349</v>
      </c>
      <c r="G32" s="45" t="s">
        <v>183</v>
      </c>
      <c r="H32" s="7" t="s">
        <v>184</v>
      </c>
      <c r="I32" s="35">
        <v>20610658513</v>
      </c>
      <c r="J32" s="11"/>
      <c r="K32" s="7"/>
      <c r="L32" s="7"/>
      <c r="M32" s="7" t="s">
        <v>132</v>
      </c>
      <c r="N32" s="35"/>
      <c r="O32" s="12" t="s">
        <v>138</v>
      </c>
      <c r="P32" s="7" t="s">
        <v>185</v>
      </c>
      <c r="Q32" s="12" t="s">
        <v>32</v>
      </c>
      <c r="R32" s="12"/>
      <c r="S32" s="42"/>
      <c r="T32" s="14"/>
      <c r="U32" s="35"/>
      <c r="V32" s="7" t="e">
        <f>WEEKNUM([1]!Tabla1[[#This Row],[Fecha]])</f>
        <v>#REF!</v>
      </c>
      <c r="W32" s="35"/>
    </row>
    <row r="33" spans="1:23" ht="46.5">
      <c r="A33" s="15">
        <v>32</v>
      </c>
      <c r="B33" s="38">
        <v>45960</v>
      </c>
      <c r="C33" s="17" t="s">
        <v>23</v>
      </c>
      <c r="D33" s="19" t="s">
        <v>186</v>
      </c>
      <c r="E33" s="19" t="s">
        <v>187</v>
      </c>
      <c r="F33" s="19"/>
      <c r="G33" s="47" t="s">
        <v>188</v>
      </c>
      <c r="H33" s="17" t="s">
        <v>189</v>
      </c>
      <c r="I33" s="51" t="s">
        <v>190</v>
      </c>
      <c r="J33" s="20"/>
      <c r="K33" s="17"/>
      <c r="L33" s="17"/>
      <c r="M33" s="17" t="s">
        <v>132</v>
      </c>
      <c r="N33" s="34"/>
      <c r="O33" s="21" t="s">
        <v>138</v>
      </c>
      <c r="P33" s="17" t="s">
        <v>191</v>
      </c>
      <c r="Q33" s="21" t="s">
        <v>157</v>
      </c>
      <c r="R33" s="21"/>
      <c r="S33" s="40"/>
      <c r="T33" s="23"/>
      <c r="U33" s="34"/>
      <c r="V33" s="17" t="e">
        <f>WEEKNUM([1]!Tabla1[[#This Row],[Fecha]])</f>
        <v>#REF!</v>
      </c>
      <c r="W33" s="34"/>
    </row>
    <row r="34" spans="1:23" ht="46.5">
      <c r="A34" s="5">
        <v>33</v>
      </c>
      <c r="B34" s="41">
        <v>45964</v>
      </c>
      <c r="C34" s="7" t="s">
        <v>23</v>
      </c>
      <c r="D34" s="10" t="s">
        <v>192</v>
      </c>
      <c r="E34" s="10" t="s">
        <v>193</v>
      </c>
      <c r="F34" s="10">
        <v>943463875</v>
      </c>
      <c r="G34" s="45" t="s">
        <v>194</v>
      </c>
      <c r="H34" s="7" t="s">
        <v>195</v>
      </c>
      <c r="I34" s="35">
        <v>20100032610</v>
      </c>
      <c r="J34" s="11"/>
      <c r="K34" s="7" t="s">
        <v>26</v>
      </c>
      <c r="L34" s="7" t="s">
        <v>26</v>
      </c>
      <c r="M34" s="7" t="s">
        <v>28</v>
      </c>
      <c r="N34" s="35"/>
      <c r="O34" s="12" t="s">
        <v>138</v>
      </c>
      <c r="P34" s="7" t="s">
        <v>196</v>
      </c>
      <c r="Q34" s="12" t="s">
        <v>157</v>
      </c>
      <c r="R34" s="12"/>
      <c r="S34" s="42"/>
      <c r="T34" s="14"/>
      <c r="U34" s="35"/>
      <c r="V34" s="7" t="e">
        <f>WEEKNUM([1]!Tabla1[[#This Row],[Fecha]])</f>
        <v>#REF!</v>
      </c>
      <c r="W34" s="35"/>
    </row>
    <row r="35" spans="1:23" ht="46.5">
      <c r="A35" s="15">
        <v>34</v>
      </c>
      <c r="B35" s="38">
        <v>45964</v>
      </c>
      <c r="C35" s="17" t="s">
        <v>23</v>
      </c>
      <c r="D35" s="19" t="s">
        <v>197</v>
      </c>
      <c r="E35" s="19" t="s">
        <v>198</v>
      </c>
      <c r="F35" s="19"/>
      <c r="G35" s="20"/>
      <c r="H35" s="17" t="s">
        <v>199</v>
      </c>
      <c r="I35" s="34"/>
      <c r="J35" s="20"/>
      <c r="K35" s="17"/>
      <c r="L35" s="17"/>
      <c r="M35" s="17"/>
      <c r="N35" s="34"/>
      <c r="O35" s="21" t="s">
        <v>30</v>
      </c>
      <c r="P35" s="17" t="s">
        <v>200</v>
      </c>
      <c r="Q35" s="21" t="s">
        <v>157</v>
      </c>
      <c r="R35" s="21"/>
      <c r="S35" s="40"/>
      <c r="T35" s="23"/>
      <c r="U35" s="34"/>
      <c r="V35" s="17" t="e">
        <f>WEEKNUM([1]!Tabla1[[#This Row],[Fecha]])</f>
        <v>#REF!</v>
      </c>
      <c r="W35" s="34"/>
    </row>
    <row r="36" spans="1:23" ht="62.1">
      <c r="A36" s="5">
        <v>35</v>
      </c>
      <c r="B36" s="41">
        <v>45964</v>
      </c>
      <c r="C36" s="7" t="s">
        <v>23</v>
      </c>
      <c r="D36" s="10" t="s">
        <v>174</v>
      </c>
      <c r="E36" s="10" t="s">
        <v>175</v>
      </c>
      <c r="F36" s="10">
        <v>969751241</v>
      </c>
      <c r="G36" s="45"/>
      <c r="H36" s="7" t="s">
        <v>176</v>
      </c>
      <c r="I36" s="35">
        <v>20608345770</v>
      </c>
      <c r="J36" s="11"/>
      <c r="K36" s="7" t="s">
        <v>177</v>
      </c>
      <c r="L36" s="7" t="s">
        <v>178</v>
      </c>
      <c r="M36" s="7" t="s">
        <v>179</v>
      </c>
      <c r="N36" s="35"/>
      <c r="O36" s="12" t="s">
        <v>30</v>
      </c>
      <c r="P36" s="7" t="s">
        <v>201</v>
      </c>
      <c r="Q36" s="12" t="s">
        <v>150</v>
      </c>
      <c r="R36" s="12"/>
      <c r="S36" s="42"/>
      <c r="T36" s="14"/>
      <c r="U36" s="46">
        <v>45961</v>
      </c>
      <c r="V36" s="7" t="e">
        <f>WEEKNUM([1]!Tabla1[[#This Row],[Fecha]])</f>
        <v>#REF!</v>
      </c>
      <c r="W36" s="35"/>
    </row>
    <row r="37" spans="1:23" ht="46.5">
      <c r="A37" s="15">
        <v>36</v>
      </c>
      <c r="B37" s="38">
        <v>45964</v>
      </c>
      <c r="C37" s="17" t="s">
        <v>202</v>
      </c>
      <c r="D37" s="19" t="s">
        <v>203</v>
      </c>
      <c r="E37" s="19" t="s">
        <v>204</v>
      </c>
      <c r="F37" s="19">
        <v>970175949</v>
      </c>
      <c r="G37" s="47" t="s">
        <v>205</v>
      </c>
      <c r="H37" s="17"/>
      <c r="I37" s="34">
        <v>10774619271</v>
      </c>
      <c r="J37" s="20"/>
      <c r="K37" s="17" t="s">
        <v>206</v>
      </c>
      <c r="L37" s="17" t="s">
        <v>206</v>
      </c>
      <c r="M37" s="17" t="s">
        <v>28</v>
      </c>
      <c r="N37" s="34"/>
      <c r="O37" s="21" t="s">
        <v>9</v>
      </c>
      <c r="P37" s="17" t="s">
        <v>207</v>
      </c>
      <c r="Q37" s="21" t="s">
        <v>150</v>
      </c>
      <c r="R37" s="21"/>
      <c r="S37" s="40" t="s">
        <v>208</v>
      </c>
      <c r="T37" s="23"/>
      <c r="U37" s="43"/>
      <c r="V37" s="17" t="e">
        <f>WEEKNUM([1]!Tabla1[[#This Row],[Fecha]])</f>
        <v>#REF!</v>
      </c>
      <c r="W37" s="34"/>
    </row>
    <row r="38" spans="1:23" ht="46.5">
      <c r="A38" s="5">
        <v>37</v>
      </c>
      <c r="B38" s="41">
        <v>45964</v>
      </c>
      <c r="C38" s="7" t="s">
        <v>23</v>
      </c>
      <c r="D38" s="10" t="s">
        <v>151</v>
      </c>
      <c r="E38" s="10" t="s">
        <v>152</v>
      </c>
      <c r="F38" s="10"/>
      <c r="G38" s="45" t="s">
        <v>153</v>
      </c>
      <c r="H38" s="7" t="s">
        <v>154</v>
      </c>
      <c r="I38" s="35"/>
      <c r="J38" s="11"/>
      <c r="K38" s="7" t="s">
        <v>26</v>
      </c>
      <c r="L38" s="7" t="s">
        <v>155</v>
      </c>
      <c r="M38" s="7" t="s">
        <v>28</v>
      </c>
      <c r="N38" s="35"/>
      <c r="O38" s="12" t="s">
        <v>30</v>
      </c>
      <c r="P38" s="7" t="s">
        <v>156</v>
      </c>
      <c r="Q38" s="12" t="s">
        <v>32</v>
      </c>
      <c r="R38" s="12"/>
      <c r="S38" s="42"/>
      <c r="T38" s="14"/>
      <c r="U38" s="46"/>
      <c r="V38" s="7" t="e">
        <f>WEEKNUM([1]!Tabla1[[#This Row],[Fecha]])</f>
        <v>#REF!</v>
      </c>
      <c r="W38" s="35"/>
    </row>
    <row r="39" spans="1:23" ht="46.5">
      <c r="A39" s="15">
        <v>38</v>
      </c>
      <c r="B39" s="38">
        <v>45964</v>
      </c>
      <c r="C39" s="17" t="s">
        <v>23</v>
      </c>
      <c r="D39" s="19" t="s">
        <v>209</v>
      </c>
      <c r="E39" s="19"/>
      <c r="F39" s="19">
        <v>980179994</v>
      </c>
      <c r="G39" s="47" t="s">
        <v>210</v>
      </c>
      <c r="H39" s="17" t="s">
        <v>211</v>
      </c>
      <c r="I39" s="34"/>
      <c r="J39" s="20"/>
      <c r="K39" s="17" t="s">
        <v>26</v>
      </c>
      <c r="L39" s="17" t="s">
        <v>26</v>
      </c>
      <c r="M39" s="17" t="s">
        <v>212</v>
      </c>
      <c r="N39" s="34"/>
      <c r="O39" s="21" t="s">
        <v>30</v>
      </c>
      <c r="P39" s="17" t="s">
        <v>213</v>
      </c>
      <c r="Q39" s="21" t="s">
        <v>157</v>
      </c>
      <c r="R39" s="21"/>
      <c r="S39" s="40"/>
      <c r="T39" s="23"/>
      <c r="U39" s="34"/>
      <c r="V39" s="17" t="e">
        <f>WEEKNUM([1]!Tabla1[[#This Row],[Fecha]])</f>
        <v>#REF!</v>
      </c>
      <c r="W39" s="34"/>
    </row>
    <row r="40" spans="1:23" ht="46.5">
      <c r="A40" s="5">
        <v>39</v>
      </c>
      <c r="B40" s="41">
        <v>45965</v>
      </c>
      <c r="C40" s="7" t="s">
        <v>23</v>
      </c>
      <c r="D40" s="10" t="s">
        <v>214</v>
      </c>
      <c r="E40" s="10" t="s">
        <v>215</v>
      </c>
      <c r="F40" s="10"/>
      <c r="G40" s="45" t="s">
        <v>216</v>
      </c>
      <c r="H40" s="7" t="s">
        <v>217</v>
      </c>
      <c r="I40" s="35">
        <v>20166018022</v>
      </c>
      <c r="J40" s="45" t="s">
        <v>218</v>
      </c>
      <c r="K40" s="7" t="s">
        <v>26</v>
      </c>
      <c r="L40" s="7" t="s">
        <v>162</v>
      </c>
      <c r="M40" s="7" t="s">
        <v>219</v>
      </c>
      <c r="N40" s="35"/>
      <c r="O40" s="12" t="s">
        <v>30</v>
      </c>
      <c r="P40" s="7" t="s">
        <v>220</v>
      </c>
      <c r="Q40" s="12" t="s">
        <v>157</v>
      </c>
      <c r="R40" s="12"/>
      <c r="S40" s="42"/>
      <c r="T40" s="14"/>
      <c r="U40" s="35"/>
      <c r="V40" s="7" t="e">
        <f>WEEKNUM([1]!Tabla1[[#This Row],[Fecha]])</f>
        <v>#REF!</v>
      </c>
      <c r="W40" s="35"/>
    </row>
    <row r="41" spans="1:23" ht="46.5">
      <c r="A41" s="15">
        <v>40</v>
      </c>
      <c r="B41" s="38">
        <v>45965</v>
      </c>
      <c r="C41" s="17" t="s">
        <v>23</v>
      </c>
      <c r="D41" s="19" t="s">
        <v>221</v>
      </c>
      <c r="E41" s="19" t="s">
        <v>222</v>
      </c>
      <c r="F41" s="19"/>
      <c r="G41" s="47" t="s">
        <v>223</v>
      </c>
      <c r="H41" s="17" t="s">
        <v>224</v>
      </c>
      <c r="I41" s="34"/>
      <c r="J41" s="20"/>
      <c r="K41" s="17"/>
      <c r="L41" s="17"/>
      <c r="M41" s="17" t="s">
        <v>212</v>
      </c>
      <c r="N41" s="34"/>
      <c r="O41" s="21" t="s">
        <v>30</v>
      </c>
      <c r="P41" s="17" t="s">
        <v>225</v>
      </c>
      <c r="Q41" s="21" t="s">
        <v>157</v>
      </c>
      <c r="R41" s="21"/>
      <c r="S41" s="40"/>
      <c r="T41" s="23"/>
      <c r="U41" s="34"/>
      <c r="V41" s="17" t="e">
        <f>WEEKNUM([1]!Tabla1[[#This Row],[Fecha]])</f>
        <v>#REF!</v>
      </c>
      <c r="W41" s="34"/>
    </row>
    <row r="42" spans="1:23" ht="46.5">
      <c r="A42" s="5">
        <v>41</v>
      </c>
      <c r="B42" s="41">
        <v>45965</v>
      </c>
      <c r="C42" s="7" t="s">
        <v>23</v>
      </c>
      <c r="D42" s="10" t="s">
        <v>226</v>
      </c>
      <c r="E42" s="10" t="s">
        <v>227</v>
      </c>
      <c r="F42" s="45">
        <v>943463875</v>
      </c>
      <c r="G42" s="45" t="s">
        <v>194</v>
      </c>
      <c r="H42" s="7" t="s">
        <v>228</v>
      </c>
      <c r="I42" s="35"/>
      <c r="J42" s="11"/>
      <c r="K42" s="7"/>
      <c r="L42" s="7"/>
      <c r="M42" s="7" t="s">
        <v>28</v>
      </c>
      <c r="N42" s="35"/>
      <c r="O42" s="12" t="s">
        <v>30</v>
      </c>
      <c r="P42" s="7" t="s">
        <v>229</v>
      </c>
      <c r="Q42" s="12" t="s">
        <v>157</v>
      </c>
      <c r="R42" s="12"/>
      <c r="S42" s="42"/>
      <c r="T42" s="14"/>
      <c r="U42" s="35"/>
      <c r="V42" s="7" t="e">
        <f>WEEKNUM([1]!Tabla1[[#This Row],[Fecha]])</f>
        <v>#REF!</v>
      </c>
      <c r="W42" s="35"/>
    </row>
    <row r="43" spans="1:23" ht="46.5">
      <c r="A43" s="15">
        <v>42</v>
      </c>
      <c r="B43" s="38">
        <v>45965</v>
      </c>
      <c r="C43" s="17" t="s">
        <v>23</v>
      </c>
      <c r="D43" s="19" t="s">
        <v>140</v>
      </c>
      <c r="E43" s="19" t="s">
        <v>141</v>
      </c>
      <c r="F43" s="19">
        <v>999869285</v>
      </c>
      <c r="G43" s="20"/>
      <c r="H43" s="17" t="s">
        <v>142</v>
      </c>
      <c r="I43" s="34">
        <v>20555369451</v>
      </c>
      <c r="J43" s="39" t="s">
        <v>143</v>
      </c>
      <c r="K43" s="17" t="s">
        <v>26</v>
      </c>
      <c r="L43" s="17" t="s">
        <v>144</v>
      </c>
      <c r="M43" s="17" t="s">
        <v>145</v>
      </c>
      <c r="N43" s="34"/>
      <c r="O43" s="6" t="s">
        <v>138</v>
      </c>
      <c r="P43" s="17" t="s">
        <v>230</v>
      </c>
      <c r="Q43" s="21" t="s">
        <v>32</v>
      </c>
      <c r="R43" s="21"/>
      <c r="S43" s="40"/>
      <c r="T43" s="23"/>
      <c r="U43" s="34"/>
      <c r="V43" s="17" t="e">
        <f>WEEKNUM([1]!Tabla1[[#This Row],[Fecha]])</f>
        <v>#REF!</v>
      </c>
      <c r="W43" s="34"/>
    </row>
    <row r="44" spans="1:23" ht="93">
      <c r="A44" s="5">
        <v>43</v>
      </c>
      <c r="B44" s="41">
        <v>45967</v>
      </c>
      <c r="C44" s="7" t="s">
        <v>23</v>
      </c>
      <c r="D44" s="10" t="s">
        <v>140</v>
      </c>
      <c r="E44" s="10" t="s">
        <v>141</v>
      </c>
      <c r="F44" s="10">
        <v>999869285</v>
      </c>
      <c r="G44" s="11"/>
      <c r="H44" s="7" t="s">
        <v>142</v>
      </c>
      <c r="I44" s="35">
        <v>20555369451</v>
      </c>
      <c r="J44" s="44" t="s">
        <v>143</v>
      </c>
      <c r="K44" s="7" t="s">
        <v>26</v>
      </c>
      <c r="L44" s="7" t="s">
        <v>144</v>
      </c>
      <c r="M44" s="7" t="s">
        <v>145</v>
      </c>
      <c r="N44" s="35"/>
      <c r="O44" s="6" t="s">
        <v>138</v>
      </c>
      <c r="P44" s="7" t="s">
        <v>231</v>
      </c>
      <c r="Q44" s="12" t="s">
        <v>32</v>
      </c>
      <c r="R44" s="12"/>
      <c r="S44" s="42"/>
      <c r="T44" s="14"/>
      <c r="U44" s="35"/>
      <c r="V44" s="7" t="e">
        <f>WEEKNUM([1]!Tabla1[[#This Row],[Fecha]])</f>
        <v>#REF!</v>
      </c>
      <c r="W44" s="35"/>
    </row>
    <row r="45" spans="1:23" ht="46.5">
      <c r="A45" s="15">
        <v>44</v>
      </c>
      <c r="B45" s="38">
        <v>45967</v>
      </c>
      <c r="C45" s="17" t="s">
        <v>23</v>
      </c>
      <c r="D45" s="19" t="s">
        <v>232</v>
      </c>
      <c r="E45" s="19" t="s">
        <v>204</v>
      </c>
      <c r="F45" s="19">
        <v>990216016</v>
      </c>
      <c r="G45" s="47" t="s">
        <v>233</v>
      </c>
      <c r="H45" s="17" t="s">
        <v>234</v>
      </c>
      <c r="I45" s="34"/>
      <c r="J45" s="20"/>
      <c r="K45" s="17" t="s">
        <v>177</v>
      </c>
      <c r="L45" s="17" t="s">
        <v>178</v>
      </c>
      <c r="M45" s="17" t="s">
        <v>119</v>
      </c>
      <c r="N45" s="34"/>
      <c r="O45" s="21" t="s">
        <v>9</v>
      </c>
      <c r="P45" s="17" t="s">
        <v>235</v>
      </c>
      <c r="Q45" s="21" t="s">
        <v>236</v>
      </c>
      <c r="R45" s="21"/>
      <c r="S45" s="40" t="s">
        <v>208</v>
      </c>
      <c r="T45" s="23"/>
      <c r="U45" s="34"/>
      <c r="V45" s="17" t="e">
        <f>WEEKNUM([1]!Tabla1[[#This Row],[Fecha]])</f>
        <v>#REF!</v>
      </c>
      <c r="W45" s="34"/>
    </row>
    <row r="46" spans="1:23" ht="62.1">
      <c r="A46" s="5">
        <v>45</v>
      </c>
      <c r="B46" s="41">
        <v>45967</v>
      </c>
      <c r="C46" s="7" t="s">
        <v>23</v>
      </c>
      <c r="D46" s="10" t="s">
        <v>237</v>
      </c>
      <c r="E46" s="10" t="s">
        <v>204</v>
      </c>
      <c r="F46" s="10">
        <v>975598544</v>
      </c>
      <c r="G46" s="45" t="s">
        <v>238</v>
      </c>
      <c r="H46" s="7" t="s">
        <v>239</v>
      </c>
      <c r="I46" s="35"/>
      <c r="J46" s="11"/>
      <c r="K46" s="7" t="s">
        <v>240</v>
      </c>
      <c r="L46" s="7" t="s">
        <v>241</v>
      </c>
      <c r="M46" s="7" t="s">
        <v>119</v>
      </c>
      <c r="N46" s="35"/>
      <c r="O46" s="12"/>
      <c r="P46" s="7" t="s">
        <v>242</v>
      </c>
      <c r="Q46" s="12" t="s">
        <v>32</v>
      </c>
      <c r="R46" s="12"/>
      <c r="S46" s="42" t="s">
        <v>243</v>
      </c>
      <c r="T46" s="14"/>
      <c r="U46" s="35"/>
      <c r="V46" s="7" t="e">
        <f>WEEKNUM([1]!Tabla1[[#This Row],[Fecha]])</f>
        <v>#REF!</v>
      </c>
      <c r="W46" s="35"/>
    </row>
    <row r="47" spans="1:23" ht="62.1">
      <c r="A47" s="15">
        <v>46</v>
      </c>
      <c r="B47" s="38">
        <v>45969</v>
      </c>
      <c r="C47" s="17" t="s">
        <v>23</v>
      </c>
      <c r="D47" s="19" t="s">
        <v>244</v>
      </c>
      <c r="E47" s="19" t="s">
        <v>204</v>
      </c>
      <c r="F47" s="19">
        <v>915244218</v>
      </c>
      <c r="G47" s="47" t="s">
        <v>245</v>
      </c>
      <c r="H47" s="17" t="s">
        <v>244</v>
      </c>
      <c r="I47" s="34" t="s">
        <v>246</v>
      </c>
      <c r="J47" s="20"/>
      <c r="K47" s="17" t="s">
        <v>26</v>
      </c>
      <c r="L47" s="17" t="s">
        <v>247</v>
      </c>
      <c r="M47" s="17" t="s">
        <v>119</v>
      </c>
      <c r="N47" s="34"/>
      <c r="O47" s="21" t="s">
        <v>9</v>
      </c>
      <c r="P47" s="17" t="s">
        <v>248</v>
      </c>
      <c r="Q47" s="21" t="s">
        <v>150</v>
      </c>
      <c r="R47" s="21"/>
      <c r="S47" s="40" t="s">
        <v>249</v>
      </c>
      <c r="T47" s="23">
        <v>4340</v>
      </c>
      <c r="U47" s="34">
        <v>45976</v>
      </c>
      <c r="V47" s="17">
        <v>44</v>
      </c>
      <c r="W47" s="34"/>
    </row>
    <row r="48" spans="1:23" ht="62.1">
      <c r="A48" s="5">
        <v>47</v>
      </c>
      <c r="B48" s="41">
        <v>45971</v>
      </c>
      <c r="C48" s="7" t="s">
        <v>23</v>
      </c>
      <c r="D48" s="10" t="s">
        <v>250</v>
      </c>
      <c r="E48" s="10" t="s">
        <v>251</v>
      </c>
      <c r="F48" s="10">
        <v>983513942</v>
      </c>
      <c r="G48" s="45" t="s">
        <v>252</v>
      </c>
      <c r="H48" s="7" t="s">
        <v>253</v>
      </c>
      <c r="I48" s="35">
        <v>20552553421</v>
      </c>
      <c r="J48" s="45" t="s">
        <v>254</v>
      </c>
      <c r="K48" s="7" t="s">
        <v>26</v>
      </c>
      <c r="L48" s="7" t="s">
        <v>144</v>
      </c>
      <c r="M48" s="7" t="s">
        <v>145</v>
      </c>
      <c r="N48" s="35"/>
      <c r="O48" s="12" t="s">
        <v>138</v>
      </c>
      <c r="P48" s="7" t="s">
        <v>255</v>
      </c>
      <c r="Q48" s="12" t="s">
        <v>32</v>
      </c>
      <c r="R48" s="12"/>
      <c r="S48" s="42"/>
      <c r="T48" s="14"/>
      <c r="U48" s="35"/>
      <c r="V48" s="7" t="e">
        <f>WEEKNUM([1]!Tabla1[[#This Row],[Fecha]])</f>
        <v>#REF!</v>
      </c>
      <c r="W48" s="35"/>
    </row>
    <row r="49" spans="1:23" ht="108.6">
      <c r="A49" s="15">
        <v>48</v>
      </c>
      <c r="B49" s="38">
        <v>45972</v>
      </c>
      <c r="C49" s="17" t="s">
        <v>23</v>
      </c>
      <c r="D49" s="19" t="s">
        <v>244</v>
      </c>
      <c r="E49" s="19" t="s">
        <v>204</v>
      </c>
      <c r="F49" s="19">
        <v>915244218</v>
      </c>
      <c r="G49" s="47" t="s">
        <v>245</v>
      </c>
      <c r="H49" s="17" t="s">
        <v>244</v>
      </c>
      <c r="I49" s="34" t="s">
        <v>246</v>
      </c>
      <c r="J49" s="20"/>
      <c r="K49" s="17" t="s">
        <v>26</v>
      </c>
      <c r="L49" s="17" t="s">
        <v>247</v>
      </c>
      <c r="M49" s="17" t="s">
        <v>119</v>
      </c>
      <c r="N49" s="34"/>
      <c r="O49" s="21" t="s">
        <v>9</v>
      </c>
      <c r="P49" s="17" t="s">
        <v>256</v>
      </c>
      <c r="Q49" s="21" t="s">
        <v>150</v>
      </c>
      <c r="R49" s="21"/>
      <c r="S49" s="40" t="s">
        <v>249</v>
      </c>
      <c r="T49" s="23">
        <v>4699</v>
      </c>
      <c r="U49" s="34">
        <v>45976</v>
      </c>
      <c r="V49" s="17">
        <v>44</v>
      </c>
      <c r="W49" s="34"/>
    </row>
    <row r="50" spans="1:23" ht="62.1">
      <c r="A50" s="5">
        <v>49</v>
      </c>
      <c r="B50" s="41">
        <v>45972</v>
      </c>
      <c r="C50" s="7" t="s">
        <v>23</v>
      </c>
      <c r="D50" s="10" t="s">
        <v>232</v>
      </c>
      <c r="E50" s="10" t="s">
        <v>204</v>
      </c>
      <c r="F50" s="10">
        <v>990216016</v>
      </c>
      <c r="G50" s="11" t="s">
        <v>233</v>
      </c>
      <c r="H50" s="7" t="s">
        <v>234</v>
      </c>
      <c r="I50" s="35"/>
      <c r="J50" s="11"/>
      <c r="K50" s="7" t="s">
        <v>177</v>
      </c>
      <c r="L50" s="7" t="s">
        <v>178</v>
      </c>
      <c r="M50" s="7" t="s">
        <v>119</v>
      </c>
      <c r="N50" s="35"/>
      <c r="O50" s="12" t="s">
        <v>9</v>
      </c>
      <c r="P50" s="7" t="s">
        <v>257</v>
      </c>
      <c r="Q50" s="12" t="s">
        <v>236</v>
      </c>
      <c r="R50" s="12"/>
      <c r="S50" s="42" t="s">
        <v>208</v>
      </c>
      <c r="T50" s="14"/>
      <c r="U50" s="35"/>
      <c r="V50" s="7" t="e">
        <f>WEEKNUM([1]!Tabla1[[#This Row],[Fecha]])</f>
        <v>#REF!</v>
      </c>
      <c r="W50" s="35"/>
    </row>
    <row r="51" spans="1:23" ht="46.5">
      <c r="A51" s="15">
        <v>50</v>
      </c>
      <c r="B51" s="38">
        <v>45954</v>
      </c>
      <c r="C51" s="17" t="s">
        <v>258</v>
      </c>
      <c r="D51" s="19" t="s">
        <v>232</v>
      </c>
      <c r="E51" s="19"/>
      <c r="F51" s="19">
        <v>990216016</v>
      </c>
      <c r="G51" s="20" t="s">
        <v>233</v>
      </c>
      <c r="H51" s="17"/>
      <c r="I51" s="34"/>
      <c r="J51" s="20"/>
      <c r="K51" s="17"/>
      <c r="L51" s="17"/>
      <c r="M51" s="17" t="s">
        <v>119</v>
      </c>
      <c r="N51" s="34" t="s">
        <v>29</v>
      </c>
      <c r="O51" s="21" t="s">
        <v>9</v>
      </c>
      <c r="P51" s="48" t="s">
        <v>259</v>
      </c>
      <c r="Q51" s="21" t="s">
        <v>157</v>
      </c>
      <c r="R51" s="21"/>
      <c r="S51" s="40"/>
      <c r="T51" s="23"/>
      <c r="U51" s="34"/>
      <c r="V51" s="17" t="e">
        <f>WEEKNUM([1]!Tabla1[[#This Row],[Fecha]])</f>
        <v>#REF!</v>
      </c>
      <c r="W51" s="34"/>
    </row>
    <row r="52" spans="1:23" ht="46.5">
      <c r="A52" s="5">
        <v>51</v>
      </c>
      <c r="B52" s="41">
        <v>45957</v>
      </c>
      <c r="C52" s="7" t="s">
        <v>258</v>
      </c>
      <c r="D52" s="10" t="s">
        <v>232</v>
      </c>
      <c r="E52" s="10"/>
      <c r="F52" s="10">
        <v>990216016</v>
      </c>
      <c r="G52" s="11" t="s">
        <v>233</v>
      </c>
      <c r="H52" s="7" t="s">
        <v>260</v>
      </c>
      <c r="I52" s="52"/>
      <c r="J52" s="11"/>
      <c r="K52" s="7"/>
      <c r="L52" s="7"/>
      <c r="M52" s="7" t="s">
        <v>119</v>
      </c>
      <c r="N52" s="35" t="s">
        <v>29</v>
      </c>
      <c r="O52" s="12" t="s">
        <v>9</v>
      </c>
      <c r="P52" s="7" t="s">
        <v>261</v>
      </c>
      <c r="Q52" s="12" t="s">
        <v>157</v>
      </c>
      <c r="R52" s="12"/>
      <c r="S52" s="42"/>
      <c r="T52" s="14"/>
      <c r="U52" s="35"/>
      <c r="V52" s="7" t="e">
        <f>WEEKNUM([1]!Tabla1[[#This Row],[Fecha]])</f>
        <v>#REF!</v>
      </c>
      <c r="W52" s="35"/>
    </row>
    <row r="53" spans="1:23" ht="46.5">
      <c r="A53" s="15">
        <v>52</v>
      </c>
      <c r="B53" s="38">
        <v>45958</v>
      </c>
      <c r="C53" s="17" t="s">
        <v>258</v>
      </c>
      <c r="D53" s="19" t="s">
        <v>232</v>
      </c>
      <c r="E53" s="19"/>
      <c r="F53" s="19">
        <v>990216016</v>
      </c>
      <c r="G53" s="20" t="s">
        <v>233</v>
      </c>
      <c r="H53" s="17" t="s">
        <v>260</v>
      </c>
      <c r="I53" s="53"/>
      <c r="J53" s="20"/>
      <c r="K53" s="17"/>
      <c r="L53" s="17"/>
      <c r="M53" s="17" t="s">
        <v>119</v>
      </c>
      <c r="N53" s="34" t="s">
        <v>29</v>
      </c>
      <c r="O53" s="21" t="s">
        <v>9</v>
      </c>
      <c r="P53" s="17" t="s">
        <v>262</v>
      </c>
      <c r="Q53" s="21" t="s">
        <v>157</v>
      </c>
      <c r="R53" s="21"/>
      <c r="S53" s="40"/>
      <c r="T53" s="23"/>
      <c r="U53" s="34"/>
      <c r="V53" s="17" t="e">
        <f>WEEKNUM([1]!Tabla1[[#This Row],[Fecha]])</f>
        <v>#REF!</v>
      </c>
      <c r="W53" s="34"/>
    </row>
    <row r="54" spans="1:23" ht="46.5">
      <c r="A54" s="5">
        <v>53</v>
      </c>
      <c r="B54" s="41">
        <v>45959</v>
      </c>
      <c r="C54" s="7" t="s">
        <v>258</v>
      </c>
      <c r="D54" s="10" t="s">
        <v>232</v>
      </c>
      <c r="E54" s="10"/>
      <c r="F54" s="10">
        <v>990216016</v>
      </c>
      <c r="G54" s="11" t="s">
        <v>233</v>
      </c>
      <c r="H54" s="7" t="s">
        <v>260</v>
      </c>
      <c r="I54" s="52"/>
      <c r="J54" s="11"/>
      <c r="K54" s="7"/>
      <c r="L54" s="7"/>
      <c r="M54" s="7" t="s">
        <v>119</v>
      </c>
      <c r="N54" s="35" t="s">
        <v>29</v>
      </c>
      <c r="O54" s="12" t="s">
        <v>9</v>
      </c>
      <c r="P54" s="7" t="s">
        <v>263</v>
      </c>
      <c r="Q54" s="12" t="s">
        <v>157</v>
      </c>
      <c r="R54" s="12"/>
      <c r="S54" s="42"/>
      <c r="T54" s="14"/>
      <c r="U54" s="35"/>
      <c r="V54" s="7" t="e">
        <f>WEEKNUM([1]!Tabla1[[#This Row],[Fecha]])</f>
        <v>#REF!</v>
      </c>
      <c r="W54" s="35"/>
    </row>
    <row r="55" spans="1:23" ht="46.5">
      <c r="A55" s="15">
        <v>54</v>
      </c>
      <c r="B55" s="38">
        <v>45960</v>
      </c>
      <c r="C55" s="17" t="s">
        <v>258</v>
      </c>
      <c r="D55" s="19" t="s">
        <v>232</v>
      </c>
      <c r="E55" s="19"/>
      <c r="F55" s="19">
        <v>990216016</v>
      </c>
      <c r="G55" s="20" t="s">
        <v>233</v>
      </c>
      <c r="H55" s="17" t="s">
        <v>260</v>
      </c>
      <c r="I55" s="53"/>
      <c r="J55" s="20"/>
      <c r="K55" s="17"/>
      <c r="L55" s="17"/>
      <c r="M55" s="17" t="s">
        <v>119</v>
      </c>
      <c r="N55" s="34" t="s">
        <v>29</v>
      </c>
      <c r="O55" s="21" t="s">
        <v>9</v>
      </c>
      <c r="P55" s="17" t="s">
        <v>264</v>
      </c>
      <c r="Q55" s="21" t="s">
        <v>157</v>
      </c>
      <c r="R55" s="21"/>
      <c r="S55" s="40"/>
      <c r="T55" s="23"/>
      <c r="U55" s="34"/>
      <c r="V55" s="17" t="e">
        <f>WEEKNUM([1]!Tabla1[[#This Row],[Fecha]])</f>
        <v>#REF!</v>
      </c>
      <c r="W55" s="34"/>
    </row>
    <row r="56" spans="1:23" ht="46.5">
      <c r="A56" s="5">
        <v>55</v>
      </c>
      <c r="B56" s="41">
        <v>45961</v>
      </c>
      <c r="C56" s="7" t="s">
        <v>258</v>
      </c>
      <c r="D56" s="10" t="s">
        <v>232</v>
      </c>
      <c r="E56" s="10"/>
      <c r="F56" s="10">
        <v>990216016</v>
      </c>
      <c r="G56" s="11" t="s">
        <v>233</v>
      </c>
      <c r="H56" s="7" t="s">
        <v>260</v>
      </c>
      <c r="I56" s="52"/>
      <c r="J56" s="11"/>
      <c r="K56" s="7"/>
      <c r="L56" s="7"/>
      <c r="M56" s="7" t="s">
        <v>119</v>
      </c>
      <c r="N56" s="35" t="s">
        <v>29</v>
      </c>
      <c r="O56" s="12" t="s">
        <v>9</v>
      </c>
      <c r="P56" s="7" t="s">
        <v>264</v>
      </c>
      <c r="Q56" s="12" t="s">
        <v>157</v>
      </c>
      <c r="R56" s="12"/>
      <c r="S56" s="42"/>
      <c r="T56" s="14"/>
      <c r="U56" s="35"/>
      <c r="V56" s="7" t="e">
        <f>WEEKNUM([1]!Tabla1[[#This Row],[Fecha]])</f>
        <v>#REF!</v>
      </c>
      <c r="W56" s="35"/>
    </row>
    <row r="57" spans="1:23" ht="77.45">
      <c r="A57" s="15">
        <v>56</v>
      </c>
      <c r="B57" s="38">
        <v>45973</v>
      </c>
      <c r="C57" s="17" t="s">
        <v>23</v>
      </c>
      <c r="D57" s="19" t="s">
        <v>265</v>
      </c>
      <c r="E57" s="19" t="s">
        <v>47</v>
      </c>
      <c r="F57" s="19" t="s">
        <v>266</v>
      </c>
      <c r="G57" s="47" t="s">
        <v>267</v>
      </c>
      <c r="H57" s="17" t="s">
        <v>268</v>
      </c>
      <c r="I57" s="34"/>
      <c r="J57" s="20"/>
      <c r="K57" s="17" t="s">
        <v>26</v>
      </c>
      <c r="L57" s="17" t="s">
        <v>247</v>
      </c>
      <c r="M57" s="17" t="s">
        <v>212</v>
      </c>
      <c r="N57" s="34"/>
      <c r="O57" s="21" t="s">
        <v>138</v>
      </c>
      <c r="P57" s="17" t="s">
        <v>269</v>
      </c>
      <c r="Q57" s="21" t="s">
        <v>157</v>
      </c>
      <c r="R57" s="21"/>
      <c r="S57" s="40"/>
      <c r="T57" s="23"/>
      <c r="U57" s="34"/>
      <c r="V57" s="17" t="e">
        <f>WEEKNUM([1]!Tabla1[[#This Row],[Fecha]])</f>
        <v>#REF!</v>
      </c>
      <c r="W57" s="34"/>
    </row>
    <row r="58" spans="1:23" ht="46.5">
      <c r="A58" s="5">
        <v>57</v>
      </c>
      <c r="B58" s="41">
        <v>45973</v>
      </c>
      <c r="C58" s="7" t="s">
        <v>23</v>
      </c>
      <c r="D58" s="10"/>
      <c r="E58" s="10" t="s">
        <v>81</v>
      </c>
      <c r="F58" s="10"/>
      <c r="G58" s="11"/>
      <c r="H58" s="7" t="s">
        <v>270</v>
      </c>
      <c r="I58" s="35"/>
      <c r="J58" s="11"/>
      <c r="K58" s="7" t="s">
        <v>26</v>
      </c>
      <c r="L58" s="7" t="s">
        <v>247</v>
      </c>
      <c r="M58" s="7" t="s">
        <v>28</v>
      </c>
      <c r="N58" s="35"/>
      <c r="O58" s="12"/>
      <c r="P58" s="7" t="s">
        <v>271</v>
      </c>
      <c r="Q58" s="12"/>
      <c r="R58" s="12"/>
      <c r="S58" s="42"/>
      <c r="T58" s="14"/>
      <c r="U58" s="35"/>
      <c r="V58" s="7" t="e">
        <f>WEEKNUM([1]!Tabla1[[#This Row],[Fecha]])</f>
        <v>#REF!</v>
      </c>
      <c r="W58" s="35"/>
    </row>
    <row r="59" spans="1:23" ht="201.6">
      <c r="A59" s="15">
        <v>58</v>
      </c>
      <c r="B59" s="38">
        <v>45974</v>
      </c>
      <c r="C59" s="17" t="s">
        <v>23</v>
      </c>
      <c r="D59" s="19" t="s">
        <v>221</v>
      </c>
      <c r="E59" s="19" t="s">
        <v>222</v>
      </c>
      <c r="F59" s="19"/>
      <c r="G59" s="47" t="s">
        <v>223</v>
      </c>
      <c r="H59" s="17" t="s">
        <v>224</v>
      </c>
      <c r="I59" s="34"/>
      <c r="J59" s="20"/>
      <c r="K59" s="17"/>
      <c r="L59" s="17"/>
      <c r="M59" s="17" t="s">
        <v>212</v>
      </c>
      <c r="N59" s="34"/>
      <c r="O59" s="21" t="s">
        <v>138</v>
      </c>
      <c r="P59" s="17" t="s">
        <v>272</v>
      </c>
      <c r="Q59" s="21" t="s">
        <v>32</v>
      </c>
      <c r="R59" s="21"/>
      <c r="S59" s="40"/>
      <c r="T59" s="23"/>
      <c r="U59" s="34"/>
      <c r="V59" s="17" t="e">
        <f>WEEKNUM([1]!Tabla1[[#This Row],[Fecha]])</f>
        <v>#REF!</v>
      </c>
      <c r="W59" s="34"/>
    </row>
    <row r="60" spans="1:23" ht="62.1">
      <c r="A60" s="5">
        <v>59</v>
      </c>
      <c r="B60" s="41">
        <v>45974</v>
      </c>
      <c r="C60" s="7" t="s">
        <v>23</v>
      </c>
      <c r="D60" s="10" t="s">
        <v>273</v>
      </c>
      <c r="E60" s="10" t="s">
        <v>274</v>
      </c>
      <c r="F60" s="10" t="s">
        <v>275</v>
      </c>
      <c r="G60" s="45" t="s">
        <v>276</v>
      </c>
      <c r="H60" s="7" t="s">
        <v>277</v>
      </c>
      <c r="I60" s="35">
        <v>20518738314</v>
      </c>
      <c r="J60" s="45" t="s">
        <v>278</v>
      </c>
      <c r="K60" s="7" t="s">
        <v>26</v>
      </c>
      <c r="L60" s="7" t="s">
        <v>27</v>
      </c>
      <c r="M60" s="7" t="s">
        <v>28</v>
      </c>
      <c r="N60" s="35"/>
      <c r="O60" s="12" t="s">
        <v>138</v>
      </c>
      <c r="P60" s="7" t="s">
        <v>279</v>
      </c>
      <c r="Q60" s="12" t="s">
        <v>157</v>
      </c>
      <c r="R60" s="12"/>
      <c r="S60" s="42"/>
      <c r="T60" s="14"/>
      <c r="U60" s="50">
        <v>45983</v>
      </c>
      <c r="V60" s="7" t="e">
        <f>WEEKNUM([1]!Tabla1[[#This Row],[Fecha]])</f>
        <v>#REF!</v>
      </c>
      <c r="W60" s="35"/>
    </row>
    <row r="61" spans="1:23" ht="46.5">
      <c r="A61" s="15">
        <v>60</v>
      </c>
      <c r="B61" s="38">
        <v>45974</v>
      </c>
      <c r="C61" s="17" t="s">
        <v>23</v>
      </c>
      <c r="D61" s="19" t="s">
        <v>244</v>
      </c>
      <c r="E61" s="19" t="s">
        <v>204</v>
      </c>
      <c r="F61" s="19">
        <v>915244218</v>
      </c>
      <c r="G61" s="47" t="s">
        <v>245</v>
      </c>
      <c r="H61" s="17" t="s">
        <v>244</v>
      </c>
      <c r="I61" s="34" t="s">
        <v>246</v>
      </c>
      <c r="J61" s="20"/>
      <c r="K61" s="17" t="s">
        <v>26</v>
      </c>
      <c r="L61" s="17" t="s">
        <v>247</v>
      </c>
      <c r="M61" s="17" t="s">
        <v>119</v>
      </c>
      <c r="N61" s="34"/>
      <c r="O61" s="21" t="s">
        <v>9</v>
      </c>
      <c r="P61" s="17" t="s">
        <v>280</v>
      </c>
      <c r="Q61" s="21" t="s">
        <v>281</v>
      </c>
      <c r="R61" s="21"/>
      <c r="S61" s="40" t="s">
        <v>282</v>
      </c>
      <c r="T61" s="54">
        <f>4100/1.18</f>
        <v>3474.5762711864409</v>
      </c>
      <c r="U61" s="34"/>
      <c r="V61" s="17">
        <v>44</v>
      </c>
      <c r="W61" s="34"/>
    </row>
    <row r="62" spans="1:23" ht="62.1">
      <c r="A62" s="5">
        <v>61</v>
      </c>
      <c r="B62" s="41">
        <v>45975</v>
      </c>
      <c r="C62" s="7" t="s">
        <v>23</v>
      </c>
      <c r="D62" s="10" t="s">
        <v>283</v>
      </c>
      <c r="E62" s="10" t="s">
        <v>284</v>
      </c>
      <c r="F62" s="10"/>
      <c r="G62" s="45" t="s">
        <v>285</v>
      </c>
      <c r="H62" s="7" t="s">
        <v>286</v>
      </c>
      <c r="I62" s="35"/>
      <c r="J62" s="11"/>
      <c r="K62" s="7" t="s">
        <v>26</v>
      </c>
      <c r="L62" s="7" t="s">
        <v>27</v>
      </c>
      <c r="M62" s="7" t="s">
        <v>28</v>
      </c>
      <c r="N62" s="35"/>
      <c r="O62" s="12" t="s">
        <v>138</v>
      </c>
      <c r="P62" s="7" t="s">
        <v>287</v>
      </c>
      <c r="Q62" s="12" t="s">
        <v>157</v>
      </c>
      <c r="R62" s="12"/>
      <c r="S62" s="42"/>
      <c r="T62" s="14"/>
      <c r="U62" s="35"/>
      <c r="V62" s="7" t="e">
        <f>WEEKNUM([1]!Tabla1[[#This Row],[Fecha]])</f>
        <v>#REF!</v>
      </c>
      <c r="W62" s="35"/>
    </row>
    <row r="63" spans="1:23" ht="46.5">
      <c r="A63" s="15">
        <v>62</v>
      </c>
      <c r="B63" s="38">
        <v>45975</v>
      </c>
      <c r="C63" s="17" t="s">
        <v>23</v>
      </c>
      <c r="D63" s="19" t="s">
        <v>288</v>
      </c>
      <c r="E63" s="19" t="s">
        <v>284</v>
      </c>
      <c r="F63" s="19"/>
      <c r="G63" s="47" t="s">
        <v>289</v>
      </c>
      <c r="H63" s="17" t="s">
        <v>290</v>
      </c>
      <c r="I63" s="34"/>
      <c r="J63" s="20"/>
      <c r="K63" s="17" t="s">
        <v>26</v>
      </c>
      <c r="L63" s="17" t="s">
        <v>27</v>
      </c>
      <c r="M63" s="17" t="s">
        <v>28</v>
      </c>
      <c r="N63" s="34"/>
      <c r="O63" s="21" t="s">
        <v>138</v>
      </c>
      <c r="P63" s="17" t="s">
        <v>291</v>
      </c>
      <c r="Q63" s="21" t="s">
        <v>157</v>
      </c>
      <c r="R63" s="21"/>
      <c r="S63" s="40"/>
      <c r="T63" s="23"/>
      <c r="U63" s="34"/>
      <c r="V63" s="17" t="e">
        <f>WEEKNUM([1]!Tabla1[[#This Row],[Fecha]])</f>
        <v>#REF!</v>
      </c>
      <c r="W63" s="34"/>
    </row>
    <row r="64" spans="1:23" ht="77.45">
      <c r="A64" s="5">
        <v>63</v>
      </c>
      <c r="B64" s="41">
        <v>45975</v>
      </c>
      <c r="C64" s="7" t="s">
        <v>23</v>
      </c>
      <c r="D64" s="10" t="s">
        <v>292</v>
      </c>
      <c r="E64" s="10"/>
      <c r="F64" s="10"/>
      <c r="G64" s="11"/>
      <c r="H64" s="7" t="s">
        <v>293</v>
      </c>
      <c r="I64" s="35" t="s">
        <v>294</v>
      </c>
      <c r="J64" s="45" t="s">
        <v>295</v>
      </c>
      <c r="K64" s="7" t="s">
        <v>26</v>
      </c>
      <c r="L64" s="7" t="s">
        <v>27</v>
      </c>
      <c r="M64" s="7" t="s">
        <v>28</v>
      </c>
      <c r="N64" s="35"/>
      <c r="O64" s="12" t="s">
        <v>138</v>
      </c>
      <c r="P64" s="7" t="s">
        <v>296</v>
      </c>
      <c r="Q64" s="12" t="s">
        <v>157</v>
      </c>
      <c r="R64" s="12"/>
      <c r="S64" s="42"/>
      <c r="T64" s="14"/>
      <c r="U64" s="35"/>
      <c r="V64" s="7" t="e">
        <f>WEEKNUM([1]!Tabla1[[#This Row],[Fecha]])</f>
        <v>#REF!</v>
      </c>
      <c r="W64" s="35"/>
    </row>
    <row r="65" spans="1:23" ht="46.5">
      <c r="A65" s="15">
        <v>64</v>
      </c>
      <c r="B65" s="38">
        <v>45956</v>
      </c>
      <c r="C65" s="17" t="s">
        <v>202</v>
      </c>
      <c r="D65" s="19"/>
      <c r="E65" s="19" t="s">
        <v>215</v>
      </c>
      <c r="F65" s="19"/>
      <c r="G65" s="20">
        <v>991574766</v>
      </c>
      <c r="H65" s="17" t="s">
        <v>297</v>
      </c>
      <c r="I65" s="34">
        <v>20603582552</v>
      </c>
      <c r="J65" s="47"/>
      <c r="K65" s="17" t="s">
        <v>26</v>
      </c>
      <c r="L65" s="17" t="s">
        <v>298</v>
      </c>
      <c r="M65" s="17" t="s">
        <v>119</v>
      </c>
      <c r="N65" s="34"/>
      <c r="O65" s="21" t="s">
        <v>138</v>
      </c>
      <c r="P65" s="17" t="s">
        <v>299</v>
      </c>
      <c r="Q65" s="21" t="s">
        <v>150</v>
      </c>
      <c r="R65" s="21"/>
      <c r="S65" s="40"/>
      <c r="T65" s="23"/>
      <c r="U65" s="34"/>
      <c r="V65" s="17">
        <v>44</v>
      </c>
      <c r="W65" s="34">
        <v>2</v>
      </c>
    </row>
    <row r="66" spans="1:23" ht="62.1">
      <c r="A66" s="5">
        <v>65</v>
      </c>
      <c r="B66" s="41">
        <v>45975</v>
      </c>
      <c r="C66" s="7" t="s">
        <v>23</v>
      </c>
      <c r="D66" s="10" t="s">
        <v>300</v>
      </c>
      <c r="E66" s="10" t="s">
        <v>301</v>
      </c>
      <c r="F66" s="11">
        <v>991574766</v>
      </c>
      <c r="G66" s="11">
        <v>991574766</v>
      </c>
      <c r="H66" s="7" t="s">
        <v>297</v>
      </c>
      <c r="I66" s="35">
        <v>20603582552</v>
      </c>
      <c r="J66" s="45"/>
      <c r="K66" s="7" t="s">
        <v>26</v>
      </c>
      <c r="L66" s="7" t="s">
        <v>298</v>
      </c>
      <c r="M66" s="7" t="s">
        <v>119</v>
      </c>
      <c r="N66" s="35"/>
      <c r="O66" s="12" t="s">
        <v>138</v>
      </c>
      <c r="P66" s="7" t="s">
        <v>302</v>
      </c>
      <c r="Q66" s="12" t="s">
        <v>150</v>
      </c>
      <c r="R66" s="12"/>
      <c r="S66" s="42" t="s">
        <v>303</v>
      </c>
      <c r="T66" s="14"/>
      <c r="U66" s="35"/>
      <c r="V66" s="7">
        <v>46</v>
      </c>
      <c r="W66" s="35">
        <v>2</v>
      </c>
    </row>
    <row r="67" spans="1:23" ht="46.5">
      <c r="A67" s="15">
        <v>66</v>
      </c>
      <c r="B67" s="38">
        <v>45950</v>
      </c>
      <c r="C67" s="17" t="s">
        <v>23</v>
      </c>
      <c r="D67" s="19"/>
      <c r="E67" s="19" t="s">
        <v>215</v>
      </c>
      <c r="F67" s="19">
        <v>904811109</v>
      </c>
      <c r="G67" s="20" t="s">
        <v>304</v>
      </c>
      <c r="H67" s="17" t="s">
        <v>305</v>
      </c>
      <c r="I67" s="34" t="s">
        <v>306</v>
      </c>
      <c r="J67" s="47"/>
      <c r="K67" s="17" t="s">
        <v>26</v>
      </c>
      <c r="L67" s="17" t="s">
        <v>247</v>
      </c>
      <c r="M67" s="17" t="s">
        <v>119</v>
      </c>
      <c r="N67" s="34"/>
      <c r="O67" s="21" t="s">
        <v>138</v>
      </c>
      <c r="P67" s="17" t="s">
        <v>307</v>
      </c>
      <c r="Q67" s="21" t="s">
        <v>32</v>
      </c>
      <c r="R67" s="21"/>
      <c r="S67" s="40"/>
      <c r="T67" s="23"/>
      <c r="U67" s="34"/>
      <c r="V67" s="17" t="e">
        <f>WEEKNUM([2]!CRM[[#This Row],[Fecha]])</f>
        <v>#REF!</v>
      </c>
      <c r="W67" s="34">
        <v>1</v>
      </c>
    </row>
    <row r="68" spans="1:23" ht="46.5">
      <c r="A68" s="5">
        <v>67</v>
      </c>
      <c r="B68" s="41">
        <v>45975</v>
      </c>
      <c r="C68" s="7" t="s">
        <v>23</v>
      </c>
      <c r="D68" s="10"/>
      <c r="E68" s="10" t="s">
        <v>204</v>
      </c>
      <c r="F68" s="10">
        <v>904811109</v>
      </c>
      <c r="G68" s="11" t="s">
        <v>304</v>
      </c>
      <c r="H68" s="7" t="s">
        <v>305</v>
      </c>
      <c r="I68" s="35" t="s">
        <v>306</v>
      </c>
      <c r="J68" s="45"/>
      <c r="K68" s="7" t="s">
        <v>26</v>
      </c>
      <c r="L68" s="7" t="s">
        <v>247</v>
      </c>
      <c r="M68" s="7" t="s">
        <v>119</v>
      </c>
      <c r="N68" s="35"/>
      <c r="O68" s="12" t="s">
        <v>138</v>
      </c>
      <c r="P68" s="7" t="s">
        <v>308</v>
      </c>
      <c r="Q68" s="12" t="s">
        <v>150</v>
      </c>
      <c r="R68" s="12"/>
      <c r="S68" s="42" t="s">
        <v>309</v>
      </c>
      <c r="T68" s="14"/>
      <c r="U68" s="35"/>
      <c r="V68" s="7" t="e">
        <f>WEEKNUM([2]!CRM[[#This Row],[Fecha]])</f>
        <v>#REF!</v>
      </c>
      <c r="W68" s="35">
        <v>1</v>
      </c>
    </row>
    <row r="69" spans="1:23" ht="30.95">
      <c r="A69" s="15">
        <v>68</v>
      </c>
      <c r="B69" s="38">
        <v>45978</v>
      </c>
      <c r="C69" s="17" t="s">
        <v>23</v>
      </c>
      <c r="D69" s="19" t="s">
        <v>203</v>
      </c>
      <c r="E69" s="19" t="s">
        <v>204</v>
      </c>
      <c r="F69" s="19">
        <v>970175949</v>
      </c>
      <c r="G69" s="20" t="s">
        <v>205</v>
      </c>
      <c r="H69" s="17"/>
      <c r="I69" s="34">
        <v>10774619271</v>
      </c>
      <c r="J69" s="20"/>
      <c r="K69" s="17" t="s">
        <v>206</v>
      </c>
      <c r="L69" s="17" t="s">
        <v>206</v>
      </c>
      <c r="M69" s="17" t="s">
        <v>28</v>
      </c>
      <c r="N69" s="34"/>
      <c r="O69" s="21" t="s">
        <v>9</v>
      </c>
      <c r="P69" s="17" t="s">
        <v>310</v>
      </c>
      <c r="Q69" s="21" t="s">
        <v>150</v>
      </c>
      <c r="R69" s="21"/>
      <c r="S69" s="40" t="s">
        <v>208</v>
      </c>
      <c r="T69" s="23"/>
      <c r="U69" s="43"/>
      <c r="V69" s="17" t="e">
        <f>WEEKNUM([1]!Tabla1[[#This Row],[Fecha]])</f>
        <v>#REF!</v>
      </c>
      <c r="W69" s="34"/>
    </row>
    <row r="70" spans="1:23" ht="108.6">
      <c r="A70" s="5">
        <v>69</v>
      </c>
      <c r="B70" s="41">
        <v>45979</v>
      </c>
      <c r="C70" s="7" t="s">
        <v>23</v>
      </c>
      <c r="D70" s="10" t="s">
        <v>151</v>
      </c>
      <c r="E70" s="10" t="s">
        <v>152</v>
      </c>
      <c r="F70" s="10"/>
      <c r="G70" s="45" t="s">
        <v>311</v>
      </c>
      <c r="H70" s="7" t="s">
        <v>154</v>
      </c>
      <c r="I70" s="35"/>
      <c r="J70" s="11"/>
      <c r="K70" s="7" t="s">
        <v>26</v>
      </c>
      <c r="L70" s="7" t="s">
        <v>155</v>
      </c>
      <c r="M70" s="7" t="s">
        <v>28</v>
      </c>
      <c r="N70" s="35"/>
      <c r="O70" s="12" t="s">
        <v>138</v>
      </c>
      <c r="P70" s="7" t="s">
        <v>312</v>
      </c>
      <c r="Q70" s="12" t="s">
        <v>157</v>
      </c>
      <c r="R70" s="12"/>
      <c r="S70" s="42"/>
      <c r="T70" s="14"/>
      <c r="U70" s="46"/>
      <c r="V70" s="7" t="e">
        <f>WEEKNUM([1]!Tabla1[[#This Row],[Fecha]])</f>
        <v>#REF!</v>
      </c>
      <c r="W70" s="35"/>
    </row>
    <row r="71" spans="1:23" ht="46.5">
      <c r="A71" s="15">
        <v>70</v>
      </c>
      <c r="B71" s="38">
        <v>45979</v>
      </c>
      <c r="C71" s="17" t="s">
        <v>23</v>
      </c>
      <c r="D71" s="19"/>
      <c r="E71" s="19" t="s">
        <v>204</v>
      </c>
      <c r="F71" s="19">
        <v>904811109</v>
      </c>
      <c r="G71" s="20" t="s">
        <v>304</v>
      </c>
      <c r="H71" s="17" t="s">
        <v>305</v>
      </c>
      <c r="I71" s="34" t="s">
        <v>306</v>
      </c>
      <c r="J71" s="20"/>
      <c r="K71" s="17" t="s">
        <v>26</v>
      </c>
      <c r="L71" s="17" t="s">
        <v>247</v>
      </c>
      <c r="M71" s="17" t="s">
        <v>119</v>
      </c>
      <c r="N71" s="34"/>
      <c r="O71" s="21" t="s">
        <v>138</v>
      </c>
      <c r="P71" s="17" t="s">
        <v>313</v>
      </c>
      <c r="Q71" s="21" t="s">
        <v>32</v>
      </c>
      <c r="R71" s="21"/>
      <c r="S71" s="40" t="s">
        <v>309</v>
      </c>
      <c r="T71" s="23"/>
      <c r="U71" s="34"/>
      <c r="V71" s="17" t="e">
        <f>WEEKNUM([2]!CRM[[#This Row],[Fecha]])</f>
        <v>#REF!</v>
      </c>
      <c r="W71" s="34">
        <v>1</v>
      </c>
    </row>
    <row r="72" spans="1:23" ht="62.1">
      <c r="A72" s="5">
        <v>71</v>
      </c>
      <c r="B72" s="41">
        <v>45979</v>
      </c>
      <c r="C72" s="7" t="s">
        <v>23</v>
      </c>
      <c r="D72" s="10" t="s">
        <v>314</v>
      </c>
      <c r="E72" s="10" t="s">
        <v>141</v>
      </c>
      <c r="F72" s="10"/>
      <c r="G72" s="45" t="s">
        <v>315</v>
      </c>
      <c r="H72" s="7" t="s">
        <v>316</v>
      </c>
      <c r="I72" s="35"/>
      <c r="J72" s="11"/>
      <c r="K72" s="7"/>
      <c r="L72" s="7"/>
      <c r="M72" s="7" t="s">
        <v>317</v>
      </c>
      <c r="N72" s="35"/>
      <c r="O72" s="12" t="s">
        <v>30</v>
      </c>
      <c r="P72" s="7" t="s">
        <v>318</v>
      </c>
      <c r="Q72" s="12" t="s">
        <v>32</v>
      </c>
      <c r="R72" s="12"/>
      <c r="S72" s="42"/>
      <c r="T72" s="14"/>
      <c r="U72" s="35"/>
      <c r="V72" s="7" t="e">
        <f>WEEKNUM([1]!Tabla1[[#This Row],[Fecha]])</f>
        <v>#REF!</v>
      </c>
      <c r="W72" s="35"/>
    </row>
    <row r="73" spans="1:23" ht="93">
      <c r="A73" s="15">
        <v>72</v>
      </c>
      <c r="B73" s="38">
        <v>45980</v>
      </c>
      <c r="C73" s="17" t="s">
        <v>23</v>
      </c>
      <c r="D73" s="19" t="s">
        <v>300</v>
      </c>
      <c r="E73" s="19" t="s">
        <v>301</v>
      </c>
      <c r="F73" s="20">
        <v>991574766</v>
      </c>
      <c r="G73" s="20"/>
      <c r="H73" s="17" t="s">
        <v>297</v>
      </c>
      <c r="I73" s="34">
        <v>20603582552</v>
      </c>
      <c r="J73" s="20"/>
      <c r="K73" s="17" t="s">
        <v>26</v>
      </c>
      <c r="L73" s="17" t="s">
        <v>298</v>
      </c>
      <c r="M73" s="17" t="s">
        <v>119</v>
      </c>
      <c r="N73" s="34"/>
      <c r="O73" s="21" t="s">
        <v>138</v>
      </c>
      <c r="P73" s="17" t="s">
        <v>319</v>
      </c>
      <c r="Q73" s="21" t="s">
        <v>32</v>
      </c>
      <c r="R73" s="21"/>
      <c r="S73" s="40" t="s">
        <v>303</v>
      </c>
      <c r="T73" s="23"/>
      <c r="U73" s="43">
        <v>46006</v>
      </c>
      <c r="V73" s="17">
        <v>46</v>
      </c>
      <c r="W73" s="34">
        <v>2</v>
      </c>
    </row>
    <row r="74" spans="1:23" ht="62.1">
      <c r="A74" s="5">
        <v>73</v>
      </c>
      <c r="B74" s="41">
        <v>45980</v>
      </c>
      <c r="C74" s="7" t="s">
        <v>23</v>
      </c>
      <c r="D74" s="10" t="s">
        <v>237</v>
      </c>
      <c r="E74" s="10" t="s">
        <v>204</v>
      </c>
      <c r="F74" s="10">
        <v>975598544</v>
      </c>
      <c r="G74" s="11" t="s">
        <v>238</v>
      </c>
      <c r="H74" s="7" t="s">
        <v>239</v>
      </c>
      <c r="I74" s="35"/>
      <c r="J74" s="11"/>
      <c r="K74" s="7" t="s">
        <v>240</v>
      </c>
      <c r="L74" s="7" t="s">
        <v>241</v>
      </c>
      <c r="M74" s="7" t="s">
        <v>119</v>
      </c>
      <c r="N74" s="35"/>
      <c r="O74" s="12" t="s">
        <v>138</v>
      </c>
      <c r="P74" s="7" t="s">
        <v>320</v>
      </c>
      <c r="Q74" s="12" t="s">
        <v>321</v>
      </c>
      <c r="R74" s="12"/>
      <c r="S74" s="42" t="s">
        <v>243</v>
      </c>
      <c r="T74" s="14"/>
      <c r="U74" s="35"/>
      <c r="V74" s="7" t="e">
        <f>WEEKNUM([1]!Tabla1[[#This Row],[Fecha]])</f>
        <v>#REF!</v>
      </c>
      <c r="W74" s="35"/>
    </row>
    <row r="75" spans="1:23" ht="46.5">
      <c r="A75" s="15">
        <v>74</v>
      </c>
      <c r="B75" s="38">
        <v>45980</v>
      </c>
      <c r="C75" s="17" t="s">
        <v>23</v>
      </c>
      <c r="D75" s="19" t="s">
        <v>203</v>
      </c>
      <c r="E75" s="19" t="s">
        <v>204</v>
      </c>
      <c r="F75" s="19">
        <v>970175949</v>
      </c>
      <c r="G75" s="20" t="s">
        <v>205</v>
      </c>
      <c r="H75" s="17"/>
      <c r="I75" s="34">
        <v>10774619271</v>
      </c>
      <c r="J75" s="20"/>
      <c r="K75" s="17" t="s">
        <v>206</v>
      </c>
      <c r="L75" s="17" t="s">
        <v>206</v>
      </c>
      <c r="M75" s="17" t="s">
        <v>28</v>
      </c>
      <c r="N75" s="34"/>
      <c r="O75" s="21" t="s">
        <v>9</v>
      </c>
      <c r="P75" s="17" t="s">
        <v>322</v>
      </c>
      <c r="Q75" s="21" t="s">
        <v>281</v>
      </c>
      <c r="R75" s="21"/>
      <c r="S75" s="40" t="s">
        <v>208</v>
      </c>
      <c r="T75" s="54">
        <v>3950</v>
      </c>
      <c r="U75" s="43"/>
      <c r="V75" s="17" t="e">
        <f>WEEKNUM([1]!Tabla1[[#This Row],[Fecha]])</f>
        <v>#REF!</v>
      </c>
      <c r="W75" s="34"/>
    </row>
    <row r="76" spans="1:23" ht="77.45">
      <c r="A76" s="5">
        <v>75</v>
      </c>
      <c r="B76" s="41">
        <v>45945</v>
      </c>
      <c r="C76" s="7" t="s">
        <v>323</v>
      </c>
      <c r="D76" s="10" t="s">
        <v>324</v>
      </c>
      <c r="E76" s="10" t="s">
        <v>204</v>
      </c>
      <c r="F76" s="10">
        <v>949719738</v>
      </c>
      <c r="G76" s="11" t="s">
        <v>325</v>
      </c>
      <c r="H76" s="7" t="s">
        <v>326</v>
      </c>
      <c r="I76" s="52">
        <v>20601646367</v>
      </c>
      <c r="J76" s="11"/>
      <c r="K76" s="7" t="s">
        <v>70</v>
      </c>
      <c r="L76" s="7"/>
      <c r="M76" s="7" t="s">
        <v>28</v>
      </c>
      <c r="N76" s="35" t="s">
        <v>29</v>
      </c>
      <c r="O76" s="12" t="s">
        <v>9</v>
      </c>
      <c r="P76" s="55" t="s">
        <v>327</v>
      </c>
      <c r="Q76" s="12" t="s">
        <v>281</v>
      </c>
      <c r="R76" s="12"/>
      <c r="S76" s="42" t="s">
        <v>328</v>
      </c>
      <c r="T76" s="56">
        <v>14406.78</v>
      </c>
      <c r="U76" s="35"/>
      <c r="V76" s="7">
        <v>44</v>
      </c>
      <c r="W76" s="35"/>
    </row>
    <row r="77" spans="1:23" ht="77.45">
      <c r="A77" s="57">
        <v>76</v>
      </c>
      <c r="B77" s="58">
        <v>45981</v>
      </c>
      <c r="C77" s="17" t="s">
        <v>323</v>
      </c>
      <c r="D77" s="59" t="s">
        <v>329</v>
      </c>
      <c r="E77" s="59" t="s">
        <v>330</v>
      </c>
      <c r="F77" s="59"/>
      <c r="G77" s="60" t="s">
        <v>331</v>
      </c>
      <c r="H77" s="61" t="s">
        <v>332</v>
      </c>
      <c r="I77" s="62"/>
      <c r="J77" s="63"/>
      <c r="K77" s="61" t="s">
        <v>26</v>
      </c>
      <c r="L77" s="61" t="s">
        <v>27</v>
      </c>
      <c r="M77" s="17" t="s">
        <v>28</v>
      </c>
      <c r="N77" s="62"/>
      <c r="O77" s="64" t="s">
        <v>138</v>
      </c>
      <c r="P77" s="61" t="s">
        <v>333</v>
      </c>
      <c r="Q77" s="64" t="s">
        <v>157</v>
      </c>
      <c r="R77" s="64"/>
      <c r="S77" s="65"/>
      <c r="T77" s="66"/>
      <c r="U77" s="62"/>
      <c r="V77" s="61" t="e">
        <f>WEEKNUM([1]!Tabla1[[#This Row],[Fecha]])</f>
        <v>#REF!</v>
      </c>
      <c r="W77" s="62"/>
    </row>
    <row r="78" spans="1:23" ht="46.5">
      <c r="A78" s="67">
        <v>77</v>
      </c>
      <c r="B78" s="68">
        <v>45981</v>
      </c>
      <c r="C78" s="7" t="s">
        <v>323</v>
      </c>
      <c r="D78" s="69" t="s">
        <v>81</v>
      </c>
      <c r="E78" s="69" t="s">
        <v>81</v>
      </c>
      <c r="F78" s="69"/>
      <c r="G78" s="70"/>
      <c r="H78" s="71" t="s">
        <v>334</v>
      </c>
      <c r="I78" s="72"/>
      <c r="J78" s="70"/>
      <c r="K78" s="71" t="s">
        <v>26</v>
      </c>
      <c r="L78" s="71" t="s">
        <v>27</v>
      </c>
      <c r="M78" s="7" t="s">
        <v>28</v>
      </c>
      <c r="N78" s="72"/>
      <c r="O78" s="73" t="s">
        <v>138</v>
      </c>
      <c r="P78" s="71" t="s">
        <v>335</v>
      </c>
      <c r="Q78" s="73" t="s">
        <v>157</v>
      </c>
      <c r="R78" s="73"/>
      <c r="S78" s="74"/>
      <c r="T78" s="75"/>
      <c r="U78" s="72"/>
      <c r="V78" s="71" t="e">
        <f>WEEKNUM([1]!Tabla1[[#This Row],[Fecha]])</f>
        <v>#REF!</v>
      </c>
      <c r="W78" s="72"/>
    </row>
    <row r="79" spans="1:23" ht="62.1">
      <c r="A79" s="57">
        <v>78</v>
      </c>
      <c r="B79" s="58">
        <v>45981</v>
      </c>
      <c r="C79" s="17" t="s">
        <v>323</v>
      </c>
      <c r="D79" s="59" t="s">
        <v>292</v>
      </c>
      <c r="E79" s="59"/>
      <c r="F79" s="59"/>
      <c r="G79" s="63"/>
      <c r="H79" s="61" t="s">
        <v>336</v>
      </c>
      <c r="I79" s="62"/>
      <c r="J79" s="63"/>
      <c r="K79" s="61" t="s">
        <v>26</v>
      </c>
      <c r="L79" s="61" t="s">
        <v>27</v>
      </c>
      <c r="M79" s="17" t="s">
        <v>28</v>
      </c>
      <c r="N79" s="62"/>
      <c r="O79" s="64" t="s">
        <v>138</v>
      </c>
      <c r="P79" s="61" t="s">
        <v>337</v>
      </c>
      <c r="Q79" s="64" t="s">
        <v>157</v>
      </c>
      <c r="R79" s="64"/>
      <c r="S79" s="65"/>
      <c r="T79" s="66"/>
      <c r="U79" s="62"/>
      <c r="V79" s="61" t="e">
        <f>WEEKNUM([1]!Tabla1[[#This Row],[Fecha]])</f>
        <v>#REF!</v>
      </c>
      <c r="W79" s="62"/>
    </row>
    <row r="80" spans="1:23" ht="31.5" thickBot="1">
      <c r="A80" s="67">
        <v>79</v>
      </c>
      <c r="B80" s="68">
        <v>45981</v>
      </c>
      <c r="C80" s="7" t="s">
        <v>323</v>
      </c>
      <c r="D80" s="69" t="s">
        <v>292</v>
      </c>
      <c r="E80" s="69"/>
      <c r="F80" s="69"/>
      <c r="G80" s="70"/>
      <c r="H80" s="71" t="s">
        <v>338</v>
      </c>
      <c r="I80" s="72"/>
      <c r="J80" s="70"/>
      <c r="K80" s="71" t="s">
        <v>26</v>
      </c>
      <c r="L80" s="71" t="s">
        <v>27</v>
      </c>
      <c r="M80" s="7" t="s">
        <v>28</v>
      </c>
      <c r="N80" s="72"/>
      <c r="O80" s="73" t="s">
        <v>138</v>
      </c>
      <c r="P80" s="71" t="s">
        <v>339</v>
      </c>
      <c r="Q80" s="73" t="s">
        <v>157</v>
      </c>
      <c r="R80" s="73"/>
      <c r="S80" s="74"/>
      <c r="T80" s="75"/>
      <c r="U80" s="72"/>
      <c r="V80" s="71" t="e">
        <f>WEEKNUM([1]!Tabla1[[#This Row],[Fecha]])</f>
        <v>#REF!</v>
      </c>
      <c r="W80" s="72"/>
    </row>
    <row r="81" spans="1:23" ht="62.45" thickBot="1">
      <c r="A81" s="57">
        <v>80</v>
      </c>
      <c r="B81" s="58">
        <v>45981</v>
      </c>
      <c r="C81" s="17" t="s">
        <v>323</v>
      </c>
      <c r="D81" s="59" t="s">
        <v>340</v>
      </c>
      <c r="E81" s="59" t="s">
        <v>341</v>
      </c>
      <c r="F81" s="59"/>
      <c r="G81" s="60" t="s">
        <v>342</v>
      </c>
      <c r="H81" s="76" t="s">
        <v>343</v>
      </c>
      <c r="I81" s="62"/>
      <c r="J81" s="63"/>
      <c r="K81" s="61" t="s">
        <v>26</v>
      </c>
      <c r="L81" s="61" t="s">
        <v>344</v>
      </c>
      <c r="M81" s="17" t="s">
        <v>317</v>
      </c>
      <c r="N81" s="62"/>
      <c r="O81" s="64" t="s">
        <v>345</v>
      </c>
      <c r="P81" s="61" t="s">
        <v>346</v>
      </c>
      <c r="Q81" s="64" t="s">
        <v>157</v>
      </c>
      <c r="R81" s="64"/>
      <c r="S81" s="77" t="s">
        <v>347</v>
      </c>
      <c r="T81" s="66"/>
      <c r="U81" s="62"/>
      <c r="V81" s="61" t="e">
        <f>WEEKNUM([1]!Tabla1[[#This Row],[Fecha]])</f>
        <v>#REF!</v>
      </c>
      <c r="W81" s="62"/>
    </row>
    <row r="82" spans="1:23" ht="77.45">
      <c r="A82" s="67">
        <v>81</v>
      </c>
      <c r="B82" s="68">
        <v>45981</v>
      </c>
      <c r="C82" s="7" t="s">
        <v>323</v>
      </c>
      <c r="D82" s="69" t="s">
        <v>348</v>
      </c>
      <c r="E82" s="69" t="s">
        <v>349</v>
      </c>
      <c r="F82" s="69" t="s">
        <v>350</v>
      </c>
      <c r="G82" s="78" t="s">
        <v>351</v>
      </c>
      <c r="H82" s="71" t="s">
        <v>352</v>
      </c>
      <c r="I82" s="72"/>
      <c r="J82" s="70"/>
      <c r="K82" s="71" t="s">
        <v>26</v>
      </c>
      <c r="L82" s="71" t="s">
        <v>27</v>
      </c>
      <c r="M82" s="7" t="s">
        <v>28</v>
      </c>
      <c r="N82" s="72"/>
      <c r="O82" s="73" t="s">
        <v>138</v>
      </c>
      <c r="P82" s="71" t="s">
        <v>353</v>
      </c>
      <c r="Q82" s="73" t="s">
        <v>157</v>
      </c>
      <c r="R82" s="73"/>
      <c r="S82" s="79" t="s">
        <v>354</v>
      </c>
      <c r="T82" s="75"/>
      <c r="U82" s="72"/>
      <c r="V82" s="71" t="e">
        <f>WEEKNUM([1]!Tabla1[[#This Row],[Fecha]])</f>
        <v>#REF!</v>
      </c>
      <c r="W82" s="72"/>
    </row>
    <row r="83" spans="1:23" ht="93">
      <c r="A83" s="57">
        <v>82</v>
      </c>
      <c r="B83" s="58">
        <v>45981</v>
      </c>
      <c r="C83" s="17" t="s">
        <v>323</v>
      </c>
      <c r="D83" s="59" t="s">
        <v>355</v>
      </c>
      <c r="E83" s="59" t="s">
        <v>301</v>
      </c>
      <c r="F83" s="59">
        <v>982516701</v>
      </c>
      <c r="G83" s="63"/>
      <c r="H83" s="59" t="s">
        <v>356</v>
      </c>
      <c r="I83" s="62"/>
      <c r="J83" s="63"/>
      <c r="K83" s="61" t="s">
        <v>26</v>
      </c>
      <c r="L83" s="61" t="s">
        <v>27</v>
      </c>
      <c r="M83" s="17" t="s">
        <v>119</v>
      </c>
      <c r="N83" s="62"/>
      <c r="O83" s="64" t="s">
        <v>138</v>
      </c>
      <c r="P83" s="61" t="s">
        <v>357</v>
      </c>
      <c r="Q83" s="64" t="s">
        <v>157</v>
      </c>
      <c r="R83" s="64"/>
      <c r="S83" s="77">
        <v>45982</v>
      </c>
      <c r="T83" s="66"/>
      <c r="U83" s="62"/>
      <c r="V83" s="61" t="e">
        <f>WEEKNUM([1]!Tabla1[[#This Row],[Fecha]])</f>
        <v>#REF!</v>
      </c>
      <c r="W83" s="62"/>
    </row>
    <row r="84" spans="1:23" ht="139.5">
      <c r="A84" s="67">
        <v>83</v>
      </c>
      <c r="B84" s="68">
        <v>45981</v>
      </c>
      <c r="C84" s="7" t="s">
        <v>323</v>
      </c>
      <c r="D84" s="69" t="s">
        <v>358</v>
      </c>
      <c r="E84" s="69" t="s">
        <v>65</v>
      </c>
      <c r="F84" s="69">
        <v>924968850</v>
      </c>
      <c r="G84" s="70"/>
      <c r="H84" s="71" t="s">
        <v>35</v>
      </c>
      <c r="I84" s="72"/>
      <c r="J84" s="70"/>
      <c r="K84" s="71" t="s">
        <v>26</v>
      </c>
      <c r="L84" s="71" t="s">
        <v>26</v>
      </c>
      <c r="M84" s="7" t="s">
        <v>28</v>
      </c>
      <c r="N84" s="72"/>
      <c r="O84" s="73" t="s">
        <v>345</v>
      </c>
      <c r="P84" s="71" t="s">
        <v>359</v>
      </c>
      <c r="Q84" s="73" t="s">
        <v>32</v>
      </c>
      <c r="R84" s="73"/>
      <c r="S84" s="79"/>
      <c r="T84" s="75"/>
      <c r="U84" s="72"/>
      <c r="V84" s="71" t="e">
        <f>WEEKNUM([1]!Tabla1[[#This Row],[Fecha]])</f>
        <v>#REF!</v>
      </c>
      <c r="W84" s="72"/>
    </row>
    <row r="85" spans="1:23" ht="62.1">
      <c r="A85" s="57">
        <v>84</v>
      </c>
      <c r="B85" s="58">
        <v>45981</v>
      </c>
      <c r="C85" s="61" t="s">
        <v>23</v>
      </c>
      <c r="D85" s="80" t="s">
        <v>24</v>
      </c>
      <c r="E85" s="59" t="s">
        <v>25</v>
      </c>
      <c r="F85" s="81">
        <v>920144113</v>
      </c>
      <c r="G85" s="63"/>
      <c r="H85" s="61"/>
      <c r="I85" s="82"/>
      <c r="J85" s="63"/>
      <c r="K85" s="61" t="s">
        <v>26</v>
      </c>
      <c r="L85" s="61" t="s">
        <v>27</v>
      </c>
      <c r="M85" s="83" t="s">
        <v>28</v>
      </c>
      <c r="N85" s="84"/>
      <c r="O85" s="85" t="s">
        <v>30</v>
      </c>
      <c r="P85" s="61" t="s">
        <v>360</v>
      </c>
      <c r="Q85" s="64" t="s">
        <v>32</v>
      </c>
      <c r="R85" s="64"/>
      <c r="S85" s="77">
        <v>45982</v>
      </c>
      <c r="T85" s="86"/>
      <c r="U85" s="62"/>
      <c r="V85" s="61" t="e">
        <f>WEEKNUM([1]!Tabla1[[#This Row],[Fecha]])</f>
        <v>#REF!</v>
      </c>
      <c r="W85" s="62"/>
    </row>
    <row r="86" spans="1:23" ht="123.95">
      <c r="A86" s="67">
        <v>85</v>
      </c>
      <c r="B86" s="68">
        <v>45982</v>
      </c>
      <c r="C86" s="71" t="s">
        <v>23</v>
      </c>
      <c r="D86" s="69" t="s">
        <v>134</v>
      </c>
      <c r="E86" s="69" t="s">
        <v>135</v>
      </c>
      <c r="F86" s="69"/>
      <c r="G86" s="70"/>
      <c r="H86" s="71" t="s">
        <v>171</v>
      </c>
      <c r="I86" s="72">
        <v>20145915164</v>
      </c>
      <c r="J86" s="70"/>
      <c r="K86" s="71" t="s">
        <v>26</v>
      </c>
      <c r="L86" s="71" t="s">
        <v>172</v>
      </c>
      <c r="M86" s="71" t="s">
        <v>136</v>
      </c>
      <c r="N86" s="72"/>
      <c r="O86" s="73" t="s">
        <v>30</v>
      </c>
      <c r="P86" s="71" t="s">
        <v>361</v>
      </c>
      <c r="Q86" s="73" t="s">
        <v>32</v>
      </c>
      <c r="R86" s="73"/>
      <c r="S86" s="74"/>
      <c r="T86" s="75"/>
      <c r="U86" s="87">
        <v>45991</v>
      </c>
      <c r="V86" s="71" t="e">
        <f>WEEKNUM([1]!Tabla1[[#This Row],[Fecha]])</f>
        <v>#REF!</v>
      </c>
      <c r="W86" s="72"/>
    </row>
    <row r="87" spans="1:23" ht="46.5">
      <c r="A87" s="57">
        <v>86</v>
      </c>
      <c r="B87" s="58">
        <v>45983</v>
      </c>
      <c r="C87" s="61" t="s">
        <v>23</v>
      </c>
      <c r="D87" s="59" t="s">
        <v>362</v>
      </c>
      <c r="E87" s="59" t="s">
        <v>363</v>
      </c>
      <c r="F87" s="59"/>
      <c r="G87" s="60" t="s">
        <v>364</v>
      </c>
      <c r="H87" s="61" t="s">
        <v>365</v>
      </c>
      <c r="I87" s="62"/>
      <c r="J87" s="63"/>
      <c r="K87" s="61" t="s">
        <v>26</v>
      </c>
      <c r="L87" s="61" t="s">
        <v>27</v>
      </c>
      <c r="M87" s="61" t="s">
        <v>366</v>
      </c>
      <c r="N87" s="62"/>
      <c r="O87" s="64" t="s">
        <v>30</v>
      </c>
      <c r="P87" s="61" t="s">
        <v>367</v>
      </c>
      <c r="Q87" s="64" t="s">
        <v>157</v>
      </c>
      <c r="R87" s="64"/>
      <c r="S87" s="65"/>
      <c r="T87" s="66"/>
      <c r="U87" s="62"/>
      <c r="V87" s="61" t="e">
        <f>WEEKNUM([1]!Tabla1[[#This Row],[Fecha]])</f>
        <v>#REF!</v>
      </c>
      <c r="W87" s="62"/>
    </row>
    <row r="88" spans="1:23" ht="108.6">
      <c r="A88" s="67">
        <v>87</v>
      </c>
      <c r="B88" s="68">
        <v>45983</v>
      </c>
      <c r="C88" s="71" t="s">
        <v>23</v>
      </c>
      <c r="D88" s="69" t="s">
        <v>368</v>
      </c>
      <c r="E88" s="69" t="s">
        <v>369</v>
      </c>
      <c r="F88" s="69">
        <v>991779788</v>
      </c>
      <c r="G88" s="78" t="s">
        <v>370</v>
      </c>
      <c r="H88" s="71"/>
      <c r="I88" s="72"/>
      <c r="J88" s="70"/>
      <c r="K88" s="71" t="s">
        <v>26</v>
      </c>
      <c r="L88" s="71" t="s">
        <v>27</v>
      </c>
      <c r="M88" s="7" t="s">
        <v>119</v>
      </c>
      <c r="N88" s="72"/>
      <c r="O88" s="73" t="s">
        <v>138</v>
      </c>
      <c r="P88" s="71" t="s">
        <v>371</v>
      </c>
      <c r="Q88" s="73" t="s">
        <v>32</v>
      </c>
      <c r="R88" s="73"/>
      <c r="S88" s="74" t="s">
        <v>372</v>
      </c>
      <c r="T88" s="75"/>
      <c r="U88" s="87">
        <v>45983</v>
      </c>
      <c r="V88" s="71" t="e">
        <f>WEEKNUM([1]!Tabla1[[#This Row],[Fecha]])</f>
        <v>#REF!</v>
      </c>
      <c r="W88" s="72"/>
    </row>
    <row r="89" spans="1:23" ht="77.45">
      <c r="A89" s="57">
        <v>88</v>
      </c>
      <c r="B89" s="58">
        <v>45983</v>
      </c>
      <c r="C89" s="61" t="s">
        <v>23</v>
      </c>
      <c r="D89" s="59"/>
      <c r="E89" s="59"/>
      <c r="F89" s="59">
        <v>2790049</v>
      </c>
      <c r="G89" s="63"/>
      <c r="H89" s="61" t="s">
        <v>373</v>
      </c>
      <c r="I89" s="62"/>
      <c r="J89" s="63"/>
      <c r="K89" s="61" t="s">
        <v>26</v>
      </c>
      <c r="L89" s="61" t="s">
        <v>27</v>
      </c>
      <c r="M89" s="17" t="s">
        <v>119</v>
      </c>
      <c r="N89" s="62"/>
      <c r="O89" s="64" t="s">
        <v>138</v>
      </c>
      <c r="P89" s="61" t="s">
        <v>374</v>
      </c>
      <c r="Q89" s="64" t="s">
        <v>157</v>
      </c>
      <c r="R89" s="64"/>
      <c r="S89" s="65"/>
      <c r="T89" s="66"/>
      <c r="U89" s="88">
        <v>45988</v>
      </c>
      <c r="V89" s="61" t="e">
        <f>WEEKNUM([1]!Tabla1[[#This Row],[Fecha]])</f>
        <v>#REF!</v>
      </c>
      <c r="W89" s="62"/>
    </row>
    <row r="90" spans="1:23" ht="46.5">
      <c r="A90" s="67">
        <v>89</v>
      </c>
      <c r="B90" s="68">
        <v>45983</v>
      </c>
      <c r="C90" s="71" t="s">
        <v>23</v>
      </c>
      <c r="D90" s="69" t="s">
        <v>292</v>
      </c>
      <c r="E90" s="69" t="s">
        <v>81</v>
      </c>
      <c r="F90" s="69" t="s">
        <v>375</v>
      </c>
      <c r="G90" s="78" t="s">
        <v>376</v>
      </c>
      <c r="H90" s="71" t="s">
        <v>377</v>
      </c>
      <c r="I90" s="72"/>
      <c r="J90" s="70"/>
      <c r="K90" s="71" t="s">
        <v>26</v>
      </c>
      <c r="L90" s="71" t="s">
        <v>247</v>
      </c>
      <c r="M90" s="89" t="s">
        <v>28</v>
      </c>
      <c r="N90" s="72"/>
      <c r="O90" s="73" t="s">
        <v>138</v>
      </c>
      <c r="P90" s="71" t="s">
        <v>378</v>
      </c>
      <c r="Q90" s="73" t="s">
        <v>157</v>
      </c>
      <c r="R90" s="73"/>
      <c r="S90" s="74"/>
      <c r="T90" s="75"/>
      <c r="U90" s="87">
        <v>45988</v>
      </c>
      <c r="V90" s="71" t="e">
        <f>WEEKNUM([1]!Tabla1[[#This Row],[Fecha]])</f>
        <v>#REF!</v>
      </c>
      <c r="W90" s="72"/>
    </row>
    <row r="91" spans="1:23" ht="62.1">
      <c r="A91" s="57">
        <v>90</v>
      </c>
      <c r="B91" s="58">
        <v>45983</v>
      </c>
      <c r="C91" s="61" t="s">
        <v>23</v>
      </c>
      <c r="D91" s="59" t="s">
        <v>379</v>
      </c>
      <c r="E91" s="59" t="s">
        <v>193</v>
      </c>
      <c r="F91" s="59"/>
      <c r="G91" s="60" t="s">
        <v>380</v>
      </c>
      <c r="H91" s="61" t="s">
        <v>381</v>
      </c>
      <c r="I91" s="62"/>
      <c r="J91" s="63"/>
      <c r="K91" s="61" t="s">
        <v>26</v>
      </c>
      <c r="L91" s="61" t="s">
        <v>27</v>
      </c>
      <c r="M91" s="83" t="s">
        <v>28</v>
      </c>
      <c r="N91" s="62"/>
      <c r="O91" s="64" t="s">
        <v>138</v>
      </c>
      <c r="P91" s="61" t="s">
        <v>382</v>
      </c>
      <c r="Q91" s="64" t="s">
        <v>157</v>
      </c>
      <c r="R91" s="64"/>
      <c r="S91" s="65"/>
      <c r="T91" s="66"/>
      <c r="U91" s="62"/>
      <c r="V91" s="61" t="e">
        <f>WEEKNUM([1]!Tabla1[[#This Row],[Fecha]])</f>
        <v>#REF!</v>
      </c>
      <c r="W91" s="62"/>
    </row>
    <row r="92" spans="1:23" ht="108.6">
      <c r="A92" s="67">
        <v>91</v>
      </c>
      <c r="B92" s="68">
        <v>45983</v>
      </c>
      <c r="C92" s="71" t="s">
        <v>23</v>
      </c>
      <c r="D92" s="69"/>
      <c r="E92" s="69"/>
      <c r="F92" s="69"/>
      <c r="G92" s="70"/>
      <c r="H92" s="71" t="s">
        <v>383</v>
      </c>
      <c r="I92" s="72"/>
      <c r="J92" s="70"/>
      <c r="K92" s="71" t="s">
        <v>26</v>
      </c>
      <c r="L92" s="71" t="s">
        <v>27</v>
      </c>
      <c r="M92" s="89" t="s">
        <v>28</v>
      </c>
      <c r="N92" s="72"/>
      <c r="O92" s="73" t="s">
        <v>138</v>
      </c>
      <c r="P92" s="71" t="s">
        <v>384</v>
      </c>
      <c r="Q92" s="73" t="s">
        <v>157</v>
      </c>
      <c r="R92" s="73"/>
      <c r="S92" s="74"/>
      <c r="T92" s="75"/>
      <c r="U92" s="72"/>
      <c r="V92" s="71" t="e">
        <f>WEEKNUM([1]!Tabla1[[#This Row],[Fecha]])</f>
        <v>#REF!</v>
      </c>
      <c r="W92" s="72"/>
    </row>
    <row r="93" spans="1:23" ht="62.1">
      <c r="A93" s="57">
        <v>92</v>
      </c>
      <c r="B93" s="58">
        <v>45985</v>
      </c>
      <c r="C93" s="61" t="s">
        <v>23</v>
      </c>
      <c r="D93" s="59" t="s">
        <v>379</v>
      </c>
      <c r="E93" s="59" t="s">
        <v>193</v>
      </c>
      <c r="F93" s="59">
        <v>954697240</v>
      </c>
      <c r="G93" s="63" t="s">
        <v>380</v>
      </c>
      <c r="H93" s="61" t="s">
        <v>381</v>
      </c>
      <c r="I93" s="62"/>
      <c r="J93" s="63"/>
      <c r="K93" s="61" t="s">
        <v>26</v>
      </c>
      <c r="L93" s="61" t="s">
        <v>27</v>
      </c>
      <c r="M93" s="83" t="s">
        <v>28</v>
      </c>
      <c r="N93" s="62"/>
      <c r="O93" s="64" t="s">
        <v>138</v>
      </c>
      <c r="P93" s="61" t="s">
        <v>385</v>
      </c>
      <c r="Q93" s="64" t="s">
        <v>32</v>
      </c>
      <c r="R93" s="64"/>
      <c r="S93" s="65"/>
      <c r="T93" s="66"/>
      <c r="U93" s="90">
        <v>45658</v>
      </c>
      <c r="V93" s="61" t="e">
        <f>WEEKNUM([1]!Tabla1[[#This Row],[Fecha]])</f>
        <v>#REF!</v>
      </c>
      <c r="W93" s="62"/>
    </row>
    <row r="94" spans="1:23" ht="93">
      <c r="A94" s="67">
        <v>97</v>
      </c>
      <c r="B94" s="68">
        <v>45986</v>
      </c>
      <c r="C94" s="71" t="s">
        <v>23</v>
      </c>
      <c r="D94" s="69" t="s">
        <v>134</v>
      </c>
      <c r="E94" s="69" t="s">
        <v>135</v>
      </c>
      <c r="F94" s="69"/>
      <c r="G94" s="70"/>
      <c r="H94" s="71" t="s">
        <v>171</v>
      </c>
      <c r="I94" s="72">
        <v>20145915164</v>
      </c>
      <c r="J94" s="70"/>
      <c r="K94" s="71" t="s">
        <v>26</v>
      </c>
      <c r="L94" s="71" t="s">
        <v>172</v>
      </c>
      <c r="M94" s="71" t="s">
        <v>136</v>
      </c>
      <c r="N94" s="72"/>
      <c r="O94" s="73" t="s">
        <v>30</v>
      </c>
      <c r="P94" s="71" t="s">
        <v>386</v>
      </c>
      <c r="Q94" s="73" t="s">
        <v>32</v>
      </c>
      <c r="R94" s="73"/>
      <c r="S94" s="74"/>
      <c r="T94" s="75"/>
      <c r="U94" s="87">
        <v>45991</v>
      </c>
      <c r="V94" s="71" t="e">
        <f>WEEKNUM([1]!Tabla1[[#This Row],[Fecha]])</f>
        <v>#REF!</v>
      </c>
      <c r="W94" s="72"/>
    </row>
    <row r="95" spans="1:23" ht="62.1">
      <c r="A95" s="57">
        <v>93</v>
      </c>
      <c r="B95" s="58">
        <v>45986</v>
      </c>
      <c r="C95" s="61" t="s">
        <v>23</v>
      </c>
      <c r="D95" s="59" t="s">
        <v>292</v>
      </c>
      <c r="E95" s="59" t="s">
        <v>81</v>
      </c>
      <c r="F95" s="59">
        <v>940414920</v>
      </c>
      <c r="G95" s="63"/>
      <c r="H95" s="61" t="s">
        <v>387</v>
      </c>
      <c r="I95" s="62"/>
      <c r="J95" s="63"/>
      <c r="K95" s="61"/>
      <c r="L95" s="61" t="s">
        <v>388</v>
      </c>
      <c r="M95" s="83" t="s">
        <v>28</v>
      </c>
      <c r="N95" s="62"/>
      <c r="O95" s="64" t="s">
        <v>138</v>
      </c>
      <c r="P95" s="61" t="s">
        <v>389</v>
      </c>
      <c r="Q95" s="64" t="s">
        <v>157</v>
      </c>
      <c r="R95" s="64"/>
      <c r="S95" s="65"/>
      <c r="T95" s="66"/>
      <c r="U95" s="62"/>
      <c r="V95" s="61" t="e">
        <f>WEEKNUM([1]!Tabla1[[#This Row],[Fecha]])</f>
        <v>#REF!</v>
      </c>
      <c r="W95" s="62"/>
    </row>
    <row r="96" spans="1:23" ht="108.6">
      <c r="A96" s="67">
        <v>94</v>
      </c>
      <c r="B96" s="68">
        <v>45986</v>
      </c>
      <c r="C96" s="71" t="s">
        <v>23</v>
      </c>
      <c r="D96" s="69" t="s">
        <v>390</v>
      </c>
      <c r="E96" s="69" t="s">
        <v>391</v>
      </c>
      <c r="F96" s="69" t="s">
        <v>392</v>
      </c>
      <c r="G96" s="70"/>
      <c r="H96" s="71" t="s">
        <v>393</v>
      </c>
      <c r="I96" s="72">
        <v>20386303003</v>
      </c>
      <c r="J96" s="70"/>
      <c r="K96" s="71" t="s">
        <v>26</v>
      </c>
      <c r="L96" s="71" t="s">
        <v>388</v>
      </c>
      <c r="M96" s="89" t="s">
        <v>28</v>
      </c>
      <c r="N96" s="72"/>
      <c r="O96" s="73" t="s">
        <v>138</v>
      </c>
      <c r="P96" s="71" t="s">
        <v>394</v>
      </c>
      <c r="Q96" s="73" t="s">
        <v>157</v>
      </c>
      <c r="R96" s="73"/>
      <c r="S96" s="74"/>
      <c r="T96" s="75"/>
      <c r="U96" s="87">
        <v>45988</v>
      </c>
      <c r="V96" s="71" t="e">
        <f>WEEKNUM([1]!Tabla1[[#This Row],[Fecha]])</f>
        <v>#REF!</v>
      </c>
      <c r="W96" s="72"/>
    </row>
    <row r="97" spans="1:23" ht="139.5">
      <c r="A97" s="57">
        <v>95</v>
      </c>
      <c r="B97" s="58">
        <v>45987</v>
      </c>
      <c r="C97" s="17" t="s">
        <v>23</v>
      </c>
      <c r="D97" s="19" t="s">
        <v>395</v>
      </c>
      <c r="E97" s="19" t="s">
        <v>396</v>
      </c>
      <c r="F97" s="19">
        <v>972548355</v>
      </c>
      <c r="G97" s="47" t="s">
        <v>397</v>
      </c>
      <c r="H97" s="17" t="s">
        <v>176</v>
      </c>
      <c r="I97" s="34">
        <v>20608345770</v>
      </c>
      <c r="J97" s="20"/>
      <c r="K97" s="17" t="s">
        <v>177</v>
      </c>
      <c r="L97" s="17" t="s">
        <v>398</v>
      </c>
      <c r="M97" s="17" t="s">
        <v>179</v>
      </c>
      <c r="N97" s="34"/>
      <c r="O97" s="21"/>
      <c r="P97" s="17" t="s">
        <v>399</v>
      </c>
      <c r="Q97" s="21" t="s">
        <v>150</v>
      </c>
      <c r="R97" s="21"/>
      <c r="S97" s="40" t="s">
        <v>400</v>
      </c>
      <c r="T97" s="23"/>
      <c r="U97" s="43">
        <v>45988</v>
      </c>
      <c r="V97" s="17" t="e">
        <f>WEEKNUM([1]!Tabla1[[#This Row],[Fecha]])</f>
        <v>#REF!</v>
      </c>
      <c r="W97" s="34"/>
    </row>
    <row r="98" spans="1:23" ht="62.1">
      <c r="A98" s="67">
        <v>96</v>
      </c>
      <c r="B98" s="68">
        <v>45987</v>
      </c>
      <c r="C98" s="7" t="s">
        <v>23</v>
      </c>
      <c r="D98" s="69" t="s">
        <v>401</v>
      </c>
      <c r="E98" s="69" t="s">
        <v>402</v>
      </c>
      <c r="F98" s="69"/>
      <c r="G98" s="70"/>
      <c r="H98" s="71" t="s">
        <v>393</v>
      </c>
      <c r="I98" s="72">
        <v>20386303003</v>
      </c>
      <c r="J98" s="70"/>
      <c r="K98" s="71" t="s">
        <v>26</v>
      </c>
      <c r="L98" s="71" t="s">
        <v>388</v>
      </c>
      <c r="M98" s="89" t="s">
        <v>28</v>
      </c>
      <c r="N98" s="72"/>
      <c r="O98" s="73" t="s">
        <v>30</v>
      </c>
      <c r="P98" s="71" t="s">
        <v>403</v>
      </c>
      <c r="Q98" s="73" t="s">
        <v>157</v>
      </c>
      <c r="R98" s="73"/>
      <c r="S98" s="74"/>
      <c r="T98" s="75"/>
      <c r="U98" s="72"/>
      <c r="V98" s="71" t="e">
        <f>WEEKNUM([1]!Tabla1[[#This Row],[Fecha]])</f>
        <v>#REF!</v>
      </c>
      <c r="W98" s="72"/>
    </row>
    <row r="99" spans="1:23" ht="93">
      <c r="A99" s="57">
        <v>97</v>
      </c>
      <c r="B99" s="58">
        <v>45987</v>
      </c>
      <c r="C99" s="17" t="s">
        <v>23</v>
      </c>
      <c r="D99" s="59" t="s">
        <v>404</v>
      </c>
      <c r="E99" s="59" t="s">
        <v>159</v>
      </c>
      <c r="F99" s="59"/>
      <c r="G99" s="60" t="s">
        <v>405</v>
      </c>
      <c r="H99" s="61" t="s">
        <v>406</v>
      </c>
      <c r="I99" s="62"/>
      <c r="J99" s="63"/>
      <c r="K99" s="61" t="s">
        <v>26</v>
      </c>
      <c r="L99" s="61" t="s">
        <v>155</v>
      </c>
      <c r="M99" s="83" t="s">
        <v>28</v>
      </c>
      <c r="N99" s="62"/>
      <c r="O99" s="64" t="s">
        <v>138</v>
      </c>
      <c r="P99" s="61" t="s">
        <v>407</v>
      </c>
      <c r="Q99" s="64" t="s">
        <v>157</v>
      </c>
      <c r="R99" s="64"/>
      <c r="S99" s="65"/>
      <c r="T99" s="66"/>
      <c r="U99" s="62"/>
      <c r="V99" s="61" t="e">
        <f>WEEKNUM([1]!Tabla1[[#This Row],[Fecha]])</f>
        <v>#REF!</v>
      </c>
      <c r="W99" s="62"/>
    </row>
    <row r="100" spans="1:23" ht="108.6">
      <c r="A100" s="67">
        <v>98</v>
      </c>
      <c r="B100" s="68">
        <v>45987</v>
      </c>
      <c r="C100" s="7" t="s">
        <v>23</v>
      </c>
      <c r="D100" s="69" t="s">
        <v>408</v>
      </c>
      <c r="E100" s="69" t="s">
        <v>193</v>
      </c>
      <c r="F100" s="69">
        <v>2157000</v>
      </c>
      <c r="G100" s="78" t="s">
        <v>409</v>
      </c>
      <c r="H100" s="71" t="s">
        <v>410</v>
      </c>
      <c r="I100" s="72">
        <v>20136957253</v>
      </c>
      <c r="J100" s="70"/>
      <c r="K100" s="71" t="s">
        <v>26</v>
      </c>
      <c r="L100" s="71" t="s">
        <v>155</v>
      </c>
      <c r="M100" s="89" t="s">
        <v>28</v>
      </c>
      <c r="N100" s="72"/>
      <c r="O100" s="73" t="s">
        <v>138</v>
      </c>
      <c r="P100" s="71" t="s">
        <v>411</v>
      </c>
      <c r="Q100" s="73" t="s">
        <v>32</v>
      </c>
      <c r="R100" s="73"/>
      <c r="S100" s="74"/>
      <c r="T100" s="75"/>
      <c r="U100" s="72"/>
      <c r="V100" s="71" t="e">
        <f>WEEKNUM([1]!Tabla1[[#This Row],[Fecha]])</f>
        <v>#REF!</v>
      </c>
      <c r="W100" s="72"/>
    </row>
    <row r="101" spans="1:23" ht="46.5">
      <c r="A101" s="57">
        <v>99</v>
      </c>
      <c r="B101" s="58">
        <v>45987</v>
      </c>
      <c r="C101" s="61" t="s">
        <v>23</v>
      </c>
      <c r="D101" s="59" t="s">
        <v>412</v>
      </c>
      <c r="E101" s="59" t="s">
        <v>413</v>
      </c>
      <c r="F101" s="59"/>
      <c r="G101" s="60" t="s">
        <v>414</v>
      </c>
      <c r="H101" s="61" t="s">
        <v>383</v>
      </c>
      <c r="I101" s="62"/>
      <c r="J101" s="63"/>
      <c r="K101" s="61" t="s">
        <v>26</v>
      </c>
      <c r="L101" s="61" t="s">
        <v>27</v>
      </c>
      <c r="M101" s="83" t="s">
        <v>28</v>
      </c>
      <c r="N101" s="62"/>
      <c r="O101" s="64" t="s">
        <v>138</v>
      </c>
      <c r="P101" s="61" t="s">
        <v>415</v>
      </c>
      <c r="Q101" s="64" t="s">
        <v>157</v>
      </c>
      <c r="R101" s="64"/>
      <c r="S101" s="65"/>
      <c r="T101" s="66"/>
      <c r="U101" s="62"/>
      <c r="V101" s="61" t="e">
        <f>WEEKNUM([1]!Tabla1[[#This Row],[Fecha]])</f>
        <v>#REF!</v>
      </c>
      <c r="W101" s="62"/>
    </row>
    <row r="102" spans="1:23" ht="29.1">
      <c r="A102" s="92">
        <v>1</v>
      </c>
      <c r="B102" s="98">
        <v>45950</v>
      </c>
      <c r="C102" s="97" t="s">
        <v>258</v>
      </c>
      <c r="D102" s="96" t="s">
        <v>416</v>
      </c>
      <c r="E102" s="92" t="s">
        <v>301</v>
      </c>
      <c r="F102" t="s">
        <v>417</v>
      </c>
      <c r="G102" s="99"/>
      <c r="H102" s="92" t="s">
        <v>418</v>
      </c>
      <c r="I102" s="95" t="s">
        <v>419</v>
      </c>
      <c r="K102" s="92" t="s">
        <v>420</v>
      </c>
      <c r="L102" s="92" t="s">
        <v>421</v>
      </c>
      <c r="M102" s="92" t="s">
        <v>119</v>
      </c>
      <c r="N102" t="s">
        <v>29</v>
      </c>
      <c r="O102" t="s">
        <v>422</v>
      </c>
      <c r="P102" s="96" t="s">
        <v>423</v>
      </c>
      <c r="Q102" t="s">
        <v>236</v>
      </c>
      <c r="S102" t="s">
        <v>424</v>
      </c>
      <c r="T102" s="93">
        <v>4340</v>
      </c>
      <c r="U102" s="92"/>
      <c r="V102">
        <f>WEEKNUM([3]!CRM[[#This Row],[Fecha]])</f>
        <v>44</v>
      </c>
      <c r="W102" s="92">
        <v>2</v>
      </c>
    </row>
    <row r="103" spans="1:23">
      <c r="A103" s="92">
        <v>2</v>
      </c>
      <c r="B103" s="98">
        <v>45950</v>
      </c>
      <c r="C103" s="97" t="s">
        <v>258</v>
      </c>
      <c r="D103" s="96" t="s">
        <v>425</v>
      </c>
      <c r="E103" s="92"/>
      <c r="F103" s="93">
        <v>977508409</v>
      </c>
      <c r="G103" s="99"/>
      <c r="H103" s="92"/>
      <c r="I103" s="95"/>
      <c r="K103" s="92"/>
      <c r="L103" s="92"/>
      <c r="M103" s="92"/>
      <c r="N103" t="s">
        <v>29</v>
      </c>
      <c r="O103" t="s">
        <v>9</v>
      </c>
      <c r="P103" s="92" t="s">
        <v>426</v>
      </c>
      <c r="Q103" s="92" t="s">
        <v>157</v>
      </c>
      <c r="T103" s="93"/>
      <c r="U103" s="92"/>
      <c r="V103">
        <f>WEEKNUM([3]!CRM[[#This Row],[Fecha]])</f>
        <v>44</v>
      </c>
      <c r="W103" s="92"/>
    </row>
    <row r="104" spans="1:23">
      <c r="A104" s="92">
        <v>3</v>
      </c>
      <c r="B104" s="98">
        <v>45951</v>
      </c>
      <c r="C104" t="s">
        <v>427</v>
      </c>
      <c r="D104" s="96"/>
      <c r="E104" s="92" t="s">
        <v>292</v>
      </c>
      <c r="F104" s="93">
        <v>14750500</v>
      </c>
      <c r="G104" s="99"/>
      <c r="H104" s="92" t="s">
        <v>428</v>
      </c>
      <c r="I104" s="95"/>
      <c r="K104" s="92" t="s">
        <v>26</v>
      </c>
      <c r="L104" s="92" t="s">
        <v>27</v>
      </c>
      <c r="M104" s="92"/>
      <c r="O104" t="s">
        <v>30</v>
      </c>
      <c r="P104" s="96" t="s">
        <v>429</v>
      </c>
      <c r="Q104" s="92" t="s">
        <v>157</v>
      </c>
      <c r="T104" s="93"/>
      <c r="U104" s="98">
        <v>45981</v>
      </c>
      <c r="V104">
        <f>WEEKNUM([3]!CRM[[#This Row],[Fecha]])</f>
        <v>44</v>
      </c>
      <c r="W104" s="92"/>
    </row>
    <row r="105" spans="1:23">
      <c r="A105" s="92">
        <v>4</v>
      </c>
      <c r="B105" s="98">
        <v>45951</v>
      </c>
      <c r="C105" t="s">
        <v>258</v>
      </c>
      <c r="D105" s="96"/>
      <c r="E105" s="92"/>
      <c r="F105" s="99"/>
      <c r="G105" s="100" t="s">
        <v>430</v>
      </c>
      <c r="H105" s="92" t="s">
        <v>431</v>
      </c>
      <c r="I105" s="95"/>
      <c r="K105" s="92" t="s">
        <v>432</v>
      </c>
      <c r="L105" s="92" t="s">
        <v>433</v>
      </c>
      <c r="M105" s="92" t="s">
        <v>28</v>
      </c>
      <c r="O105" t="s">
        <v>30</v>
      </c>
      <c r="P105" s="96" t="s">
        <v>434</v>
      </c>
      <c r="Q105" s="92" t="s">
        <v>32</v>
      </c>
      <c r="T105" s="93"/>
      <c r="U105" s="92"/>
      <c r="V105">
        <f>WEEKNUM([3]!CRM[[#This Row],[Fecha]])</f>
        <v>44</v>
      </c>
      <c r="W105" s="92"/>
    </row>
    <row r="106" spans="1:23">
      <c r="A106" s="92">
        <v>5</v>
      </c>
      <c r="B106" s="98">
        <v>45951</v>
      </c>
      <c r="C106" t="s">
        <v>427</v>
      </c>
      <c r="D106" s="96"/>
      <c r="E106" s="92" t="s">
        <v>292</v>
      </c>
      <c r="F106" s="93">
        <v>7005100</v>
      </c>
      <c r="G106" s="100" t="s">
        <v>435</v>
      </c>
      <c r="H106" s="92" t="s">
        <v>436</v>
      </c>
      <c r="I106" s="95"/>
      <c r="J106" s="97"/>
      <c r="K106" s="92" t="s">
        <v>26</v>
      </c>
      <c r="L106" s="92" t="s">
        <v>437</v>
      </c>
      <c r="M106" s="92" t="s">
        <v>28</v>
      </c>
      <c r="O106" t="s">
        <v>30</v>
      </c>
      <c r="P106" s="96" t="s">
        <v>438</v>
      </c>
      <c r="Q106" s="92" t="s">
        <v>32</v>
      </c>
      <c r="T106" s="93"/>
      <c r="U106" s="92"/>
      <c r="V106">
        <f>WEEKNUM([3]!CRM[[#This Row],[Fecha]])</f>
        <v>44</v>
      </c>
      <c r="W106" s="92"/>
    </row>
    <row r="107" spans="1:23">
      <c r="A107" s="92">
        <v>6</v>
      </c>
      <c r="B107" s="98">
        <v>45951</v>
      </c>
      <c r="C107" t="s">
        <v>427</v>
      </c>
      <c r="D107" s="96"/>
      <c r="E107" s="92" t="s">
        <v>292</v>
      </c>
      <c r="F107" s="93">
        <v>2476430</v>
      </c>
      <c r="H107" s="92" t="s">
        <v>439</v>
      </c>
      <c r="I107" s="95"/>
      <c r="K107" s="92" t="s">
        <v>26</v>
      </c>
      <c r="L107" s="92" t="s">
        <v>437</v>
      </c>
      <c r="M107" s="92" t="s">
        <v>28</v>
      </c>
      <c r="O107" t="s">
        <v>30</v>
      </c>
      <c r="P107" s="92" t="s">
        <v>440</v>
      </c>
      <c r="Q107" s="92" t="s">
        <v>157</v>
      </c>
      <c r="T107" s="93"/>
      <c r="U107" s="92"/>
      <c r="V107">
        <f>WEEKNUM([3]!CRM[[#This Row],[Fecha]])</f>
        <v>44</v>
      </c>
      <c r="W107" s="92"/>
    </row>
    <row r="108" spans="1:23">
      <c r="A108" s="92">
        <v>7</v>
      </c>
      <c r="B108" s="98">
        <v>45951</v>
      </c>
      <c r="C108" t="s">
        <v>427</v>
      </c>
      <c r="D108" s="96" t="s">
        <v>441</v>
      </c>
      <c r="E108" s="92" t="s">
        <v>442</v>
      </c>
      <c r="F108" s="93" t="s">
        <v>443</v>
      </c>
      <c r="H108" s="92" t="s">
        <v>444</v>
      </c>
      <c r="I108" s="95"/>
      <c r="K108" s="92" t="s">
        <v>26</v>
      </c>
      <c r="L108" s="92" t="s">
        <v>445</v>
      </c>
      <c r="M108" s="92" t="s">
        <v>28</v>
      </c>
      <c r="O108" t="s">
        <v>30</v>
      </c>
      <c r="P108" s="96" t="s">
        <v>446</v>
      </c>
      <c r="Q108" s="92" t="s">
        <v>32</v>
      </c>
      <c r="T108" s="93"/>
      <c r="U108" s="92"/>
      <c r="V108">
        <f>WEEKNUM([3]!CRM[[#This Row],[Fecha]])</f>
        <v>44</v>
      </c>
      <c r="W108" s="92"/>
    </row>
    <row r="109" spans="1:23">
      <c r="A109" s="92">
        <v>8</v>
      </c>
      <c r="B109" s="98">
        <v>45951</v>
      </c>
      <c r="C109" t="s">
        <v>258</v>
      </c>
      <c r="D109" s="96" t="s">
        <v>447</v>
      </c>
      <c r="E109" s="92" t="s">
        <v>448</v>
      </c>
      <c r="F109" s="93">
        <v>3155000</v>
      </c>
      <c r="G109" s="100" t="s">
        <v>194</v>
      </c>
      <c r="H109" s="92" t="s">
        <v>449</v>
      </c>
      <c r="I109" s="95"/>
      <c r="K109" s="92" t="s">
        <v>26</v>
      </c>
      <c r="L109" s="92" t="s">
        <v>26</v>
      </c>
      <c r="M109" s="92" t="s">
        <v>28</v>
      </c>
      <c r="O109" t="s">
        <v>30</v>
      </c>
      <c r="P109" s="96" t="s">
        <v>450</v>
      </c>
      <c r="Q109" s="92" t="s">
        <v>32</v>
      </c>
      <c r="T109" s="93"/>
      <c r="U109" s="98"/>
      <c r="V109">
        <f>WEEKNUM([3]!CRM[[#This Row],[Fecha]])</f>
        <v>44</v>
      </c>
      <c r="W109" s="92"/>
    </row>
    <row r="110" spans="1:23">
      <c r="A110" s="92">
        <v>9</v>
      </c>
      <c r="B110" s="98">
        <v>45951</v>
      </c>
      <c r="C110" t="s">
        <v>427</v>
      </c>
      <c r="D110" s="96"/>
      <c r="E110" s="92"/>
      <c r="F110" s="93">
        <v>2056200</v>
      </c>
      <c r="G110" s="100" t="s">
        <v>451</v>
      </c>
      <c r="H110" s="92" t="s">
        <v>452</v>
      </c>
      <c r="I110" s="95"/>
      <c r="K110" s="92" t="s">
        <v>26</v>
      </c>
      <c r="L110" s="92" t="s">
        <v>26</v>
      </c>
      <c r="M110" s="92" t="s">
        <v>28</v>
      </c>
      <c r="O110" t="s">
        <v>30</v>
      </c>
      <c r="P110" s="96" t="s">
        <v>453</v>
      </c>
      <c r="Q110" s="92" t="s">
        <v>32</v>
      </c>
      <c r="T110" s="93"/>
      <c r="U110" s="98"/>
      <c r="V110">
        <f>WEEKNUM([3]!CRM[[#This Row],[Fecha]])</f>
        <v>44</v>
      </c>
      <c r="W110" s="92"/>
    </row>
    <row r="111" spans="1:23" ht="29.1">
      <c r="A111" s="92">
        <v>10</v>
      </c>
      <c r="B111" s="98">
        <v>45952</v>
      </c>
      <c r="C111" t="s">
        <v>258</v>
      </c>
      <c r="D111" s="96"/>
      <c r="E111" s="92"/>
      <c r="F111" s="93">
        <v>4265147</v>
      </c>
      <c r="G111" s="94" t="s">
        <v>454</v>
      </c>
      <c r="H111" s="92" t="s">
        <v>455</v>
      </c>
      <c r="I111" s="95"/>
      <c r="K111" s="92" t="s">
        <v>26</v>
      </c>
      <c r="L111" s="92" t="s">
        <v>26</v>
      </c>
      <c r="M111" s="92" t="s">
        <v>28</v>
      </c>
      <c r="O111" t="s">
        <v>30</v>
      </c>
      <c r="P111" s="96" t="s">
        <v>456</v>
      </c>
      <c r="Q111" s="92" t="s">
        <v>32</v>
      </c>
      <c r="T111" s="93"/>
      <c r="U111" s="98"/>
      <c r="V111">
        <f>WEEKNUM([3]!CRM[[#This Row],[Fecha]])</f>
        <v>44</v>
      </c>
      <c r="W111" s="92"/>
    </row>
    <row r="112" spans="1:23" ht="29.1">
      <c r="A112" s="92">
        <v>11</v>
      </c>
      <c r="B112" s="98">
        <v>45952</v>
      </c>
      <c r="C112" t="s">
        <v>258</v>
      </c>
      <c r="D112" s="96"/>
      <c r="E112" s="92"/>
      <c r="F112" s="93">
        <v>4335517</v>
      </c>
      <c r="G112" s="94" t="s">
        <v>457</v>
      </c>
      <c r="H112" s="92" t="s">
        <v>458</v>
      </c>
      <c r="I112" s="95"/>
      <c r="K112" s="92" t="s">
        <v>26</v>
      </c>
      <c r="L112" s="92" t="s">
        <v>26</v>
      </c>
      <c r="M112" s="92" t="s">
        <v>28</v>
      </c>
      <c r="O112" t="s">
        <v>30</v>
      </c>
      <c r="P112" s="96" t="s">
        <v>459</v>
      </c>
      <c r="Q112" s="92" t="s">
        <v>32</v>
      </c>
      <c r="T112" s="93"/>
      <c r="U112" s="92"/>
      <c r="V112">
        <f>WEEKNUM([3]!CRM[[#This Row],[Fecha]])</f>
        <v>44</v>
      </c>
      <c r="W112" s="92"/>
    </row>
    <row r="113" spans="1:23" ht="29.1">
      <c r="A113" s="92">
        <v>12</v>
      </c>
      <c r="B113" s="98">
        <v>45952</v>
      </c>
      <c r="C113" t="s">
        <v>258</v>
      </c>
      <c r="D113" s="96"/>
      <c r="E113" s="92"/>
      <c r="F113" s="93">
        <v>4261919</v>
      </c>
      <c r="G113" s="94" t="s">
        <v>460</v>
      </c>
      <c r="H113" s="92" t="s">
        <v>461</v>
      </c>
      <c r="I113" s="95"/>
      <c r="K113" s="92" t="s">
        <v>26</v>
      </c>
      <c r="L113" s="92" t="s">
        <v>26</v>
      </c>
      <c r="M113" s="92" t="s">
        <v>28</v>
      </c>
      <c r="O113" t="s">
        <v>30</v>
      </c>
      <c r="P113" s="96" t="s">
        <v>459</v>
      </c>
      <c r="Q113" s="92" t="s">
        <v>32</v>
      </c>
      <c r="T113" s="93"/>
      <c r="U113" s="101"/>
      <c r="V113">
        <f>WEEKNUM([3]!CRM[[#This Row],[Fecha]])</f>
        <v>44</v>
      </c>
      <c r="W113" s="92"/>
    </row>
    <row r="114" spans="1:23" ht="43.5">
      <c r="A114" s="92">
        <v>13</v>
      </c>
      <c r="B114" s="98">
        <v>45952</v>
      </c>
      <c r="C114" t="s">
        <v>258</v>
      </c>
      <c r="D114" s="96"/>
      <c r="E114" s="92"/>
      <c r="F114" s="93">
        <v>3328310</v>
      </c>
      <c r="G114" s="94" t="s">
        <v>462</v>
      </c>
      <c r="H114" s="92" t="s">
        <v>463</v>
      </c>
      <c r="I114" s="95"/>
      <c r="K114" s="92" t="s">
        <v>26</v>
      </c>
      <c r="L114" s="92" t="s">
        <v>26</v>
      </c>
      <c r="M114" s="92" t="s">
        <v>28</v>
      </c>
      <c r="O114" t="s">
        <v>30</v>
      </c>
      <c r="P114" s="96" t="s">
        <v>464</v>
      </c>
      <c r="Q114" s="92" t="s">
        <v>32</v>
      </c>
      <c r="T114" s="93"/>
      <c r="U114" s="102"/>
      <c r="V114">
        <f>WEEKNUM([3]!CRM[[#This Row],[Fecha]])</f>
        <v>44</v>
      </c>
      <c r="W114" s="92"/>
    </row>
    <row r="115" spans="1:23" ht="29.1">
      <c r="A115" s="92">
        <v>14</v>
      </c>
      <c r="B115" s="98">
        <v>45952</v>
      </c>
      <c r="C115" t="s">
        <v>258</v>
      </c>
      <c r="D115" s="96"/>
      <c r="E115" s="92"/>
      <c r="F115" s="93">
        <v>4673047</v>
      </c>
      <c r="G115" s="94" t="s">
        <v>465</v>
      </c>
      <c r="H115" s="92" t="s">
        <v>466</v>
      </c>
      <c r="I115" s="95"/>
      <c r="K115" s="92" t="s">
        <v>26</v>
      </c>
      <c r="L115" s="92" t="s">
        <v>26</v>
      </c>
      <c r="M115" s="92" t="s">
        <v>28</v>
      </c>
      <c r="O115" t="s">
        <v>30</v>
      </c>
      <c r="P115" s="96" t="s">
        <v>467</v>
      </c>
      <c r="Q115" s="92" t="s">
        <v>32</v>
      </c>
      <c r="T115" s="93"/>
      <c r="U115" s="102"/>
      <c r="V115">
        <f>WEEKNUM([3]!CRM[[#This Row],[Fecha]])</f>
        <v>44</v>
      </c>
      <c r="W115" s="92"/>
    </row>
    <row r="116" spans="1:23" ht="29.1">
      <c r="A116" s="92">
        <v>15</v>
      </c>
      <c r="B116" s="98">
        <v>45952</v>
      </c>
      <c r="C116" t="s">
        <v>258</v>
      </c>
      <c r="D116" s="96"/>
      <c r="E116" s="92"/>
      <c r="F116" s="93">
        <v>994894905</v>
      </c>
      <c r="G116" s="94" t="s">
        <v>468</v>
      </c>
      <c r="H116" s="92" t="s">
        <v>469</v>
      </c>
      <c r="I116" s="95"/>
      <c r="K116" s="92" t="s">
        <v>26</v>
      </c>
      <c r="L116" s="92" t="s">
        <v>470</v>
      </c>
      <c r="M116" s="92" t="s">
        <v>28</v>
      </c>
      <c r="O116" t="s">
        <v>30</v>
      </c>
      <c r="P116" s="96" t="s">
        <v>471</v>
      </c>
      <c r="Q116" s="92" t="s">
        <v>32</v>
      </c>
      <c r="T116" s="93"/>
      <c r="U116" s="102"/>
      <c r="V116">
        <f>WEEKNUM([3]!CRM[[#This Row],[Fecha]])</f>
        <v>44</v>
      </c>
      <c r="W116" s="92"/>
    </row>
    <row r="117" spans="1:23" ht="43.5">
      <c r="A117" s="92">
        <v>16</v>
      </c>
      <c r="B117" s="98">
        <v>45952</v>
      </c>
      <c r="C117" t="s">
        <v>258</v>
      </c>
      <c r="D117" s="103"/>
      <c r="E117" s="92"/>
      <c r="F117" s="93">
        <v>987934854</v>
      </c>
      <c r="G117" s="94" t="s">
        <v>472</v>
      </c>
      <c r="H117" s="92" t="s">
        <v>473</v>
      </c>
      <c r="I117" s="95"/>
      <c r="K117" s="92" t="s">
        <v>26</v>
      </c>
      <c r="L117" s="92" t="s">
        <v>470</v>
      </c>
      <c r="M117" s="92" t="s">
        <v>28</v>
      </c>
      <c r="O117" t="s">
        <v>30</v>
      </c>
      <c r="P117" s="97" t="s">
        <v>474</v>
      </c>
      <c r="Q117" s="92" t="s">
        <v>32</v>
      </c>
      <c r="T117" s="93"/>
      <c r="V117">
        <f>WEEKNUM([3]!CRM[[#This Row],[Fecha]])</f>
        <v>44</v>
      </c>
      <c r="W117" s="92"/>
    </row>
    <row r="118" spans="1:23" ht="43.5">
      <c r="A118" s="92">
        <v>17</v>
      </c>
      <c r="B118" s="98">
        <v>45952</v>
      </c>
      <c r="C118" t="s">
        <v>258</v>
      </c>
      <c r="D118" s="92" t="s">
        <v>475</v>
      </c>
      <c r="E118" s="92" t="s">
        <v>301</v>
      </c>
      <c r="F118" s="93">
        <v>988923787</v>
      </c>
      <c r="G118" s="94" t="s">
        <v>476</v>
      </c>
      <c r="H118" s="92" t="s">
        <v>477</v>
      </c>
      <c r="I118" s="104">
        <v>10429272721</v>
      </c>
      <c r="K118" s="92" t="s">
        <v>26</v>
      </c>
      <c r="L118" s="96" t="s">
        <v>478</v>
      </c>
      <c r="M118" s="96" t="s">
        <v>119</v>
      </c>
      <c r="N118" t="s">
        <v>29</v>
      </c>
      <c r="O118" t="s">
        <v>9</v>
      </c>
      <c r="P118" s="97" t="s">
        <v>479</v>
      </c>
      <c r="Q118" t="s">
        <v>236</v>
      </c>
      <c r="S118" t="s">
        <v>480</v>
      </c>
      <c r="T118" s="93">
        <v>4340</v>
      </c>
      <c r="V118">
        <f>WEEKNUM([3]!CRM[[#This Row],[Fecha]])</f>
        <v>44</v>
      </c>
      <c r="W118" s="92"/>
    </row>
    <row r="119" spans="1:23" ht="29.1">
      <c r="A119" s="92">
        <v>18</v>
      </c>
      <c r="B119" s="98">
        <v>45952</v>
      </c>
      <c r="C119" t="s">
        <v>258</v>
      </c>
      <c r="D119" s="92" t="s">
        <v>481</v>
      </c>
      <c r="E119" t="s">
        <v>204</v>
      </c>
      <c r="F119" s="93">
        <v>984755140</v>
      </c>
      <c r="G119" s="94" t="s">
        <v>482</v>
      </c>
      <c r="H119" s="92" t="s">
        <v>483</v>
      </c>
      <c r="I119" s="104">
        <v>10720799494</v>
      </c>
      <c r="K119" s="96" t="s">
        <v>484</v>
      </c>
      <c r="L119" s="92"/>
      <c r="M119" s="92" t="s">
        <v>28</v>
      </c>
      <c r="N119" t="s">
        <v>29</v>
      </c>
      <c r="O119" t="s">
        <v>9</v>
      </c>
      <c r="P119" s="97" t="s">
        <v>485</v>
      </c>
      <c r="Q119" t="s">
        <v>236</v>
      </c>
      <c r="S119" t="s">
        <v>486</v>
      </c>
      <c r="T119" s="93">
        <v>4340</v>
      </c>
      <c r="V119">
        <f>WEEKNUM([3]!CRM[[#This Row],[Fecha]])</f>
        <v>44</v>
      </c>
      <c r="W119" s="92"/>
    </row>
    <row r="120" spans="1:23" ht="29.1">
      <c r="A120" s="92">
        <v>19</v>
      </c>
      <c r="B120" s="98">
        <v>45952</v>
      </c>
      <c r="C120" t="s">
        <v>258</v>
      </c>
      <c r="D120" t="s">
        <v>487</v>
      </c>
      <c r="E120" s="92" t="s">
        <v>301</v>
      </c>
      <c r="F120" s="93">
        <v>907616141</v>
      </c>
      <c r="G120" s="105"/>
      <c r="H120" s="92" t="s">
        <v>488</v>
      </c>
      <c r="I120" s="95" t="s">
        <v>489</v>
      </c>
      <c r="K120" s="92" t="s">
        <v>26</v>
      </c>
      <c r="L120" s="92" t="s">
        <v>490</v>
      </c>
      <c r="M120" s="96" t="s">
        <v>119</v>
      </c>
      <c r="N120" t="s">
        <v>29</v>
      </c>
      <c r="O120" t="s">
        <v>9</v>
      </c>
      <c r="P120" s="97" t="s">
        <v>491</v>
      </c>
      <c r="Q120" t="s">
        <v>236</v>
      </c>
      <c r="S120" t="s">
        <v>492</v>
      </c>
      <c r="T120" s="93">
        <v>4340</v>
      </c>
      <c r="V120">
        <f>WEEKNUM([3]!CRM[[#This Row],[Fecha]])</f>
        <v>44</v>
      </c>
      <c r="W120" s="92"/>
    </row>
    <row r="121" spans="1:23" ht="43.5">
      <c r="A121" s="92">
        <v>20</v>
      </c>
      <c r="B121" s="98">
        <v>45952</v>
      </c>
      <c r="C121" t="s">
        <v>258</v>
      </c>
      <c r="D121" s="96" t="s">
        <v>493</v>
      </c>
      <c r="E121" s="92" t="s">
        <v>204</v>
      </c>
      <c r="F121" s="93">
        <v>927100074</v>
      </c>
      <c r="G121" s="94" t="s">
        <v>494</v>
      </c>
      <c r="H121" s="92" t="s">
        <v>495</v>
      </c>
      <c r="I121" s="104">
        <v>20609379821</v>
      </c>
      <c r="K121" s="92" t="s">
        <v>43</v>
      </c>
      <c r="L121" s="92"/>
      <c r="M121" s="92" t="s">
        <v>496</v>
      </c>
      <c r="N121" t="s">
        <v>29</v>
      </c>
      <c r="O121" t="s">
        <v>9</v>
      </c>
      <c r="P121" s="97" t="s">
        <v>497</v>
      </c>
      <c r="Q121" t="s">
        <v>236</v>
      </c>
      <c r="S121" t="s">
        <v>498</v>
      </c>
      <c r="T121" s="93">
        <v>6639</v>
      </c>
      <c r="V121">
        <f>WEEKNUM([3]!CRM[[#This Row],[Fecha]])</f>
        <v>44</v>
      </c>
      <c r="W121" s="92"/>
    </row>
    <row r="122" spans="1:23" ht="43.5">
      <c r="A122" s="92">
        <v>21</v>
      </c>
      <c r="B122" s="98">
        <v>45953</v>
      </c>
      <c r="C122" t="s">
        <v>258</v>
      </c>
      <c r="D122" t="s">
        <v>499</v>
      </c>
      <c r="E122" s="92" t="s">
        <v>204</v>
      </c>
      <c r="F122" s="93">
        <v>950308250</v>
      </c>
      <c r="G122" s="94" t="s">
        <v>500</v>
      </c>
      <c r="H122" s="92" t="s">
        <v>501</v>
      </c>
      <c r="I122" s="104">
        <v>20614800659</v>
      </c>
      <c r="K122" s="92" t="s">
        <v>43</v>
      </c>
      <c r="L122" s="92"/>
      <c r="M122" s="96" t="s">
        <v>119</v>
      </c>
      <c r="N122" t="s">
        <v>29</v>
      </c>
      <c r="O122" t="s">
        <v>9</v>
      </c>
      <c r="P122" s="97" t="s">
        <v>502</v>
      </c>
      <c r="Q122" t="s">
        <v>236</v>
      </c>
      <c r="S122" t="s">
        <v>503</v>
      </c>
      <c r="T122" s="93">
        <v>4340</v>
      </c>
      <c r="V122">
        <f>WEEKNUM([3]!CRM[[#This Row],[Fecha]])</f>
        <v>44</v>
      </c>
      <c r="W122" s="92"/>
    </row>
    <row r="123" spans="1:23" ht="43.5">
      <c r="A123" s="92">
        <v>22</v>
      </c>
      <c r="B123" s="98">
        <v>45953</v>
      </c>
      <c r="C123" t="s">
        <v>258</v>
      </c>
      <c r="D123" t="s">
        <v>504</v>
      </c>
      <c r="E123" s="92" t="s">
        <v>204</v>
      </c>
      <c r="F123" s="93">
        <v>905824331</v>
      </c>
      <c r="G123" s="94" t="s">
        <v>505</v>
      </c>
      <c r="H123" s="92" t="s">
        <v>506</v>
      </c>
      <c r="I123" s="95" t="s">
        <v>507</v>
      </c>
      <c r="K123" s="92" t="s">
        <v>43</v>
      </c>
      <c r="L123" s="92"/>
      <c r="M123" s="96" t="s">
        <v>119</v>
      </c>
      <c r="N123" t="s">
        <v>29</v>
      </c>
      <c r="O123" t="s">
        <v>9</v>
      </c>
      <c r="P123" s="97" t="s">
        <v>508</v>
      </c>
      <c r="Q123" t="s">
        <v>236</v>
      </c>
      <c r="S123" t="s">
        <v>509</v>
      </c>
      <c r="T123" s="93">
        <v>6949</v>
      </c>
      <c r="V123">
        <f>WEEKNUM([3]!CRM[[#This Row],[Fecha]])</f>
        <v>44</v>
      </c>
      <c r="W123" s="92"/>
    </row>
    <row r="124" spans="1:23" ht="43.5">
      <c r="A124" s="92">
        <v>23</v>
      </c>
      <c r="B124" s="98">
        <v>45953</v>
      </c>
      <c r="C124" s="97" t="s">
        <v>323</v>
      </c>
      <c r="D124" s="103" t="s">
        <v>324</v>
      </c>
      <c r="E124" s="92" t="s">
        <v>204</v>
      </c>
      <c r="F124" s="93">
        <v>949719738</v>
      </c>
      <c r="G124" s="94" t="s">
        <v>325</v>
      </c>
      <c r="H124" s="92" t="s">
        <v>326</v>
      </c>
      <c r="I124" s="93">
        <v>20601646367</v>
      </c>
      <c r="K124" s="105" t="s">
        <v>70</v>
      </c>
      <c r="L124" s="105"/>
      <c r="M124" s="92" t="s">
        <v>28</v>
      </c>
      <c r="N124" t="s">
        <v>29</v>
      </c>
      <c r="O124" t="s">
        <v>9</v>
      </c>
      <c r="P124" s="106" t="s">
        <v>510</v>
      </c>
      <c r="Q124" t="s">
        <v>236</v>
      </c>
      <c r="S124" t="s">
        <v>511</v>
      </c>
      <c r="T124" s="93">
        <v>6949</v>
      </c>
      <c r="V124">
        <f>WEEKNUM([3]!CRM[[#This Row],[Fecha]])</f>
        <v>44</v>
      </c>
      <c r="W124" s="105"/>
    </row>
    <row r="125" spans="1:23" ht="43.5">
      <c r="A125" s="92">
        <v>24</v>
      </c>
      <c r="B125" s="98">
        <v>45954</v>
      </c>
      <c r="C125" s="97" t="s">
        <v>258</v>
      </c>
      <c r="D125" s="96" t="s">
        <v>416</v>
      </c>
      <c r="E125" s="92" t="s">
        <v>301</v>
      </c>
      <c r="F125" t="s">
        <v>417</v>
      </c>
      <c r="G125" s="99"/>
      <c r="H125" t="s">
        <v>418</v>
      </c>
      <c r="I125" s="95" t="s">
        <v>419</v>
      </c>
      <c r="K125" s="92" t="s">
        <v>420</v>
      </c>
      <c r="L125" s="92" t="s">
        <v>421</v>
      </c>
      <c r="M125" s="92" t="s">
        <v>119</v>
      </c>
      <c r="N125" t="s">
        <v>29</v>
      </c>
      <c r="O125" t="s">
        <v>422</v>
      </c>
      <c r="P125" s="97" t="s">
        <v>512</v>
      </c>
      <c r="Q125" s="92" t="s">
        <v>236</v>
      </c>
      <c r="T125" s="93"/>
      <c r="U125" s="92"/>
      <c r="V125">
        <f>WEEKNUM([3]!CRM[[#This Row],[Fecha]])</f>
        <v>44</v>
      </c>
      <c r="W125" s="92">
        <v>2</v>
      </c>
    </row>
    <row r="126" spans="1:23">
      <c r="A126">
        <v>25</v>
      </c>
      <c r="B126" s="98">
        <v>45954</v>
      </c>
      <c r="C126" s="97" t="s">
        <v>258</v>
      </c>
      <c r="D126" s="96" t="s">
        <v>425</v>
      </c>
      <c r="E126" s="92"/>
      <c r="F126" s="93">
        <v>977508409</v>
      </c>
      <c r="G126" s="99"/>
      <c r="H126" s="92"/>
      <c r="I126" s="95"/>
      <c r="K126" s="92"/>
      <c r="L126" s="92"/>
      <c r="M126" s="92"/>
      <c r="N126" t="s">
        <v>29</v>
      </c>
      <c r="O126" t="s">
        <v>9</v>
      </c>
      <c r="P126" t="s">
        <v>513</v>
      </c>
      <c r="Q126" s="92" t="s">
        <v>157</v>
      </c>
      <c r="T126" s="93"/>
      <c r="U126" s="92"/>
      <c r="V126">
        <f>WEEKNUM([3]!CRM[[#This Row],[Fecha]])</f>
        <v>44</v>
      </c>
      <c r="W126" s="92"/>
    </row>
    <row r="127" spans="1:23">
      <c r="A127">
        <v>26</v>
      </c>
      <c r="B127" s="98">
        <v>45954</v>
      </c>
      <c r="C127" t="s">
        <v>258</v>
      </c>
      <c r="D127" s="96"/>
      <c r="E127" s="92"/>
      <c r="F127" s="93">
        <v>3328310</v>
      </c>
      <c r="G127" s="94" t="s">
        <v>462</v>
      </c>
      <c r="H127" s="92" t="s">
        <v>463</v>
      </c>
      <c r="I127" s="95"/>
      <c r="K127" s="92" t="s">
        <v>26</v>
      </c>
      <c r="L127" s="92" t="s">
        <v>26</v>
      </c>
      <c r="M127" s="92" t="s">
        <v>28</v>
      </c>
      <c r="O127" t="s">
        <v>30</v>
      </c>
      <c r="P127" s="97" t="s">
        <v>514</v>
      </c>
      <c r="Q127" s="92" t="s">
        <v>32</v>
      </c>
      <c r="T127" s="93"/>
      <c r="U127" s="102"/>
      <c r="V127">
        <f>WEEKNUM([3]!CRM[[#This Row],[Fecha]])</f>
        <v>44</v>
      </c>
      <c r="W127" s="92"/>
    </row>
    <row r="128" spans="1:23">
      <c r="A128">
        <v>27</v>
      </c>
      <c r="B128" s="98">
        <v>45954</v>
      </c>
      <c r="C128" t="s">
        <v>258</v>
      </c>
      <c r="D128" s="96"/>
      <c r="E128" s="92"/>
      <c r="F128" s="93">
        <v>5307801</v>
      </c>
      <c r="G128" s="100" t="s">
        <v>430</v>
      </c>
      <c r="H128" s="92" t="s">
        <v>431</v>
      </c>
      <c r="I128" s="95"/>
      <c r="K128" s="92" t="s">
        <v>432</v>
      </c>
      <c r="L128" s="92" t="s">
        <v>433</v>
      </c>
      <c r="M128" s="92" t="s">
        <v>28</v>
      </c>
      <c r="O128" t="s">
        <v>30</v>
      </c>
      <c r="P128" s="97" t="s">
        <v>515</v>
      </c>
      <c r="Q128" s="92" t="s">
        <v>32</v>
      </c>
      <c r="T128" s="93"/>
      <c r="U128" s="92"/>
      <c r="V128">
        <f>WEEKNUM([3]!CRM[[#This Row],[Fecha]])</f>
        <v>44</v>
      </c>
      <c r="W128" s="92"/>
    </row>
    <row r="129" spans="1:23">
      <c r="A129">
        <v>28</v>
      </c>
      <c r="B129" s="98">
        <v>45954</v>
      </c>
      <c r="C129" t="s">
        <v>427</v>
      </c>
      <c r="D129" s="96"/>
      <c r="E129" s="92" t="s">
        <v>292</v>
      </c>
      <c r="F129" s="93">
        <v>7005100</v>
      </c>
      <c r="G129" s="100" t="s">
        <v>435</v>
      </c>
      <c r="H129" s="92" t="s">
        <v>436</v>
      </c>
      <c r="I129" s="95"/>
      <c r="J129" s="97"/>
      <c r="K129" s="92" t="s">
        <v>26</v>
      </c>
      <c r="L129" s="92" t="s">
        <v>437</v>
      </c>
      <c r="M129" s="92" t="s">
        <v>28</v>
      </c>
      <c r="O129" t="s">
        <v>30</v>
      </c>
      <c r="P129" s="97" t="s">
        <v>516</v>
      </c>
      <c r="Q129" s="92" t="s">
        <v>32</v>
      </c>
      <c r="T129" s="93"/>
      <c r="U129" s="92"/>
      <c r="V129">
        <f>WEEKNUM([3]!CRM[[#This Row],[Fecha]])</f>
        <v>44</v>
      </c>
      <c r="W129" s="92"/>
    </row>
    <row r="130" spans="1:23">
      <c r="A130">
        <v>29</v>
      </c>
      <c r="B130" s="98">
        <v>45954</v>
      </c>
      <c r="C130" t="s">
        <v>427</v>
      </c>
      <c r="D130" s="96"/>
      <c r="E130" s="92" t="s">
        <v>292</v>
      </c>
      <c r="F130" s="93">
        <v>2476430</v>
      </c>
      <c r="H130" s="92" t="s">
        <v>439</v>
      </c>
      <c r="I130" s="95"/>
      <c r="K130" s="92" t="s">
        <v>26</v>
      </c>
      <c r="L130" s="92" t="s">
        <v>437</v>
      </c>
      <c r="M130" s="92" t="s">
        <v>28</v>
      </c>
      <c r="O130" t="s">
        <v>30</v>
      </c>
      <c r="P130" t="s">
        <v>517</v>
      </c>
      <c r="Q130" s="92" t="s">
        <v>157</v>
      </c>
      <c r="T130" s="93"/>
      <c r="U130" s="92"/>
      <c r="V130">
        <f>WEEKNUM([3]!CRM[[#This Row],[Fecha]])</f>
        <v>44</v>
      </c>
      <c r="W130" s="92"/>
    </row>
    <row r="131" spans="1:23">
      <c r="A131">
        <v>30</v>
      </c>
      <c r="B131" s="98">
        <v>45954</v>
      </c>
      <c r="C131" t="s">
        <v>427</v>
      </c>
      <c r="D131" s="96" t="s">
        <v>441</v>
      </c>
      <c r="E131" s="92" t="s">
        <v>442</v>
      </c>
      <c r="F131" s="93" t="s">
        <v>443</v>
      </c>
      <c r="H131" s="92" t="s">
        <v>444</v>
      </c>
      <c r="I131" s="95"/>
      <c r="K131" s="92" t="s">
        <v>26</v>
      </c>
      <c r="L131" s="92" t="s">
        <v>445</v>
      </c>
      <c r="M131" s="92" t="s">
        <v>28</v>
      </c>
      <c r="O131" t="s">
        <v>30</v>
      </c>
      <c r="P131" s="97" t="s">
        <v>518</v>
      </c>
      <c r="Q131" s="92" t="s">
        <v>32</v>
      </c>
      <c r="T131" s="93"/>
      <c r="U131" s="92"/>
      <c r="V131">
        <f>WEEKNUM([3]!CRM[[#This Row],[Fecha]])</f>
        <v>44</v>
      </c>
      <c r="W131" s="92"/>
    </row>
    <row r="132" spans="1:23" ht="29.1">
      <c r="A132">
        <v>31</v>
      </c>
      <c r="B132" s="98">
        <v>45954</v>
      </c>
      <c r="C132" t="s">
        <v>258</v>
      </c>
      <c r="D132" s="96" t="s">
        <v>447</v>
      </c>
      <c r="E132" s="92" t="s">
        <v>448</v>
      </c>
      <c r="F132" s="93">
        <v>3155000</v>
      </c>
      <c r="G132" s="100" t="s">
        <v>194</v>
      </c>
      <c r="H132" s="92" t="s">
        <v>449</v>
      </c>
      <c r="I132" s="95"/>
      <c r="K132" s="92" t="s">
        <v>26</v>
      </c>
      <c r="L132" s="92" t="s">
        <v>26</v>
      </c>
      <c r="M132" s="92" t="s">
        <v>28</v>
      </c>
      <c r="O132" t="s">
        <v>30</v>
      </c>
      <c r="P132" s="97" t="s">
        <v>519</v>
      </c>
      <c r="Q132" s="92" t="s">
        <v>32</v>
      </c>
      <c r="T132" s="93"/>
      <c r="U132" s="98"/>
      <c r="V132">
        <f>WEEKNUM([3]!CRM[[#This Row],[Fecha]])</f>
        <v>44</v>
      </c>
      <c r="W132" s="92"/>
    </row>
    <row r="133" spans="1:23" ht="29.1">
      <c r="A133">
        <v>32</v>
      </c>
      <c r="B133" s="98">
        <v>45954</v>
      </c>
      <c r="C133" t="s">
        <v>427</v>
      </c>
      <c r="D133" s="96"/>
      <c r="E133" s="92"/>
      <c r="F133" s="93">
        <v>2056200</v>
      </c>
      <c r="G133" s="100" t="s">
        <v>451</v>
      </c>
      <c r="H133" s="92" t="s">
        <v>452</v>
      </c>
      <c r="I133" s="95"/>
      <c r="K133" s="92" t="s">
        <v>26</v>
      </c>
      <c r="L133" s="92" t="s">
        <v>26</v>
      </c>
      <c r="M133" s="92" t="s">
        <v>28</v>
      </c>
      <c r="O133" t="s">
        <v>30</v>
      </c>
      <c r="P133" s="97" t="s">
        <v>520</v>
      </c>
      <c r="Q133" s="92" t="s">
        <v>32</v>
      </c>
      <c r="T133" s="93"/>
      <c r="U133" s="98"/>
      <c r="V133">
        <f>WEEKNUM([3]!CRM[[#This Row],[Fecha]])</f>
        <v>44</v>
      </c>
      <c r="W133" s="92"/>
    </row>
    <row r="134" spans="1:23">
      <c r="A134">
        <v>33</v>
      </c>
      <c r="B134" s="98">
        <v>45954</v>
      </c>
      <c r="C134" t="s">
        <v>258</v>
      </c>
      <c r="D134" s="96"/>
      <c r="E134" s="92"/>
      <c r="F134" s="93">
        <v>4265147</v>
      </c>
      <c r="G134" s="94" t="s">
        <v>454</v>
      </c>
      <c r="H134" s="92" t="s">
        <v>455</v>
      </c>
      <c r="I134" s="95"/>
      <c r="K134" s="92" t="s">
        <v>26</v>
      </c>
      <c r="L134" s="92" t="s">
        <v>26</v>
      </c>
      <c r="M134" s="92" t="s">
        <v>28</v>
      </c>
      <c r="O134" t="s">
        <v>30</v>
      </c>
      <c r="P134" s="97" t="s">
        <v>521</v>
      </c>
      <c r="Q134" s="92" t="s">
        <v>32</v>
      </c>
      <c r="T134" s="93"/>
      <c r="U134" s="98"/>
      <c r="V134">
        <f>WEEKNUM([3]!CRM[[#This Row],[Fecha]])</f>
        <v>44</v>
      </c>
      <c r="W134" s="92"/>
    </row>
    <row r="135" spans="1:23">
      <c r="A135">
        <v>34</v>
      </c>
      <c r="B135" s="98">
        <v>45954</v>
      </c>
      <c r="C135" t="s">
        <v>258</v>
      </c>
      <c r="D135" s="96"/>
      <c r="E135" s="92"/>
      <c r="F135" s="93">
        <v>4335517</v>
      </c>
      <c r="G135" s="94" t="s">
        <v>457</v>
      </c>
      <c r="H135" s="92" t="s">
        <v>458</v>
      </c>
      <c r="I135" s="95"/>
      <c r="K135" s="92" t="s">
        <v>26</v>
      </c>
      <c r="L135" s="92" t="s">
        <v>26</v>
      </c>
      <c r="M135" s="92" t="s">
        <v>28</v>
      </c>
      <c r="O135" t="s">
        <v>30</v>
      </c>
      <c r="P135" s="97" t="s">
        <v>522</v>
      </c>
      <c r="Q135" s="92" t="s">
        <v>32</v>
      </c>
      <c r="T135" s="93"/>
      <c r="U135" s="92"/>
      <c r="V135">
        <f>WEEKNUM([3]!CRM[[#This Row],[Fecha]])</f>
        <v>44</v>
      </c>
      <c r="W135" s="92"/>
    </row>
    <row r="136" spans="1:23">
      <c r="A136">
        <v>35</v>
      </c>
      <c r="B136" s="98">
        <v>45954</v>
      </c>
      <c r="C136" t="s">
        <v>258</v>
      </c>
      <c r="D136" s="96"/>
      <c r="E136" s="92"/>
      <c r="F136" s="93">
        <v>4261919</v>
      </c>
      <c r="G136" s="94" t="s">
        <v>460</v>
      </c>
      <c r="H136" s="92" t="s">
        <v>461</v>
      </c>
      <c r="I136" s="95"/>
      <c r="K136" s="92" t="s">
        <v>26</v>
      </c>
      <c r="L136" s="92" t="s">
        <v>26</v>
      </c>
      <c r="M136" s="92" t="s">
        <v>28</v>
      </c>
      <c r="O136" t="s">
        <v>30</v>
      </c>
      <c r="P136" s="97" t="s">
        <v>522</v>
      </c>
      <c r="Q136" s="92" t="s">
        <v>32</v>
      </c>
      <c r="T136" s="93"/>
      <c r="U136" s="101"/>
      <c r="V136">
        <f>WEEKNUM([3]!CRM[[#This Row],[Fecha]])</f>
        <v>44</v>
      </c>
      <c r="W136" s="92"/>
    </row>
    <row r="137" spans="1:23" ht="29.1">
      <c r="A137">
        <v>36</v>
      </c>
      <c r="B137" s="98">
        <v>45954</v>
      </c>
      <c r="C137" t="s">
        <v>258</v>
      </c>
      <c r="D137" s="96"/>
      <c r="E137" s="92"/>
      <c r="F137" s="93">
        <v>3328310</v>
      </c>
      <c r="G137" s="94" t="s">
        <v>462</v>
      </c>
      <c r="H137" s="92" t="s">
        <v>463</v>
      </c>
      <c r="I137" s="95"/>
      <c r="K137" s="92" t="s">
        <v>26</v>
      </c>
      <c r="L137" s="92" t="s">
        <v>26</v>
      </c>
      <c r="M137" s="92" t="s">
        <v>28</v>
      </c>
      <c r="O137" t="s">
        <v>30</v>
      </c>
      <c r="P137" s="97" t="s">
        <v>523</v>
      </c>
      <c r="Q137" s="92" t="s">
        <v>32</v>
      </c>
      <c r="T137" s="93"/>
      <c r="U137" s="102"/>
      <c r="V137">
        <f>WEEKNUM([3]!CRM[[#This Row],[Fecha]])</f>
        <v>44</v>
      </c>
      <c r="W137" s="92"/>
    </row>
    <row r="138" spans="1:23">
      <c r="A138">
        <v>37</v>
      </c>
      <c r="B138" s="98">
        <v>45954</v>
      </c>
      <c r="C138" t="s">
        <v>258</v>
      </c>
      <c r="D138" s="96"/>
      <c r="E138" s="92"/>
      <c r="F138" s="93">
        <v>4673047</v>
      </c>
      <c r="G138" s="94" t="s">
        <v>465</v>
      </c>
      <c r="H138" s="92" t="s">
        <v>466</v>
      </c>
      <c r="I138" s="95"/>
      <c r="K138" s="92" t="s">
        <v>26</v>
      </c>
      <c r="L138" s="92" t="s">
        <v>26</v>
      </c>
      <c r="M138" s="92" t="s">
        <v>28</v>
      </c>
      <c r="O138" t="s">
        <v>30</v>
      </c>
      <c r="P138" s="97" t="s">
        <v>524</v>
      </c>
      <c r="Q138" s="92" t="s">
        <v>32</v>
      </c>
      <c r="T138" s="93"/>
      <c r="U138" s="102"/>
      <c r="V138">
        <f>WEEKNUM([3]!CRM[[#This Row],[Fecha]])</f>
        <v>44</v>
      </c>
      <c r="W138" s="92"/>
    </row>
    <row r="139" spans="1:23" ht="29.1">
      <c r="A139">
        <v>38</v>
      </c>
      <c r="B139" s="98">
        <v>45954</v>
      </c>
      <c r="C139" t="s">
        <v>258</v>
      </c>
      <c r="D139" s="96"/>
      <c r="E139" s="92"/>
      <c r="F139" s="93">
        <v>994894905</v>
      </c>
      <c r="G139" s="94" t="s">
        <v>468</v>
      </c>
      <c r="H139" s="92" t="s">
        <v>469</v>
      </c>
      <c r="I139" s="95"/>
      <c r="K139" s="92" t="s">
        <v>26</v>
      </c>
      <c r="L139" s="92" t="s">
        <v>470</v>
      </c>
      <c r="M139" s="92" t="s">
        <v>28</v>
      </c>
      <c r="O139" t="s">
        <v>30</v>
      </c>
      <c r="P139" s="97" t="s">
        <v>525</v>
      </c>
      <c r="Q139" s="92" t="s">
        <v>32</v>
      </c>
      <c r="T139" s="93"/>
      <c r="U139" s="102"/>
      <c r="V139">
        <f>WEEKNUM([3]!CRM[[#This Row],[Fecha]])</f>
        <v>44</v>
      </c>
      <c r="W139" s="92"/>
    </row>
    <row r="140" spans="1:23" ht="43.5">
      <c r="A140">
        <v>39</v>
      </c>
      <c r="B140" s="98">
        <v>45954</v>
      </c>
      <c r="C140" t="s">
        <v>258</v>
      </c>
      <c r="D140" s="92" t="s">
        <v>526</v>
      </c>
      <c r="E140" s="92"/>
      <c r="F140" s="93">
        <v>987934854</v>
      </c>
      <c r="G140" s="94" t="s">
        <v>472</v>
      </c>
      <c r="H140" s="92" t="s">
        <v>473</v>
      </c>
      <c r="I140" s="95"/>
      <c r="K140" s="92" t="s">
        <v>26</v>
      </c>
      <c r="L140" s="92" t="s">
        <v>470</v>
      </c>
      <c r="M140" s="92" t="s">
        <v>28</v>
      </c>
      <c r="O140" t="s">
        <v>30</v>
      </c>
      <c r="P140" s="97" t="s">
        <v>527</v>
      </c>
      <c r="Q140" s="92" t="s">
        <v>32</v>
      </c>
      <c r="T140" s="93"/>
      <c r="U140" s="91">
        <v>45960</v>
      </c>
      <c r="V140">
        <f>WEEKNUM([3]!CRM[[#This Row],[Fecha]])</f>
        <v>44</v>
      </c>
      <c r="W140" s="92"/>
    </row>
    <row r="141" spans="1:23" ht="29.1">
      <c r="A141">
        <v>40</v>
      </c>
      <c r="B141" s="98">
        <v>45954</v>
      </c>
      <c r="C141" t="s">
        <v>258</v>
      </c>
      <c r="D141" s="92" t="s">
        <v>475</v>
      </c>
      <c r="E141" s="92" t="s">
        <v>301</v>
      </c>
      <c r="F141" s="93">
        <v>988923787</v>
      </c>
      <c r="G141" s="94" t="s">
        <v>476</v>
      </c>
      <c r="H141" s="92" t="s">
        <v>477</v>
      </c>
      <c r="I141" s="104">
        <v>10429272721</v>
      </c>
      <c r="K141" s="92" t="s">
        <v>26</v>
      </c>
      <c r="L141" s="96" t="s">
        <v>478</v>
      </c>
      <c r="M141" s="96" t="s">
        <v>119</v>
      </c>
      <c r="N141" t="s">
        <v>29</v>
      </c>
      <c r="O141" t="s">
        <v>9</v>
      </c>
      <c r="P141" s="97" t="s">
        <v>528</v>
      </c>
      <c r="Q141" t="s">
        <v>236</v>
      </c>
      <c r="T141" s="93"/>
      <c r="V141">
        <f>WEEKNUM([3]!CRM[[#This Row],[Fecha]])</f>
        <v>44</v>
      </c>
      <c r="W141" s="92"/>
    </row>
    <row r="142" spans="1:23" ht="29.1">
      <c r="A142">
        <v>41</v>
      </c>
      <c r="B142" s="98">
        <v>45954</v>
      </c>
      <c r="C142" t="s">
        <v>258</v>
      </c>
      <c r="D142" s="92" t="s">
        <v>481</v>
      </c>
      <c r="E142" t="s">
        <v>204</v>
      </c>
      <c r="F142" s="93">
        <v>984755140</v>
      </c>
      <c r="G142" s="94" t="s">
        <v>482</v>
      </c>
      <c r="H142" s="92" t="s">
        <v>483</v>
      </c>
      <c r="I142" s="104">
        <v>10720799494</v>
      </c>
      <c r="K142" s="96" t="s">
        <v>484</v>
      </c>
      <c r="L142" s="92"/>
      <c r="M142" s="92" t="s">
        <v>28</v>
      </c>
      <c r="N142" t="s">
        <v>29</v>
      </c>
      <c r="O142" t="s">
        <v>9</v>
      </c>
      <c r="P142" s="97" t="s">
        <v>529</v>
      </c>
      <c r="Q142" t="s">
        <v>236</v>
      </c>
      <c r="T142" s="93"/>
      <c r="V142">
        <f>WEEKNUM([3]!CRM[[#This Row],[Fecha]])</f>
        <v>44</v>
      </c>
      <c r="W142" s="92"/>
    </row>
    <row r="143" spans="1:23" ht="29.1">
      <c r="A143">
        <v>42</v>
      </c>
      <c r="B143" s="98">
        <v>45954</v>
      </c>
      <c r="C143" t="s">
        <v>258</v>
      </c>
      <c r="D143" t="s">
        <v>487</v>
      </c>
      <c r="E143" s="92" t="s">
        <v>301</v>
      </c>
      <c r="F143" s="93">
        <v>907616141</v>
      </c>
      <c r="G143" s="105"/>
      <c r="H143" s="92" t="s">
        <v>488</v>
      </c>
      <c r="I143" s="95" t="s">
        <v>489</v>
      </c>
      <c r="K143" s="92" t="s">
        <v>26</v>
      </c>
      <c r="L143" s="92" t="s">
        <v>490</v>
      </c>
      <c r="M143" s="96" t="s">
        <v>119</v>
      </c>
      <c r="N143" t="s">
        <v>29</v>
      </c>
      <c r="O143" t="s">
        <v>9</v>
      </c>
      <c r="P143" s="97" t="s">
        <v>530</v>
      </c>
      <c r="Q143" t="s">
        <v>236</v>
      </c>
      <c r="T143" s="93"/>
      <c r="V143">
        <f>WEEKNUM([3]!CRM[[#This Row],[Fecha]])</f>
        <v>44</v>
      </c>
      <c r="W143" s="92"/>
    </row>
    <row r="144" spans="1:23">
      <c r="A144">
        <v>43</v>
      </c>
      <c r="B144" s="98">
        <v>45954</v>
      </c>
      <c r="C144" t="s">
        <v>258</v>
      </c>
      <c r="D144" s="96" t="s">
        <v>493</v>
      </c>
      <c r="E144" s="92" t="s">
        <v>204</v>
      </c>
      <c r="F144" s="93">
        <v>927100074</v>
      </c>
      <c r="G144" s="94" t="s">
        <v>494</v>
      </c>
      <c r="H144" s="92" t="s">
        <v>495</v>
      </c>
      <c r="I144" s="104">
        <v>20609379821</v>
      </c>
      <c r="K144" s="92" t="s">
        <v>43</v>
      </c>
      <c r="L144" s="92"/>
      <c r="M144" s="92" t="s">
        <v>496</v>
      </c>
      <c r="N144" t="s">
        <v>29</v>
      </c>
      <c r="O144" t="s">
        <v>9</v>
      </c>
      <c r="P144" s="97" t="s">
        <v>528</v>
      </c>
      <c r="Q144" t="s">
        <v>236</v>
      </c>
      <c r="T144" s="93"/>
      <c r="V144">
        <f>WEEKNUM([3]!CRM[[#This Row],[Fecha]])</f>
        <v>44</v>
      </c>
      <c r="W144" s="92"/>
    </row>
    <row r="145" spans="1:23" ht="29.1">
      <c r="A145">
        <v>44</v>
      </c>
      <c r="B145" s="98">
        <v>45954</v>
      </c>
      <c r="C145" t="s">
        <v>258</v>
      </c>
      <c r="D145" t="s">
        <v>499</v>
      </c>
      <c r="E145" s="92" t="s">
        <v>204</v>
      </c>
      <c r="F145" s="93">
        <v>950308250</v>
      </c>
      <c r="G145" s="94" t="s">
        <v>500</v>
      </c>
      <c r="H145" s="92" t="s">
        <v>501</v>
      </c>
      <c r="I145" s="104">
        <v>20614800659</v>
      </c>
      <c r="K145" s="92" t="s">
        <v>43</v>
      </c>
      <c r="L145" s="92"/>
      <c r="M145" s="96" t="s">
        <v>119</v>
      </c>
      <c r="N145" t="s">
        <v>29</v>
      </c>
      <c r="O145" t="s">
        <v>9</v>
      </c>
      <c r="P145" s="97" t="s">
        <v>528</v>
      </c>
      <c r="Q145" t="s">
        <v>236</v>
      </c>
      <c r="T145" s="93"/>
      <c r="V145">
        <f>WEEKNUM([3]!CRM[[#This Row],[Fecha]])</f>
        <v>44</v>
      </c>
      <c r="W145" s="92"/>
    </row>
    <row r="146" spans="1:23" ht="29.1">
      <c r="A146">
        <v>45</v>
      </c>
      <c r="B146" s="98">
        <v>45954</v>
      </c>
      <c r="C146" t="s">
        <v>258</v>
      </c>
      <c r="D146" t="s">
        <v>504</v>
      </c>
      <c r="E146" s="92" t="s">
        <v>204</v>
      </c>
      <c r="F146" s="93">
        <v>905824331</v>
      </c>
      <c r="G146" s="94" t="s">
        <v>505</v>
      </c>
      <c r="H146" s="92" t="s">
        <v>506</v>
      </c>
      <c r="I146" s="95" t="s">
        <v>507</v>
      </c>
      <c r="K146" s="92" t="s">
        <v>43</v>
      </c>
      <c r="L146" s="92"/>
      <c r="M146" s="96" t="s">
        <v>119</v>
      </c>
      <c r="N146" t="s">
        <v>29</v>
      </c>
      <c r="O146" t="s">
        <v>9</v>
      </c>
      <c r="P146" s="97" t="s">
        <v>531</v>
      </c>
      <c r="Q146" t="s">
        <v>236</v>
      </c>
      <c r="S146" t="s">
        <v>532</v>
      </c>
      <c r="T146" s="93">
        <v>4340</v>
      </c>
      <c r="V146">
        <f>WEEKNUM([3]!CRM[[#This Row],[Fecha]])</f>
        <v>44</v>
      </c>
      <c r="W146" s="92"/>
    </row>
    <row r="147" spans="1:23" ht="29.1">
      <c r="A147">
        <v>46</v>
      </c>
      <c r="B147" s="98">
        <v>45954</v>
      </c>
      <c r="C147" s="97" t="s">
        <v>323</v>
      </c>
      <c r="D147" t="s">
        <v>324</v>
      </c>
      <c r="E147" s="92" t="s">
        <v>204</v>
      </c>
      <c r="F147" s="93">
        <v>949719738</v>
      </c>
      <c r="G147" s="94" t="s">
        <v>325</v>
      </c>
      <c r="H147" s="92" t="s">
        <v>326</v>
      </c>
      <c r="I147" s="93">
        <v>20601646367</v>
      </c>
      <c r="K147" s="105" t="s">
        <v>70</v>
      </c>
      <c r="L147" s="105"/>
      <c r="M147" s="92" t="s">
        <v>28</v>
      </c>
      <c r="N147" t="s">
        <v>29</v>
      </c>
      <c r="O147" t="s">
        <v>9</v>
      </c>
      <c r="P147" s="107" t="s">
        <v>533</v>
      </c>
      <c r="Q147" t="s">
        <v>534</v>
      </c>
      <c r="T147" s="93"/>
      <c r="V147">
        <f>WEEKNUM([3]!CRM[[#This Row],[Fecha]])</f>
        <v>44</v>
      </c>
      <c r="W147" s="105"/>
    </row>
    <row r="148" spans="1:23" ht="57.95">
      <c r="A148">
        <v>47</v>
      </c>
      <c r="B148" s="98">
        <v>45954</v>
      </c>
      <c r="C148" t="s">
        <v>258</v>
      </c>
      <c r="D148" t="s">
        <v>535</v>
      </c>
      <c r="E148" s="92" t="s">
        <v>204</v>
      </c>
      <c r="F148" s="93">
        <v>961785460</v>
      </c>
      <c r="G148" s="99" t="s">
        <v>536</v>
      </c>
      <c r="H148" s="92" t="s">
        <v>537</v>
      </c>
      <c r="I148" s="93">
        <v>20537054728</v>
      </c>
      <c r="K148" t="s">
        <v>26</v>
      </c>
      <c r="L148" t="s">
        <v>538</v>
      </c>
      <c r="M148" t="s">
        <v>136</v>
      </c>
      <c r="N148" t="s">
        <v>29</v>
      </c>
      <c r="O148" t="s">
        <v>9</v>
      </c>
      <c r="P148" s="107" t="s">
        <v>539</v>
      </c>
      <c r="Q148" t="s">
        <v>534</v>
      </c>
      <c r="S148" t="s">
        <v>540</v>
      </c>
      <c r="T148" s="93">
        <v>4340</v>
      </c>
      <c r="V148">
        <f>WEEKNUM([3]!CRM[[#This Row],[Fecha]])</f>
        <v>44</v>
      </c>
    </row>
    <row r="149" spans="1:23" ht="43.5">
      <c r="A149">
        <v>48</v>
      </c>
      <c r="B149" s="98">
        <v>45954</v>
      </c>
      <c r="C149" t="s">
        <v>258</v>
      </c>
      <c r="D149" t="s">
        <v>541</v>
      </c>
      <c r="E149" s="92" t="s">
        <v>204</v>
      </c>
      <c r="F149" s="93">
        <v>971763270</v>
      </c>
      <c r="G149" s="99" t="s">
        <v>542</v>
      </c>
      <c r="H149" t="s">
        <v>543</v>
      </c>
      <c r="I149" t="s">
        <v>544</v>
      </c>
      <c r="K149" t="s">
        <v>43</v>
      </c>
      <c r="M149" t="s">
        <v>119</v>
      </c>
      <c r="N149" t="s">
        <v>29</v>
      </c>
      <c r="O149" t="s">
        <v>9</v>
      </c>
      <c r="P149" s="107" t="s">
        <v>545</v>
      </c>
      <c r="Q149" t="s">
        <v>236</v>
      </c>
      <c r="S149" t="s">
        <v>546</v>
      </c>
      <c r="T149" s="93">
        <v>6949</v>
      </c>
      <c r="V149">
        <f>WEEKNUM([3]!CRM[[#This Row],[Fecha]])</f>
        <v>44</v>
      </c>
    </row>
    <row r="150" spans="1:23" ht="29.1">
      <c r="A150">
        <v>49</v>
      </c>
      <c r="B150" s="98">
        <v>45954</v>
      </c>
      <c r="C150" t="s">
        <v>258</v>
      </c>
      <c r="D150" t="s">
        <v>547</v>
      </c>
      <c r="F150" s="93">
        <v>990216016</v>
      </c>
      <c r="G150" s="99" t="s">
        <v>233</v>
      </c>
      <c r="M150" t="s">
        <v>119</v>
      </c>
      <c r="N150" t="s">
        <v>29</v>
      </c>
      <c r="O150" t="s">
        <v>9</v>
      </c>
      <c r="P150" s="107" t="s">
        <v>259</v>
      </c>
      <c r="Q150" t="s">
        <v>157</v>
      </c>
      <c r="T150" s="93"/>
      <c r="V150">
        <f>WEEKNUM([3]!CRM[[#This Row],[Fecha]])</f>
        <v>44</v>
      </c>
    </row>
    <row r="151" spans="1:23" ht="29.1">
      <c r="A151">
        <v>50</v>
      </c>
      <c r="B151" s="91">
        <v>45955</v>
      </c>
      <c r="C151" t="s">
        <v>258</v>
      </c>
      <c r="D151" t="s">
        <v>244</v>
      </c>
      <c r="F151" s="93">
        <v>915244218</v>
      </c>
      <c r="G151" s="99" t="s">
        <v>245</v>
      </c>
      <c r="H151" t="s">
        <v>548</v>
      </c>
      <c r="I151" t="s">
        <v>549</v>
      </c>
      <c r="K151" t="s">
        <v>26</v>
      </c>
      <c r="L151" t="s">
        <v>247</v>
      </c>
      <c r="M151" t="s">
        <v>119</v>
      </c>
      <c r="O151" t="s">
        <v>9</v>
      </c>
      <c r="P151" s="107" t="s">
        <v>550</v>
      </c>
      <c r="Q151" t="s">
        <v>236</v>
      </c>
      <c r="S151" t="s">
        <v>249</v>
      </c>
      <c r="T151" s="93">
        <v>4340</v>
      </c>
      <c r="V151">
        <f>WEEKNUM([3]!CRM[[#This Row],[Fecha]])</f>
        <v>44</v>
      </c>
    </row>
    <row r="152" spans="1:23">
      <c r="A152">
        <v>51</v>
      </c>
      <c r="B152" s="91">
        <v>45955</v>
      </c>
      <c r="C152" t="s">
        <v>258</v>
      </c>
      <c r="F152" s="93">
        <v>960191115</v>
      </c>
      <c r="O152" t="s">
        <v>9</v>
      </c>
      <c r="P152" t="s">
        <v>551</v>
      </c>
      <c r="Q152" t="s">
        <v>157</v>
      </c>
      <c r="T152" s="93"/>
      <c r="V152">
        <f>WEEKNUM([3]!CRM[[#This Row],[Fecha]])</f>
        <v>44</v>
      </c>
    </row>
    <row r="153" spans="1:23" ht="29.1">
      <c r="A153">
        <v>52</v>
      </c>
      <c r="B153" s="91">
        <v>45955</v>
      </c>
      <c r="C153" t="s">
        <v>258</v>
      </c>
      <c r="D153" t="s">
        <v>552</v>
      </c>
      <c r="F153" s="93">
        <v>931775092</v>
      </c>
      <c r="G153" s="99" t="s">
        <v>553</v>
      </c>
      <c r="H153" t="s">
        <v>554</v>
      </c>
      <c r="I153" t="s">
        <v>555</v>
      </c>
      <c r="K153" t="s">
        <v>43</v>
      </c>
      <c r="M153" t="s">
        <v>119</v>
      </c>
      <c r="O153" t="s">
        <v>9</v>
      </c>
      <c r="P153" s="107" t="s">
        <v>556</v>
      </c>
      <c r="Q153" t="s">
        <v>236</v>
      </c>
      <c r="S153" t="s">
        <v>557</v>
      </c>
      <c r="T153" s="93">
        <v>6949</v>
      </c>
      <c r="V153">
        <f>WEEKNUM([3]!CRM[[#This Row],[Fecha]])</f>
        <v>44</v>
      </c>
    </row>
    <row r="154" spans="1:23">
      <c r="A154">
        <v>53</v>
      </c>
      <c r="B154" s="91">
        <v>45955</v>
      </c>
      <c r="C154" t="s">
        <v>258</v>
      </c>
      <c r="F154" s="93">
        <v>966488772</v>
      </c>
      <c r="O154" t="s">
        <v>9</v>
      </c>
      <c r="P154" t="s">
        <v>558</v>
      </c>
      <c r="Q154" t="s">
        <v>157</v>
      </c>
      <c r="T154" s="93"/>
      <c r="V154">
        <f>WEEKNUM([3]!CRM[[#This Row],[Fecha]])</f>
        <v>44</v>
      </c>
    </row>
    <row r="155" spans="1:23">
      <c r="A155">
        <v>54</v>
      </c>
      <c r="B155" s="91">
        <v>45955</v>
      </c>
      <c r="C155" t="s">
        <v>258</v>
      </c>
      <c r="F155" s="93">
        <v>932400450</v>
      </c>
      <c r="O155" t="s">
        <v>9</v>
      </c>
      <c r="P155" t="s">
        <v>559</v>
      </c>
      <c r="Q155" t="s">
        <v>157</v>
      </c>
      <c r="T155" s="93"/>
      <c r="V155">
        <f>WEEKNUM([3]!CRM[[#This Row],[Fecha]])</f>
        <v>44</v>
      </c>
    </row>
    <row r="156" spans="1:23">
      <c r="A156">
        <v>55</v>
      </c>
      <c r="B156" s="91">
        <v>45955</v>
      </c>
      <c r="C156" s="97" t="s">
        <v>258</v>
      </c>
      <c r="D156" s="96" t="s">
        <v>416</v>
      </c>
      <c r="E156" s="92" t="s">
        <v>301</v>
      </c>
      <c r="F156" t="s">
        <v>417</v>
      </c>
      <c r="G156" s="99"/>
      <c r="H156" s="92" t="s">
        <v>418</v>
      </c>
      <c r="I156" s="95" t="s">
        <v>419</v>
      </c>
      <c r="K156" s="92" t="s">
        <v>420</v>
      </c>
      <c r="L156" s="92" t="s">
        <v>421</v>
      </c>
      <c r="M156" s="92" t="s">
        <v>119</v>
      </c>
      <c r="N156" t="s">
        <v>29</v>
      </c>
      <c r="O156" t="s">
        <v>422</v>
      </c>
      <c r="P156" t="s">
        <v>560</v>
      </c>
      <c r="Q156" s="92" t="s">
        <v>236</v>
      </c>
      <c r="T156" s="93"/>
      <c r="U156" s="92"/>
      <c r="V156">
        <f>WEEKNUM([3]!CRM[[#This Row],[Fecha]])</f>
        <v>44</v>
      </c>
      <c r="W156" s="92">
        <v>2</v>
      </c>
    </row>
    <row r="157" spans="1:23">
      <c r="A157">
        <v>56</v>
      </c>
      <c r="B157" s="91">
        <v>45955</v>
      </c>
      <c r="C157" s="97" t="s">
        <v>258</v>
      </c>
      <c r="D157" s="96" t="s">
        <v>425</v>
      </c>
      <c r="E157" s="92"/>
      <c r="F157" s="93">
        <v>977508409</v>
      </c>
      <c r="G157" s="99"/>
      <c r="H157" s="92"/>
      <c r="I157" s="95"/>
      <c r="K157" s="92"/>
      <c r="L157" s="92"/>
      <c r="M157" s="92"/>
      <c r="N157" t="s">
        <v>29</v>
      </c>
      <c r="O157" t="s">
        <v>9</v>
      </c>
      <c r="P157" t="s">
        <v>560</v>
      </c>
      <c r="Q157" s="92" t="s">
        <v>157</v>
      </c>
      <c r="T157" s="93"/>
      <c r="U157" s="92"/>
      <c r="V157">
        <f>WEEKNUM([3]!CRM[[#This Row],[Fecha]])</f>
        <v>44</v>
      </c>
      <c r="W157" s="92"/>
    </row>
    <row r="158" spans="1:23">
      <c r="A158">
        <v>57</v>
      </c>
      <c r="B158" s="91">
        <v>45955</v>
      </c>
      <c r="C158" t="s">
        <v>258</v>
      </c>
      <c r="D158" s="96"/>
      <c r="E158" s="92"/>
      <c r="F158" s="93">
        <v>3328310</v>
      </c>
      <c r="G158" s="94" t="s">
        <v>462</v>
      </c>
      <c r="H158" s="92" t="s">
        <v>463</v>
      </c>
      <c r="I158" s="95"/>
      <c r="K158" s="92" t="s">
        <v>26</v>
      </c>
      <c r="L158" s="92" t="s">
        <v>26</v>
      </c>
      <c r="M158" s="92" t="s">
        <v>28</v>
      </c>
      <c r="O158" t="s">
        <v>30</v>
      </c>
      <c r="P158" t="s">
        <v>561</v>
      </c>
      <c r="Q158" s="92" t="s">
        <v>32</v>
      </c>
      <c r="T158" s="93"/>
      <c r="U158" s="102"/>
      <c r="V158">
        <f>WEEKNUM([3]!CRM[[#This Row],[Fecha]])</f>
        <v>44</v>
      </c>
      <c r="W158" s="92"/>
    </row>
    <row r="159" spans="1:23">
      <c r="A159">
        <v>58</v>
      </c>
      <c r="B159" s="91">
        <v>45955</v>
      </c>
      <c r="C159" t="s">
        <v>258</v>
      </c>
      <c r="D159" s="96"/>
      <c r="E159" s="92"/>
      <c r="F159" s="93">
        <v>5307801</v>
      </c>
      <c r="G159" s="100" t="s">
        <v>430</v>
      </c>
      <c r="H159" s="92" t="s">
        <v>431</v>
      </c>
      <c r="I159" s="95"/>
      <c r="K159" s="92" t="s">
        <v>432</v>
      </c>
      <c r="L159" s="92" t="s">
        <v>433</v>
      </c>
      <c r="M159" s="92" t="s">
        <v>28</v>
      </c>
      <c r="O159" t="s">
        <v>30</v>
      </c>
      <c r="P159" t="s">
        <v>560</v>
      </c>
      <c r="Q159" s="92" t="s">
        <v>32</v>
      </c>
      <c r="T159" s="93"/>
      <c r="U159" s="92"/>
      <c r="V159">
        <f>WEEKNUM([3]!CRM[[#This Row],[Fecha]])</f>
        <v>44</v>
      </c>
      <c r="W159" s="92"/>
    </row>
    <row r="160" spans="1:23">
      <c r="A160">
        <v>59</v>
      </c>
      <c r="B160" s="91">
        <v>45955</v>
      </c>
      <c r="C160" t="s">
        <v>427</v>
      </c>
      <c r="D160" s="96"/>
      <c r="E160" s="92" t="s">
        <v>292</v>
      </c>
      <c r="F160" s="93">
        <v>7005100</v>
      </c>
      <c r="G160" s="100" t="s">
        <v>435</v>
      </c>
      <c r="H160" s="92" t="s">
        <v>436</v>
      </c>
      <c r="I160" s="95"/>
      <c r="J160" s="97"/>
      <c r="K160" s="92" t="s">
        <v>26</v>
      </c>
      <c r="L160" s="92" t="s">
        <v>437</v>
      </c>
      <c r="M160" s="92" t="s">
        <v>28</v>
      </c>
      <c r="O160" t="s">
        <v>30</v>
      </c>
      <c r="P160" t="s">
        <v>562</v>
      </c>
      <c r="Q160" s="92" t="s">
        <v>32</v>
      </c>
      <c r="T160" s="93"/>
      <c r="U160" s="92"/>
      <c r="V160">
        <f>WEEKNUM([3]!CRM[[#This Row],[Fecha]])</f>
        <v>44</v>
      </c>
      <c r="W160" s="92"/>
    </row>
    <row r="161" spans="1:23">
      <c r="A161">
        <v>60</v>
      </c>
      <c r="B161" s="91">
        <v>45955</v>
      </c>
      <c r="C161" t="s">
        <v>427</v>
      </c>
      <c r="D161" s="96"/>
      <c r="E161" s="92" t="s">
        <v>292</v>
      </c>
      <c r="F161" s="93">
        <v>2476430</v>
      </c>
      <c r="H161" s="92" t="s">
        <v>439</v>
      </c>
      <c r="I161" s="95"/>
      <c r="K161" s="92" t="s">
        <v>26</v>
      </c>
      <c r="L161" s="92" t="s">
        <v>437</v>
      </c>
      <c r="M161" s="92" t="s">
        <v>28</v>
      </c>
      <c r="O161" t="s">
        <v>30</v>
      </c>
      <c r="P161" t="s">
        <v>560</v>
      </c>
      <c r="Q161" s="92" t="s">
        <v>157</v>
      </c>
      <c r="T161" s="93"/>
      <c r="U161" s="92"/>
      <c r="V161">
        <f>WEEKNUM([3]!CRM[[#This Row],[Fecha]])</f>
        <v>44</v>
      </c>
      <c r="W161" s="92"/>
    </row>
    <row r="162" spans="1:23">
      <c r="A162">
        <v>61</v>
      </c>
      <c r="B162" s="91">
        <v>45955</v>
      </c>
      <c r="C162" t="s">
        <v>427</v>
      </c>
      <c r="D162" s="96" t="s">
        <v>441</v>
      </c>
      <c r="E162" s="92" t="s">
        <v>442</v>
      </c>
      <c r="F162" s="93" t="s">
        <v>443</v>
      </c>
      <c r="H162" s="92" t="s">
        <v>444</v>
      </c>
      <c r="I162" s="95"/>
      <c r="K162" s="92" t="s">
        <v>26</v>
      </c>
      <c r="L162" s="92" t="s">
        <v>445</v>
      </c>
      <c r="M162" s="92" t="s">
        <v>28</v>
      </c>
      <c r="O162" t="s">
        <v>30</v>
      </c>
      <c r="P162" t="s">
        <v>560</v>
      </c>
      <c r="Q162" s="92" t="s">
        <v>32</v>
      </c>
      <c r="T162" s="93"/>
      <c r="U162" s="92"/>
      <c r="V162">
        <f>WEEKNUM([3]!CRM[[#This Row],[Fecha]])</f>
        <v>44</v>
      </c>
      <c r="W162" s="92"/>
    </row>
    <row r="163" spans="1:23">
      <c r="A163">
        <v>62</v>
      </c>
      <c r="B163" s="91">
        <v>45955</v>
      </c>
      <c r="C163" t="s">
        <v>258</v>
      </c>
      <c r="D163" s="96" t="s">
        <v>447</v>
      </c>
      <c r="E163" s="92" t="s">
        <v>448</v>
      </c>
      <c r="F163" s="93">
        <v>3155000</v>
      </c>
      <c r="G163" s="100" t="s">
        <v>194</v>
      </c>
      <c r="H163" s="92" t="s">
        <v>449</v>
      </c>
      <c r="I163" s="95"/>
      <c r="K163" s="92" t="s">
        <v>26</v>
      </c>
      <c r="L163" s="92" t="s">
        <v>26</v>
      </c>
      <c r="M163" s="92" t="s">
        <v>28</v>
      </c>
      <c r="O163" t="s">
        <v>30</v>
      </c>
      <c r="P163" t="s">
        <v>560</v>
      </c>
      <c r="Q163" s="92" t="s">
        <v>150</v>
      </c>
      <c r="T163" s="93"/>
      <c r="U163" s="98"/>
      <c r="V163">
        <f>WEEKNUM([3]!CRM[[#This Row],[Fecha]])</f>
        <v>44</v>
      </c>
      <c r="W163" s="92"/>
    </row>
    <row r="164" spans="1:23">
      <c r="A164">
        <v>63</v>
      </c>
      <c r="B164" s="91">
        <v>45955</v>
      </c>
      <c r="C164" t="s">
        <v>427</v>
      </c>
      <c r="D164" s="96"/>
      <c r="E164" s="92"/>
      <c r="F164" s="93">
        <v>2056200</v>
      </c>
      <c r="G164" s="100" t="s">
        <v>451</v>
      </c>
      <c r="H164" s="92" t="s">
        <v>452</v>
      </c>
      <c r="I164" s="95"/>
      <c r="K164" s="92" t="s">
        <v>26</v>
      </c>
      <c r="L164" s="92" t="s">
        <v>26</v>
      </c>
      <c r="M164" s="92" t="s">
        <v>28</v>
      </c>
      <c r="O164" t="s">
        <v>30</v>
      </c>
      <c r="P164" t="s">
        <v>560</v>
      </c>
      <c r="Q164" s="92" t="s">
        <v>32</v>
      </c>
      <c r="T164" s="93"/>
      <c r="U164" s="98"/>
      <c r="V164">
        <f>WEEKNUM([3]!CRM[[#This Row],[Fecha]])</f>
        <v>44</v>
      </c>
      <c r="W164" s="92"/>
    </row>
    <row r="165" spans="1:23">
      <c r="A165">
        <v>64</v>
      </c>
      <c r="B165" s="91">
        <v>45955</v>
      </c>
      <c r="C165" t="s">
        <v>258</v>
      </c>
      <c r="D165" s="96"/>
      <c r="E165" s="92"/>
      <c r="F165" s="93">
        <v>4265147</v>
      </c>
      <c r="G165" s="94" t="s">
        <v>454</v>
      </c>
      <c r="H165" s="92" t="s">
        <v>455</v>
      </c>
      <c r="I165" s="95"/>
      <c r="K165" s="92" t="s">
        <v>26</v>
      </c>
      <c r="L165" s="92" t="s">
        <v>26</v>
      </c>
      <c r="M165" s="92" t="s">
        <v>28</v>
      </c>
      <c r="O165" t="s">
        <v>30</v>
      </c>
      <c r="P165" t="s">
        <v>560</v>
      </c>
      <c r="Q165" s="92" t="s">
        <v>32</v>
      </c>
      <c r="T165" s="93"/>
      <c r="U165" s="98"/>
      <c r="V165">
        <f>WEEKNUM([3]!CRM[[#This Row],[Fecha]])</f>
        <v>44</v>
      </c>
      <c r="W165" s="92"/>
    </row>
    <row r="166" spans="1:23">
      <c r="A166">
        <v>65</v>
      </c>
      <c r="B166" s="91">
        <v>45955</v>
      </c>
      <c r="C166" t="s">
        <v>258</v>
      </c>
      <c r="D166" s="96"/>
      <c r="E166" s="92"/>
      <c r="F166" s="93">
        <v>4335517</v>
      </c>
      <c r="G166" s="94" t="s">
        <v>457</v>
      </c>
      <c r="H166" s="92" t="s">
        <v>458</v>
      </c>
      <c r="I166" s="95"/>
      <c r="K166" s="92" t="s">
        <v>26</v>
      </c>
      <c r="L166" s="92" t="s">
        <v>26</v>
      </c>
      <c r="M166" s="92" t="s">
        <v>28</v>
      </c>
      <c r="O166" t="s">
        <v>30</v>
      </c>
      <c r="P166" t="s">
        <v>560</v>
      </c>
      <c r="Q166" s="92" t="s">
        <v>32</v>
      </c>
      <c r="T166" s="93"/>
      <c r="U166" s="92"/>
      <c r="V166">
        <f>WEEKNUM([3]!CRM[[#This Row],[Fecha]])</f>
        <v>44</v>
      </c>
      <c r="W166" s="92"/>
    </row>
    <row r="167" spans="1:23">
      <c r="A167">
        <v>66</v>
      </c>
      <c r="B167" s="91">
        <v>45955</v>
      </c>
      <c r="C167" t="s">
        <v>258</v>
      </c>
      <c r="D167" s="96"/>
      <c r="E167" s="92"/>
      <c r="F167" s="93">
        <v>4261919</v>
      </c>
      <c r="G167" s="94" t="s">
        <v>460</v>
      </c>
      <c r="H167" s="92" t="s">
        <v>461</v>
      </c>
      <c r="I167" s="95"/>
      <c r="K167" s="92" t="s">
        <v>26</v>
      </c>
      <c r="L167" s="92" t="s">
        <v>26</v>
      </c>
      <c r="M167" s="92" t="s">
        <v>28</v>
      </c>
      <c r="O167" t="s">
        <v>30</v>
      </c>
      <c r="P167" t="s">
        <v>560</v>
      </c>
      <c r="Q167" s="92" t="s">
        <v>32</v>
      </c>
      <c r="T167" s="93"/>
      <c r="U167" s="101"/>
      <c r="V167">
        <f>WEEKNUM([3]!CRM[[#This Row],[Fecha]])</f>
        <v>44</v>
      </c>
      <c r="W167" s="92"/>
    </row>
    <row r="168" spans="1:23">
      <c r="A168">
        <v>68</v>
      </c>
      <c r="B168" s="91">
        <v>45955</v>
      </c>
      <c r="C168" t="s">
        <v>258</v>
      </c>
      <c r="D168" s="96"/>
      <c r="E168" s="92"/>
      <c r="F168" s="93">
        <v>4673047</v>
      </c>
      <c r="G168" s="94" t="s">
        <v>465</v>
      </c>
      <c r="H168" s="92" t="s">
        <v>466</v>
      </c>
      <c r="I168" s="95"/>
      <c r="K168" s="92" t="s">
        <v>26</v>
      </c>
      <c r="L168" s="92" t="s">
        <v>26</v>
      </c>
      <c r="M168" s="92" t="s">
        <v>28</v>
      </c>
      <c r="O168" t="s">
        <v>30</v>
      </c>
      <c r="P168" t="s">
        <v>563</v>
      </c>
      <c r="Q168" s="92" t="s">
        <v>32</v>
      </c>
      <c r="T168" s="93"/>
      <c r="U168" s="102"/>
      <c r="V168">
        <f>WEEKNUM([3]!CRM[[#This Row],[Fecha]])</f>
        <v>44</v>
      </c>
      <c r="W168" s="92"/>
    </row>
    <row r="169" spans="1:23">
      <c r="A169">
        <v>69</v>
      </c>
      <c r="B169" s="91">
        <v>45955</v>
      </c>
      <c r="C169" t="s">
        <v>258</v>
      </c>
      <c r="D169" s="96"/>
      <c r="E169" s="92"/>
      <c r="F169" s="93">
        <v>994894905</v>
      </c>
      <c r="G169" s="94" t="s">
        <v>468</v>
      </c>
      <c r="H169" s="92" t="s">
        <v>469</v>
      </c>
      <c r="I169" s="95"/>
      <c r="K169" s="92" t="s">
        <v>26</v>
      </c>
      <c r="L169" s="92" t="s">
        <v>470</v>
      </c>
      <c r="M169" s="92" t="s">
        <v>28</v>
      </c>
      <c r="O169" t="s">
        <v>30</v>
      </c>
      <c r="P169" t="s">
        <v>564</v>
      </c>
      <c r="Q169" s="92" t="s">
        <v>32</v>
      </c>
      <c r="T169" s="93"/>
      <c r="U169" s="102"/>
      <c r="V169">
        <f>WEEKNUM([3]!CRM[[#This Row],[Fecha]])</f>
        <v>44</v>
      </c>
      <c r="W169" s="92"/>
    </row>
    <row r="170" spans="1:23">
      <c r="A170">
        <v>70</v>
      </c>
      <c r="B170" s="91">
        <v>45955</v>
      </c>
      <c r="C170" t="s">
        <v>258</v>
      </c>
      <c r="D170" s="92" t="s">
        <v>526</v>
      </c>
      <c r="E170" s="92"/>
      <c r="F170" s="93">
        <v>987934854</v>
      </c>
      <c r="G170" s="94" t="s">
        <v>472</v>
      </c>
      <c r="H170" s="92" t="s">
        <v>473</v>
      </c>
      <c r="I170" s="95"/>
      <c r="K170" s="92" t="s">
        <v>26</v>
      </c>
      <c r="L170" s="92" t="s">
        <v>470</v>
      </c>
      <c r="M170" s="92" t="s">
        <v>28</v>
      </c>
      <c r="O170" t="s">
        <v>30</v>
      </c>
      <c r="P170" t="s">
        <v>565</v>
      </c>
      <c r="Q170" s="92" t="s">
        <v>32</v>
      </c>
      <c r="T170" s="93"/>
      <c r="U170" s="91">
        <v>45960</v>
      </c>
      <c r="V170">
        <f>WEEKNUM([3]!CRM[[#This Row],[Fecha]])</f>
        <v>44</v>
      </c>
      <c r="W170" s="92"/>
    </row>
    <row r="171" spans="1:23" ht="29.1">
      <c r="A171">
        <v>71</v>
      </c>
      <c r="B171" s="91">
        <v>45955</v>
      </c>
      <c r="C171" t="s">
        <v>258</v>
      </c>
      <c r="D171" s="92" t="s">
        <v>475</v>
      </c>
      <c r="E171" s="92" t="s">
        <v>301</v>
      </c>
      <c r="F171" s="93">
        <v>988923787</v>
      </c>
      <c r="G171" s="94" t="s">
        <v>476</v>
      </c>
      <c r="H171" s="92" t="s">
        <v>477</v>
      </c>
      <c r="I171" s="104">
        <v>10429272721</v>
      </c>
      <c r="K171" s="92" t="s">
        <v>26</v>
      </c>
      <c r="L171" s="96" t="s">
        <v>478</v>
      </c>
      <c r="M171" s="96" t="s">
        <v>119</v>
      </c>
      <c r="N171" t="s">
        <v>29</v>
      </c>
      <c r="O171" t="s">
        <v>9</v>
      </c>
      <c r="P171" t="s">
        <v>560</v>
      </c>
      <c r="Q171" t="s">
        <v>236</v>
      </c>
      <c r="T171" s="93"/>
      <c r="V171">
        <f>WEEKNUM([3]!CRM[[#This Row],[Fecha]])</f>
        <v>44</v>
      </c>
      <c r="W171" s="92"/>
    </row>
    <row r="172" spans="1:23" ht="29.1">
      <c r="A172">
        <v>72</v>
      </c>
      <c r="B172" s="91">
        <v>45955</v>
      </c>
      <c r="C172" t="s">
        <v>258</v>
      </c>
      <c r="D172" s="92" t="s">
        <v>481</v>
      </c>
      <c r="E172" t="s">
        <v>204</v>
      </c>
      <c r="F172" s="93">
        <v>984755140</v>
      </c>
      <c r="G172" s="94" t="s">
        <v>482</v>
      </c>
      <c r="H172" s="92" t="s">
        <v>483</v>
      </c>
      <c r="I172" s="104">
        <v>10720799494</v>
      </c>
      <c r="K172" s="96" t="s">
        <v>484</v>
      </c>
      <c r="L172" s="92"/>
      <c r="M172" s="92" t="s">
        <v>28</v>
      </c>
      <c r="N172" t="s">
        <v>29</v>
      </c>
      <c r="O172" t="s">
        <v>9</v>
      </c>
      <c r="P172" t="s">
        <v>566</v>
      </c>
      <c r="Q172" t="s">
        <v>236</v>
      </c>
      <c r="T172" s="93"/>
      <c r="V172">
        <f>WEEKNUM([3]!CRM[[#This Row],[Fecha]])</f>
        <v>44</v>
      </c>
      <c r="W172" s="92"/>
    </row>
    <row r="173" spans="1:23" ht="29.1">
      <c r="A173">
        <v>73</v>
      </c>
      <c r="B173" s="91">
        <v>45955</v>
      </c>
      <c r="C173" t="s">
        <v>258</v>
      </c>
      <c r="D173" t="s">
        <v>487</v>
      </c>
      <c r="E173" s="92" t="s">
        <v>301</v>
      </c>
      <c r="F173" s="93">
        <v>907616141</v>
      </c>
      <c r="G173" s="105"/>
      <c r="H173" s="92" t="s">
        <v>488</v>
      </c>
      <c r="I173" s="95" t="s">
        <v>489</v>
      </c>
      <c r="K173" s="92" t="s">
        <v>26</v>
      </c>
      <c r="L173" s="92" t="s">
        <v>490</v>
      </c>
      <c r="M173" s="96" t="s">
        <v>119</v>
      </c>
      <c r="N173" t="s">
        <v>29</v>
      </c>
      <c r="O173" t="s">
        <v>9</v>
      </c>
      <c r="P173" t="s">
        <v>567</v>
      </c>
      <c r="Q173" t="s">
        <v>236</v>
      </c>
      <c r="T173" s="93"/>
      <c r="V173">
        <f>WEEKNUM([3]!CRM[[#This Row],[Fecha]])</f>
        <v>44</v>
      </c>
      <c r="W173" s="92"/>
    </row>
    <row r="174" spans="1:23">
      <c r="A174">
        <v>74</v>
      </c>
      <c r="B174" s="91">
        <v>45955</v>
      </c>
      <c r="C174" t="s">
        <v>258</v>
      </c>
      <c r="D174" s="96" t="s">
        <v>493</v>
      </c>
      <c r="E174" s="92" t="s">
        <v>204</v>
      </c>
      <c r="F174" s="93">
        <v>927100074</v>
      </c>
      <c r="G174" s="94" t="s">
        <v>494</v>
      </c>
      <c r="H174" s="92" t="s">
        <v>495</v>
      </c>
      <c r="I174" s="104">
        <v>20609379821</v>
      </c>
      <c r="K174" s="92" t="s">
        <v>43</v>
      </c>
      <c r="L174" s="92"/>
      <c r="M174" s="92" t="s">
        <v>496</v>
      </c>
      <c r="N174" t="s">
        <v>29</v>
      </c>
      <c r="O174" t="s">
        <v>9</v>
      </c>
      <c r="P174" t="s">
        <v>568</v>
      </c>
      <c r="Q174" t="s">
        <v>236</v>
      </c>
      <c r="S174" t="s">
        <v>498</v>
      </c>
      <c r="T174" s="93">
        <v>4340</v>
      </c>
      <c r="V174">
        <f>WEEKNUM([3]!CRM[[#This Row],[Fecha]])</f>
        <v>44</v>
      </c>
      <c r="W174" s="92"/>
    </row>
    <row r="175" spans="1:23" ht="29.1">
      <c r="A175">
        <v>75</v>
      </c>
      <c r="B175" s="91">
        <v>45955</v>
      </c>
      <c r="C175" t="s">
        <v>258</v>
      </c>
      <c r="D175" t="s">
        <v>499</v>
      </c>
      <c r="E175" s="92" t="s">
        <v>204</v>
      </c>
      <c r="F175" s="93">
        <v>950308250</v>
      </c>
      <c r="G175" s="94" t="s">
        <v>500</v>
      </c>
      <c r="H175" s="92" t="s">
        <v>501</v>
      </c>
      <c r="I175" s="104">
        <v>20614800659</v>
      </c>
      <c r="K175" s="92" t="s">
        <v>43</v>
      </c>
      <c r="L175" s="92"/>
      <c r="M175" s="96" t="s">
        <v>119</v>
      </c>
      <c r="N175" t="s">
        <v>29</v>
      </c>
      <c r="O175" t="s">
        <v>9</v>
      </c>
      <c r="P175" t="s">
        <v>569</v>
      </c>
      <c r="Q175" t="s">
        <v>236</v>
      </c>
      <c r="T175" s="93"/>
      <c r="V175">
        <f>WEEKNUM([3]!CRM[[#This Row],[Fecha]])</f>
        <v>44</v>
      </c>
      <c r="W175" s="92"/>
    </row>
    <row r="176" spans="1:23" ht="29.1">
      <c r="A176">
        <v>76</v>
      </c>
      <c r="B176" s="91">
        <v>45955</v>
      </c>
      <c r="C176" t="s">
        <v>258</v>
      </c>
      <c r="D176" t="s">
        <v>504</v>
      </c>
      <c r="E176" s="92" t="s">
        <v>204</v>
      </c>
      <c r="F176" s="93">
        <v>905824331</v>
      </c>
      <c r="G176" s="94" t="s">
        <v>505</v>
      </c>
      <c r="H176" s="92" t="s">
        <v>506</v>
      </c>
      <c r="I176" s="95" t="s">
        <v>507</v>
      </c>
      <c r="K176" s="92" t="s">
        <v>43</v>
      </c>
      <c r="L176" s="92"/>
      <c r="M176" s="96" t="s">
        <v>119</v>
      </c>
      <c r="N176" t="s">
        <v>29</v>
      </c>
      <c r="O176" t="s">
        <v>9</v>
      </c>
      <c r="P176" t="s">
        <v>570</v>
      </c>
      <c r="Q176" t="s">
        <v>236</v>
      </c>
      <c r="S176" t="s">
        <v>532</v>
      </c>
      <c r="T176" s="93">
        <v>4340</v>
      </c>
      <c r="V176">
        <f>WEEKNUM([3]!CRM[[#This Row],[Fecha]])</f>
        <v>44</v>
      </c>
      <c r="W176" s="92"/>
    </row>
    <row r="177" spans="1:23">
      <c r="A177">
        <v>77</v>
      </c>
      <c r="B177" s="91">
        <v>45955</v>
      </c>
      <c r="C177" t="s">
        <v>323</v>
      </c>
      <c r="D177" t="s">
        <v>324</v>
      </c>
      <c r="E177" s="92" t="s">
        <v>204</v>
      </c>
      <c r="F177" s="93">
        <v>949719738</v>
      </c>
      <c r="G177" s="94" t="s">
        <v>325</v>
      </c>
      <c r="H177" s="92" t="s">
        <v>326</v>
      </c>
      <c r="I177" s="95">
        <v>20601646367</v>
      </c>
      <c r="K177" s="92" t="s">
        <v>70</v>
      </c>
      <c r="L177" s="92"/>
      <c r="M177" s="96" t="s">
        <v>28</v>
      </c>
      <c r="N177" t="s">
        <v>29</v>
      </c>
      <c r="O177" t="s">
        <v>9</v>
      </c>
      <c r="P177" t="s">
        <v>571</v>
      </c>
      <c r="Q177" t="s">
        <v>534</v>
      </c>
      <c r="S177" t="s">
        <v>572</v>
      </c>
      <c r="T177" s="93">
        <v>7999</v>
      </c>
      <c r="V177">
        <f>WEEKNUM([3]!CRM[[#This Row],[Fecha]])</f>
        <v>44</v>
      </c>
      <c r="W177" s="92"/>
    </row>
    <row r="178" spans="1:23">
      <c r="A178">
        <v>78</v>
      </c>
      <c r="B178" s="91">
        <v>45955</v>
      </c>
      <c r="C178" t="s">
        <v>323</v>
      </c>
      <c r="D178" t="s">
        <v>324</v>
      </c>
      <c r="E178" s="92" t="s">
        <v>204</v>
      </c>
      <c r="F178" s="93">
        <v>949719738</v>
      </c>
      <c r="G178" s="94" t="s">
        <v>325</v>
      </c>
      <c r="H178" s="92" t="s">
        <v>326</v>
      </c>
      <c r="I178" s="95">
        <v>20601646367</v>
      </c>
      <c r="K178" s="92" t="s">
        <v>70</v>
      </c>
      <c r="L178" s="92"/>
      <c r="M178" s="96" t="s">
        <v>28</v>
      </c>
      <c r="N178" t="s">
        <v>29</v>
      </c>
      <c r="O178" t="s">
        <v>9</v>
      </c>
      <c r="P178" t="s">
        <v>571</v>
      </c>
      <c r="Q178" t="s">
        <v>534</v>
      </c>
      <c r="S178" t="s">
        <v>573</v>
      </c>
      <c r="T178" s="93">
        <v>6500</v>
      </c>
      <c r="W178" s="92"/>
    </row>
    <row r="179" spans="1:23" ht="29.1">
      <c r="A179">
        <v>79</v>
      </c>
      <c r="B179" s="91">
        <v>45957</v>
      </c>
      <c r="C179" t="s">
        <v>258</v>
      </c>
      <c r="D179" t="s">
        <v>244</v>
      </c>
      <c r="E179" s="92"/>
      <c r="F179" s="93">
        <v>915244218</v>
      </c>
      <c r="G179" s="94" t="s">
        <v>245</v>
      </c>
      <c r="H179" s="92" t="s">
        <v>574</v>
      </c>
      <c r="I179" s="95" t="s">
        <v>549</v>
      </c>
      <c r="K179" s="92" t="s">
        <v>26</v>
      </c>
      <c r="L179" s="92" t="s">
        <v>247</v>
      </c>
      <c r="M179" s="96" t="s">
        <v>119</v>
      </c>
      <c r="O179" t="s">
        <v>9</v>
      </c>
      <c r="P179" s="97" t="s">
        <v>575</v>
      </c>
      <c r="Q179" t="s">
        <v>236</v>
      </c>
      <c r="S179" t="s">
        <v>249</v>
      </c>
      <c r="T179" s="93">
        <v>4340</v>
      </c>
      <c r="V179">
        <v>44</v>
      </c>
      <c r="W179" s="92"/>
    </row>
    <row r="180" spans="1:23" ht="29.1">
      <c r="A180">
        <v>80</v>
      </c>
      <c r="B180" s="91">
        <v>45957</v>
      </c>
      <c r="C180" t="s">
        <v>258</v>
      </c>
      <c r="D180" t="s">
        <v>260</v>
      </c>
      <c r="E180" s="92"/>
      <c r="F180" s="93">
        <v>960191115</v>
      </c>
      <c r="G180" s="94" t="s">
        <v>260</v>
      </c>
      <c r="H180" s="92" t="s">
        <v>260</v>
      </c>
      <c r="I180" s="95" t="s">
        <v>260</v>
      </c>
      <c r="K180" s="92" t="s">
        <v>260</v>
      </c>
      <c r="L180" s="92" t="s">
        <v>260</v>
      </c>
      <c r="M180" s="96" t="s">
        <v>119</v>
      </c>
      <c r="O180" t="s">
        <v>9</v>
      </c>
      <c r="P180" t="s">
        <v>576</v>
      </c>
      <c r="Q180" t="s">
        <v>157</v>
      </c>
      <c r="T180" s="93"/>
      <c r="V180">
        <v>44</v>
      </c>
      <c r="W180" s="92"/>
    </row>
    <row r="181" spans="1:23" ht="29.1">
      <c r="A181">
        <v>81</v>
      </c>
      <c r="B181" s="91">
        <v>45957</v>
      </c>
      <c r="C181" t="s">
        <v>258</v>
      </c>
      <c r="D181" t="s">
        <v>552</v>
      </c>
      <c r="E181" s="92"/>
      <c r="F181" s="93">
        <v>931775092</v>
      </c>
      <c r="G181" s="94" t="s">
        <v>553</v>
      </c>
      <c r="H181" s="92" t="s">
        <v>554</v>
      </c>
      <c r="I181" s="95" t="s">
        <v>555</v>
      </c>
      <c r="K181" s="92" t="s">
        <v>43</v>
      </c>
      <c r="L181" s="92"/>
      <c r="M181" s="96" t="s">
        <v>119</v>
      </c>
      <c r="O181" t="s">
        <v>9</v>
      </c>
      <c r="P181" t="s">
        <v>556</v>
      </c>
      <c r="Q181" t="s">
        <v>236</v>
      </c>
      <c r="S181" t="s">
        <v>557</v>
      </c>
      <c r="T181" s="93">
        <v>6949</v>
      </c>
      <c r="V181">
        <v>44</v>
      </c>
      <c r="W181" s="92"/>
    </row>
    <row r="182" spans="1:23">
      <c r="A182">
        <v>82</v>
      </c>
      <c r="B182" s="91">
        <v>45957</v>
      </c>
      <c r="C182" t="s">
        <v>258</v>
      </c>
      <c r="D182" t="s">
        <v>260</v>
      </c>
      <c r="E182" s="92"/>
      <c r="F182" s="93">
        <v>966488772</v>
      </c>
      <c r="G182" s="94" t="s">
        <v>260</v>
      </c>
      <c r="H182" s="92" t="s">
        <v>260</v>
      </c>
      <c r="I182" s="95" t="s">
        <v>260</v>
      </c>
      <c r="K182" s="92" t="s">
        <v>260</v>
      </c>
      <c r="L182" s="92" t="s">
        <v>260</v>
      </c>
      <c r="M182" s="96"/>
      <c r="O182" t="s">
        <v>9</v>
      </c>
      <c r="P182" t="s">
        <v>577</v>
      </c>
      <c r="Q182" t="s">
        <v>157</v>
      </c>
      <c r="T182" s="93"/>
      <c r="V182">
        <v>44</v>
      </c>
      <c r="W182" s="92"/>
    </row>
    <row r="183" spans="1:23">
      <c r="A183">
        <v>83</v>
      </c>
      <c r="B183" s="91">
        <v>45957</v>
      </c>
      <c r="C183" t="s">
        <v>258</v>
      </c>
      <c r="D183" t="s">
        <v>260</v>
      </c>
      <c r="E183" s="92"/>
      <c r="F183" s="93">
        <v>932400450</v>
      </c>
      <c r="G183" s="94" t="s">
        <v>260</v>
      </c>
      <c r="H183" s="92" t="s">
        <v>260</v>
      </c>
      <c r="I183" s="95" t="s">
        <v>260</v>
      </c>
      <c r="K183" s="92" t="s">
        <v>260</v>
      </c>
      <c r="L183" s="92" t="s">
        <v>260</v>
      </c>
      <c r="M183" s="96"/>
      <c r="O183" t="s">
        <v>9</v>
      </c>
      <c r="P183" t="s">
        <v>578</v>
      </c>
      <c r="Q183" t="s">
        <v>157</v>
      </c>
      <c r="T183" s="93"/>
      <c r="V183">
        <v>44</v>
      </c>
      <c r="W183" s="92"/>
    </row>
    <row r="184" spans="1:23">
      <c r="A184">
        <v>84</v>
      </c>
      <c r="B184" s="91">
        <v>45957</v>
      </c>
      <c r="C184" t="s">
        <v>427</v>
      </c>
      <c r="E184" s="92" t="s">
        <v>292</v>
      </c>
      <c r="F184" s="93">
        <v>7005100</v>
      </c>
      <c r="G184" s="94" t="s">
        <v>435</v>
      </c>
      <c r="H184" s="92" t="s">
        <v>436</v>
      </c>
      <c r="I184" s="95"/>
      <c r="K184" s="92" t="s">
        <v>26</v>
      </c>
      <c r="L184" s="92" t="s">
        <v>437</v>
      </c>
      <c r="M184" s="96" t="s">
        <v>28</v>
      </c>
      <c r="O184" t="s">
        <v>30</v>
      </c>
      <c r="P184" t="s">
        <v>579</v>
      </c>
      <c r="Q184" t="s">
        <v>32</v>
      </c>
      <c r="T184" s="93"/>
      <c r="V184">
        <v>44</v>
      </c>
      <c r="W184" s="92"/>
    </row>
    <row r="185" spans="1:23">
      <c r="A185">
        <v>85</v>
      </c>
      <c r="B185" s="91">
        <v>45957</v>
      </c>
      <c r="C185" t="s">
        <v>258</v>
      </c>
      <c r="E185" s="92"/>
      <c r="F185" s="93">
        <v>4673047</v>
      </c>
      <c r="G185" s="94" t="s">
        <v>465</v>
      </c>
      <c r="H185" s="92" t="s">
        <v>466</v>
      </c>
      <c r="I185" s="95"/>
      <c r="K185" s="92" t="s">
        <v>26</v>
      </c>
      <c r="L185" s="92" t="s">
        <v>26</v>
      </c>
      <c r="M185" s="96" t="s">
        <v>28</v>
      </c>
      <c r="O185" t="s">
        <v>30</v>
      </c>
      <c r="P185" t="s">
        <v>563</v>
      </c>
      <c r="Q185" t="s">
        <v>32</v>
      </c>
      <c r="T185" s="93"/>
      <c r="V185">
        <v>44</v>
      </c>
      <c r="W185" s="92"/>
    </row>
    <row r="186" spans="1:23">
      <c r="A186">
        <v>86</v>
      </c>
      <c r="B186" s="91">
        <v>45957</v>
      </c>
      <c r="C186" t="s">
        <v>258</v>
      </c>
      <c r="E186" s="92"/>
      <c r="F186" s="93">
        <v>994894905</v>
      </c>
      <c r="G186" s="94" t="s">
        <v>468</v>
      </c>
      <c r="H186" s="92" t="s">
        <v>469</v>
      </c>
      <c r="I186" s="95"/>
      <c r="K186" s="92" t="s">
        <v>26</v>
      </c>
      <c r="L186" s="92" t="s">
        <v>470</v>
      </c>
      <c r="M186" s="96" t="s">
        <v>28</v>
      </c>
      <c r="O186" t="s">
        <v>30</v>
      </c>
      <c r="P186" t="s">
        <v>564</v>
      </c>
      <c r="Q186" t="s">
        <v>32</v>
      </c>
      <c r="T186" s="93"/>
      <c r="V186">
        <v>44</v>
      </c>
      <c r="W186" s="92"/>
    </row>
    <row r="187" spans="1:23">
      <c r="A187">
        <v>87</v>
      </c>
      <c r="B187" s="91">
        <v>45957</v>
      </c>
      <c r="C187" t="s">
        <v>258</v>
      </c>
      <c r="D187" t="s">
        <v>526</v>
      </c>
      <c r="E187" s="92"/>
      <c r="F187" s="93">
        <v>987934854</v>
      </c>
      <c r="G187" s="94" t="s">
        <v>472</v>
      </c>
      <c r="H187" s="92" t="s">
        <v>473</v>
      </c>
      <c r="I187" s="95"/>
      <c r="K187" s="92" t="s">
        <v>26</v>
      </c>
      <c r="L187" s="92" t="s">
        <v>470</v>
      </c>
      <c r="M187" s="96" t="s">
        <v>28</v>
      </c>
      <c r="O187" t="s">
        <v>30</v>
      </c>
      <c r="P187" t="s">
        <v>565</v>
      </c>
      <c r="Q187" t="s">
        <v>32</v>
      </c>
      <c r="T187" s="93"/>
      <c r="U187">
        <v>45960</v>
      </c>
      <c r="V187">
        <v>44</v>
      </c>
      <c r="W187" s="92"/>
    </row>
    <row r="188" spans="1:23">
      <c r="A188">
        <v>88</v>
      </c>
      <c r="B188" s="91">
        <v>45957</v>
      </c>
      <c r="C188" t="s">
        <v>258</v>
      </c>
      <c r="D188" t="s">
        <v>481</v>
      </c>
      <c r="E188" s="92" t="s">
        <v>204</v>
      </c>
      <c r="F188" s="93">
        <v>984755140</v>
      </c>
      <c r="G188" s="94" t="s">
        <v>482</v>
      </c>
      <c r="H188" s="92" t="s">
        <v>483</v>
      </c>
      <c r="I188" s="95">
        <v>10720799494</v>
      </c>
      <c r="K188" s="92" t="s">
        <v>484</v>
      </c>
      <c r="L188" s="92"/>
      <c r="M188" s="96" t="s">
        <v>28</v>
      </c>
      <c r="N188" t="s">
        <v>29</v>
      </c>
      <c r="O188" t="s">
        <v>9</v>
      </c>
      <c r="P188" t="s">
        <v>580</v>
      </c>
      <c r="Q188" t="s">
        <v>236</v>
      </c>
      <c r="T188" s="93"/>
      <c r="V188">
        <v>44</v>
      </c>
      <c r="W188" s="92"/>
    </row>
    <row r="189" spans="1:23" ht="29.1">
      <c r="A189">
        <v>89</v>
      </c>
      <c r="B189" s="91">
        <v>45957</v>
      </c>
      <c r="C189" t="s">
        <v>258</v>
      </c>
      <c r="D189" t="s">
        <v>504</v>
      </c>
      <c r="E189" s="92" t="s">
        <v>204</v>
      </c>
      <c r="F189" s="93">
        <v>905824331</v>
      </c>
      <c r="G189" s="94" t="s">
        <v>505</v>
      </c>
      <c r="H189" s="92" t="s">
        <v>488</v>
      </c>
      <c r="I189" s="95" t="s">
        <v>489</v>
      </c>
      <c r="K189" s="92" t="s">
        <v>26</v>
      </c>
      <c r="L189" s="92" t="s">
        <v>490</v>
      </c>
      <c r="M189" s="96" t="s">
        <v>119</v>
      </c>
      <c r="N189" t="s">
        <v>29</v>
      </c>
      <c r="O189" t="s">
        <v>9</v>
      </c>
      <c r="P189" t="s">
        <v>581</v>
      </c>
      <c r="Q189" t="s">
        <v>236</v>
      </c>
      <c r="S189" t="s">
        <v>532</v>
      </c>
      <c r="T189" s="93">
        <v>4340</v>
      </c>
      <c r="V189">
        <v>44</v>
      </c>
      <c r="W189" s="92"/>
    </row>
    <row r="190" spans="1:23">
      <c r="A190">
        <v>90</v>
      </c>
      <c r="B190" s="91">
        <v>45957</v>
      </c>
      <c r="C190" t="s">
        <v>258</v>
      </c>
      <c r="D190" t="s">
        <v>493</v>
      </c>
      <c r="E190" s="92" t="s">
        <v>204</v>
      </c>
      <c r="F190" s="93">
        <v>927100074</v>
      </c>
      <c r="G190" s="94" t="s">
        <v>494</v>
      </c>
      <c r="H190" s="92" t="s">
        <v>495</v>
      </c>
      <c r="I190" s="95">
        <v>20609379821</v>
      </c>
      <c r="K190" s="92" t="s">
        <v>43</v>
      </c>
      <c r="L190" s="92"/>
      <c r="M190" s="96" t="s">
        <v>496</v>
      </c>
      <c r="N190" t="s">
        <v>29</v>
      </c>
      <c r="O190" t="s">
        <v>9</v>
      </c>
      <c r="P190" t="s">
        <v>582</v>
      </c>
      <c r="Q190" t="s">
        <v>236</v>
      </c>
      <c r="S190" t="s">
        <v>498</v>
      </c>
      <c r="T190" s="93">
        <v>4340</v>
      </c>
      <c r="V190">
        <v>44</v>
      </c>
      <c r="W190" s="92"/>
    </row>
    <row r="191" spans="1:23" ht="29.1">
      <c r="A191">
        <v>91</v>
      </c>
      <c r="B191" s="91">
        <v>45957</v>
      </c>
      <c r="C191" t="s">
        <v>258</v>
      </c>
      <c r="D191" t="s">
        <v>499</v>
      </c>
      <c r="E191" s="92" t="s">
        <v>204</v>
      </c>
      <c r="F191" s="93">
        <v>950308250</v>
      </c>
      <c r="G191" s="94" t="s">
        <v>500</v>
      </c>
      <c r="H191" s="92" t="s">
        <v>501</v>
      </c>
      <c r="I191" s="95">
        <v>20614800659</v>
      </c>
      <c r="K191" s="92" t="s">
        <v>43</v>
      </c>
      <c r="L191" s="92"/>
      <c r="M191" s="96" t="s">
        <v>119</v>
      </c>
      <c r="N191" t="s">
        <v>29</v>
      </c>
      <c r="O191" t="s">
        <v>9</v>
      </c>
      <c r="P191" t="s">
        <v>582</v>
      </c>
      <c r="Q191" t="s">
        <v>236</v>
      </c>
      <c r="T191" s="93"/>
      <c r="V191">
        <v>44</v>
      </c>
      <c r="W191" s="92"/>
    </row>
    <row r="192" spans="1:23">
      <c r="A192">
        <v>92</v>
      </c>
      <c r="B192" s="91">
        <v>45957</v>
      </c>
      <c r="C192" t="s">
        <v>323</v>
      </c>
      <c r="D192" t="s">
        <v>324</v>
      </c>
      <c r="E192" s="92" t="s">
        <v>204</v>
      </c>
      <c r="F192" s="93">
        <v>949719738</v>
      </c>
      <c r="G192" s="94" t="s">
        <v>325</v>
      </c>
      <c r="H192" s="92" t="s">
        <v>326</v>
      </c>
      <c r="I192" s="95">
        <v>20601646367</v>
      </c>
      <c r="K192" s="92" t="s">
        <v>70</v>
      </c>
      <c r="L192" s="92"/>
      <c r="M192" s="96" t="s">
        <v>28</v>
      </c>
      <c r="N192" t="s">
        <v>29</v>
      </c>
      <c r="O192" t="s">
        <v>9</v>
      </c>
      <c r="P192" t="s">
        <v>583</v>
      </c>
      <c r="Q192" t="s">
        <v>534</v>
      </c>
      <c r="S192" t="s">
        <v>572</v>
      </c>
      <c r="T192" s="93">
        <v>7999</v>
      </c>
      <c r="V192">
        <v>44</v>
      </c>
      <c r="W192" s="92"/>
    </row>
    <row r="193" spans="1:23">
      <c r="A193">
        <v>93</v>
      </c>
      <c r="B193" s="91">
        <v>45957</v>
      </c>
      <c r="C193" t="s">
        <v>323</v>
      </c>
      <c r="D193" t="s">
        <v>324</v>
      </c>
      <c r="E193" s="92" t="s">
        <v>204</v>
      </c>
      <c r="F193" s="93">
        <v>949719738</v>
      </c>
      <c r="G193" s="94" t="s">
        <v>325</v>
      </c>
      <c r="H193" s="92" t="s">
        <v>326</v>
      </c>
      <c r="I193" s="95">
        <v>20601646367</v>
      </c>
      <c r="K193" s="92" t="s">
        <v>70</v>
      </c>
      <c r="L193" s="92"/>
      <c r="M193" s="96" t="s">
        <v>28</v>
      </c>
      <c r="N193" t="s">
        <v>29</v>
      </c>
      <c r="O193" t="s">
        <v>9</v>
      </c>
      <c r="P193" t="s">
        <v>583</v>
      </c>
      <c r="Q193" t="s">
        <v>534</v>
      </c>
      <c r="S193" t="s">
        <v>573</v>
      </c>
      <c r="T193" s="93">
        <v>6500</v>
      </c>
      <c r="V193">
        <v>44</v>
      </c>
      <c r="W193" s="92"/>
    </row>
    <row r="194" spans="1:23" ht="57.95">
      <c r="A194">
        <v>94</v>
      </c>
      <c r="B194" s="91">
        <v>45957</v>
      </c>
      <c r="C194" t="s">
        <v>258</v>
      </c>
      <c r="D194" t="s">
        <v>535</v>
      </c>
      <c r="E194" s="92" t="s">
        <v>204</v>
      </c>
      <c r="F194" s="93">
        <v>961785460</v>
      </c>
      <c r="G194" s="94" t="s">
        <v>536</v>
      </c>
      <c r="H194" s="92" t="s">
        <v>537</v>
      </c>
      <c r="I194" s="95">
        <v>20537054728</v>
      </c>
      <c r="K194" s="92" t="s">
        <v>26</v>
      </c>
      <c r="L194" s="92" t="s">
        <v>538</v>
      </c>
      <c r="M194" s="96" t="s">
        <v>136</v>
      </c>
      <c r="N194" t="s">
        <v>29</v>
      </c>
      <c r="O194" t="s">
        <v>9</v>
      </c>
      <c r="P194" t="s">
        <v>584</v>
      </c>
      <c r="Q194" t="s">
        <v>236</v>
      </c>
      <c r="S194" t="s">
        <v>540</v>
      </c>
      <c r="T194" s="93">
        <v>4340</v>
      </c>
      <c r="V194">
        <v>44</v>
      </c>
      <c r="W194" s="92"/>
    </row>
    <row r="195" spans="1:23" ht="29.1">
      <c r="A195">
        <v>95</v>
      </c>
      <c r="B195" s="91">
        <v>45957</v>
      </c>
      <c r="C195" t="s">
        <v>258</v>
      </c>
      <c r="D195" t="s">
        <v>541</v>
      </c>
      <c r="E195" s="92" t="s">
        <v>204</v>
      </c>
      <c r="F195" s="93">
        <v>971763270</v>
      </c>
      <c r="G195" s="94" t="s">
        <v>542</v>
      </c>
      <c r="H195" s="92" t="s">
        <v>543</v>
      </c>
      <c r="I195" s="95" t="s">
        <v>544</v>
      </c>
      <c r="K195" s="92" t="s">
        <v>43</v>
      </c>
      <c r="L195" s="92"/>
      <c r="M195" s="96" t="s">
        <v>119</v>
      </c>
      <c r="N195" t="s">
        <v>29</v>
      </c>
      <c r="O195" t="s">
        <v>9</v>
      </c>
      <c r="P195" t="s">
        <v>585</v>
      </c>
      <c r="Q195" t="s">
        <v>236</v>
      </c>
      <c r="S195" t="s">
        <v>546</v>
      </c>
      <c r="T195" s="93">
        <v>6949</v>
      </c>
      <c r="V195">
        <v>44</v>
      </c>
      <c r="W195" s="92"/>
    </row>
    <row r="196" spans="1:23" ht="29.1">
      <c r="A196">
        <v>96</v>
      </c>
      <c r="B196" s="91">
        <v>45957</v>
      </c>
      <c r="C196" t="s">
        <v>258</v>
      </c>
      <c r="D196" t="s">
        <v>547</v>
      </c>
      <c r="E196" s="92"/>
      <c r="F196" s="93">
        <v>990216016</v>
      </c>
      <c r="G196" s="94" t="s">
        <v>233</v>
      </c>
      <c r="H196" s="92" t="s">
        <v>260</v>
      </c>
      <c r="I196" s="95"/>
      <c r="K196" s="92"/>
      <c r="L196" s="92"/>
      <c r="M196" s="96" t="s">
        <v>119</v>
      </c>
      <c r="N196" t="s">
        <v>29</v>
      </c>
      <c r="O196" t="s">
        <v>9</v>
      </c>
      <c r="P196" t="s">
        <v>261</v>
      </c>
      <c r="Q196" t="s">
        <v>157</v>
      </c>
      <c r="T196" s="93"/>
      <c r="V196">
        <v>44</v>
      </c>
      <c r="W196" s="92"/>
    </row>
    <row r="197" spans="1:23">
      <c r="A197">
        <v>97</v>
      </c>
      <c r="B197" s="91">
        <v>45957</v>
      </c>
      <c r="C197" t="s">
        <v>258</v>
      </c>
      <c r="D197" t="s">
        <v>586</v>
      </c>
      <c r="E197" s="92"/>
      <c r="F197" s="93">
        <v>931055469</v>
      </c>
      <c r="G197" s="94" t="s">
        <v>587</v>
      </c>
      <c r="H197" s="92"/>
      <c r="I197" s="95"/>
      <c r="K197" s="92"/>
      <c r="L197" s="92"/>
      <c r="M197" s="96"/>
      <c r="N197" t="s">
        <v>29</v>
      </c>
      <c r="O197" t="s">
        <v>9</v>
      </c>
      <c r="P197" t="s">
        <v>588</v>
      </c>
      <c r="Q197" t="s">
        <v>157</v>
      </c>
      <c r="T197" s="93"/>
      <c r="V197">
        <v>44</v>
      </c>
      <c r="W197" s="92"/>
    </row>
    <row r="198" spans="1:23" ht="29.1">
      <c r="A198">
        <v>98</v>
      </c>
      <c r="B198" s="91">
        <v>45957</v>
      </c>
      <c r="C198" t="s">
        <v>258</v>
      </c>
      <c r="D198" t="s">
        <v>589</v>
      </c>
      <c r="E198" s="92"/>
      <c r="F198" s="93">
        <v>959916260</v>
      </c>
      <c r="G198" s="94" t="s">
        <v>590</v>
      </c>
      <c r="H198" s="92"/>
      <c r="I198" s="95"/>
      <c r="K198" s="92"/>
      <c r="L198" s="92"/>
      <c r="M198" s="96" t="s">
        <v>119</v>
      </c>
      <c r="N198" t="s">
        <v>29</v>
      </c>
      <c r="O198" t="s">
        <v>9</v>
      </c>
      <c r="P198" t="s">
        <v>591</v>
      </c>
      <c r="T198" s="93"/>
      <c r="V198">
        <v>44</v>
      </c>
      <c r="W198" s="92"/>
    </row>
    <row r="199" spans="1:23">
      <c r="A199">
        <v>99</v>
      </c>
      <c r="B199" s="91">
        <v>45957</v>
      </c>
      <c r="C199" t="s">
        <v>258</v>
      </c>
      <c r="E199" s="92"/>
      <c r="F199" s="93">
        <v>4332579</v>
      </c>
      <c r="G199" s="94"/>
      <c r="H199" s="92" t="s">
        <v>592</v>
      </c>
      <c r="I199" s="95"/>
      <c r="K199" s="92" t="s">
        <v>26</v>
      </c>
      <c r="L199" s="92" t="s">
        <v>593</v>
      </c>
      <c r="M199" s="96" t="s">
        <v>28</v>
      </c>
      <c r="N199" t="s">
        <v>29</v>
      </c>
      <c r="O199" t="s">
        <v>9</v>
      </c>
      <c r="P199" t="s">
        <v>594</v>
      </c>
      <c r="Q199" t="s">
        <v>32</v>
      </c>
      <c r="T199" s="93"/>
      <c r="V199">
        <v>44</v>
      </c>
      <c r="W199" s="92"/>
    </row>
    <row r="200" spans="1:23">
      <c r="A200">
        <v>100</v>
      </c>
      <c r="B200" s="91">
        <v>45957</v>
      </c>
      <c r="C200" t="s">
        <v>258</v>
      </c>
      <c r="E200" s="92"/>
      <c r="F200" s="93">
        <v>2651754</v>
      </c>
      <c r="G200" s="94"/>
      <c r="H200" s="92" t="s">
        <v>595</v>
      </c>
      <c r="I200" s="95"/>
      <c r="K200" s="92" t="s">
        <v>26</v>
      </c>
      <c r="L200" s="92" t="s">
        <v>593</v>
      </c>
      <c r="M200" s="96" t="s">
        <v>28</v>
      </c>
      <c r="N200" t="s">
        <v>29</v>
      </c>
      <c r="O200" t="s">
        <v>9</v>
      </c>
      <c r="P200" t="s">
        <v>596</v>
      </c>
      <c r="Q200" t="s">
        <v>32</v>
      </c>
      <c r="T200" s="93"/>
      <c r="V200">
        <v>44</v>
      </c>
      <c r="W200" s="92"/>
    </row>
    <row r="201" spans="1:23">
      <c r="A201">
        <v>101</v>
      </c>
      <c r="B201" s="91">
        <v>45957</v>
      </c>
      <c r="C201" t="s">
        <v>258</v>
      </c>
      <c r="D201" t="s">
        <v>597</v>
      </c>
      <c r="E201" s="92" t="s">
        <v>598</v>
      </c>
      <c r="F201" s="93">
        <v>989160343</v>
      </c>
      <c r="G201" s="94" t="s">
        <v>599</v>
      </c>
      <c r="H201" s="92" t="s">
        <v>600</v>
      </c>
      <c r="I201" s="95"/>
      <c r="K201" s="92" t="s">
        <v>26</v>
      </c>
      <c r="L201" s="92" t="s">
        <v>470</v>
      </c>
      <c r="M201" s="96" t="s">
        <v>28</v>
      </c>
      <c r="O201" t="s">
        <v>30</v>
      </c>
      <c r="P201" t="s">
        <v>601</v>
      </c>
      <c r="Q201" t="s">
        <v>32</v>
      </c>
      <c r="T201" s="93"/>
      <c r="V201">
        <v>44</v>
      </c>
      <c r="W201" s="92"/>
    </row>
    <row r="202" spans="1:23">
      <c r="A202">
        <v>102</v>
      </c>
      <c r="B202" s="91">
        <v>45957</v>
      </c>
      <c r="C202" t="s">
        <v>258</v>
      </c>
      <c r="D202" t="s">
        <v>602</v>
      </c>
      <c r="E202" s="92" t="s">
        <v>215</v>
      </c>
      <c r="F202" s="93"/>
      <c r="G202" s="94" t="s">
        <v>603</v>
      </c>
      <c r="H202" s="92" t="s">
        <v>604</v>
      </c>
      <c r="I202" s="95"/>
      <c r="K202" s="92"/>
      <c r="L202" s="92"/>
      <c r="M202" s="96" t="s">
        <v>28</v>
      </c>
      <c r="O202" t="s">
        <v>30</v>
      </c>
      <c r="P202" t="s">
        <v>605</v>
      </c>
      <c r="Q202" t="s">
        <v>32</v>
      </c>
      <c r="T202" s="93"/>
      <c r="V202">
        <v>44</v>
      </c>
      <c r="W202" s="92"/>
    </row>
    <row r="203" spans="1:23">
      <c r="A203">
        <v>103</v>
      </c>
      <c r="B203" s="91">
        <v>45957</v>
      </c>
      <c r="C203" t="s">
        <v>258</v>
      </c>
      <c r="D203" t="s">
        <v>606</v>
      </c>
      <c r="E203" s="92" t="s">
        <v>607</v>
      </c>
      <c r="F203" s="93"/>
      <c r="G203" s="94"/>
      <c r="H203" s="92" t="s">
        <v>608</v>
      </c>
      <c r="I203" s="95"/>
      <c r="K203" s="92" t="s">
        <v>26</v>
      </c>
      <c r="L203" s="92" t="s">
        <v>26</v>
      </c>
      <c r="M203" s="96" t="s">
        <v>28</v>
      </c>
      <c r="O203" t="s">
        <v>30</v>
      </c>
      <c r="P203" t="s">
        <v>609</v>
      </c>
      <c r="Q203" t="s">
        <v>32</v>
      </c>
      <c r="T203" s="93"/>
      <c r="V203">
        <v>44</v>
      </c>
      <c r="W203" s="92"/>
    </row>
    <row r="204" spans="1:23" ht="29.1">
      <c r="A204">
        <v>104</v>
      </c>
      <c r="B204" s="91">
        <v>45957</v>
      </c>
      <c r="C204" t="s">
        <v>258</v>
      </c>
      <c r="D204" t="s">
        <v>610</v>
      </c>
      <c r="E204" s="92" t="s">
        <v>227</v>
      </c>
      <c r="F204" s="93" t="s">
        <v>611</v>
      </c>
      <c r="G204" s="94" t="s">
        <v>612</v>
      </c>
      <c r="H204" s="92" t="s">
        <v>613</v>
      </c>
      <c r="I204" s="95">
        <v>20608752766</v>
      </c>
      <c r="K204" s="92" t="s">
        <v>26</v>
      </c>
      <c r="L204" s="92"/>
      <c r="M204" s="96" t="s">
        <v>119</v>
      </c>
      <c r="O204" t="s">
        <v>30</v>
      </c>
      <c r="P204" t="s">
        <v>614</v>
      </c>
      <c r="Q204" t="s">
        <v>32</v>
      </c>
      <c r="T204" s="93"/>
      <c r="V204">
        <v>44</v>
      </c>
      <c r="W204" s="92"/>
    </row>
    <row r="205" spans="1:23">
      <c r="A205">
        <v>105</v>
      </c>
      <c r="B205" s="91">
        <v>45957</v>
      </c>
      <c r="C205" t="s">
        <v>258</v>
      </c>
      <c r="E205" s="92"/>
      <c r="F205" s="93">
        <v>3483730</v>
      </c>
      <c r="G205" s="94" t="s">
        <v>615</v>
      </c>
      <c r="H205" s="92" t="s">
        <v>616</v>
      </c>
      <c r="I205" s="95"/>
      <c r="K205" s="92" t="s">
        <v>26</v>
      </c>
      <c r="L205" s="92" t="s">
        <v>617</v>
      </c>
      <c r="M205" s="96" t="s">
        <v>28</v>
      </c>
      <c r="O205" t="s">
        <v>30</v>
      </c>
      <c r="P205" t="s">
        <v>618</v>
      </c>
      <c r="Q205" t="s">
        <v>32</v>
      </c>
      <c r="T205" s="93"/>
      <c r="V205">
        <v>44</v>
      </c>
      <c r="W205" s="92"/>
    </row>
    <row r="206" spans="1:23">
      <c r="A206">
        <v>106</v>
      </c>
      <c r="B206" s="91">
        <v>45957</v>
      </c>
      <c r="C206" t="s">
        <v>258</v>
      </c>
      <c r="E206" s="92"/>
      <c r="F206" s="93">
        <v>4722685</v>
      </c>
      <c r="G206" s="94" t="s">
        <v>619</v>
      </c>
      <c r="H206" s="92" t="s">
        <v>620</v>
      </c>
      <c r="I206" s="95"/>
      <c r="K206" s="92" t="s">
        <v>26</v>
      </c>
      <c r="L206" s="92" t="s">
        <v>621</v>
      </c>
      <c r="M206" s="96" t="s">
        <v>28</v>
      </c>
      <c r="O206" t="s">
        <v>30</v>
      </c>
      <c r="P206" t="s">
        <v>618</v>
      </c>
      <c r="Q206" t="s">
        <v>32</v>
      </c>
      <c r="T206" s="93"/>
      <c r="V206">
        <v>44</v>
      </c>
      <c r="W206" s="92"/>
    </row>
    <row r="207" spans="1:23" ht="159.6">
      <c r="A207">
        <v>107</v>
      </c>
      <c r="B207" s="91">
        <v>45958</v>
      </c>
      <c r="C207" t="s">
        <v>258</v>
      </c>
      <c r="D207" t="s">
        <v>244</v>
      </c>
      <c r="E207" s="92"/>
      <c r="F207" s="93">
        <v>915244218</v>
      </c>
      <c r="G207" s="94" t="s">
        <v>245</v>
      </c>
      <c r="H207" s="96" t="s">
        <v>622</v>
      </c>
      <c r="I207" s="95" t="s">
        <v>549</v>
      </c>
      <c r="K207" s="92" t="s">
        <v>26</v>
      </c>
      <c r="L207" s="92" t="s">
        <v>247</v>
      </c>
      <c r="M207" s="96" t="s">
        <v>119</v>
      </c>
      <c r="O207" t="s">
        <v>9</v>
      </c>
      <c r="P207" s="97" t="s">
        <v>623</v>
      </c>
      <c r="Q207" s="97" t="s">
        <v>150</v>
      </c>
      <c r="S207" t="s">
        <v>249</v>
      </c>
      <c r="T207" s="93">
        <v>4340</v>
      </c>
      <c r="V207">
        <v>44</v>
      </c>
      <c r="W207" s="92"/>
    </row>
    <row r="208" spans="1:23" ht="101.45">
      <c r="A208">
        <v>108</v>
      </c>
      <c r="B208" s="91">
        <v>45958</v>
      </c>
      <c r="C208" t="s">
        <v>258</v>
      </c>
      <c r="D208" t="s">
        <v>260</v>
      </c>
      <c r="E208" s="92"/>
      <c r="F208" s="93">
        <v>960191115</v>
      </c>
      <c r="G208" s="94" t="s">
        <v>260</v>
      </c>
      <c r="H208" s="96" t="s">
        <v>624</v>
      </c>
      <c r="I208" s="95" t="s">
        <v>260</v>
      </c>
      <c r="K208" s="92" t="s">
        <v>260</v>
      </c>
      <c r="L208" s="92" t="s">
        <v>260</v>
      </c>
      <c r="M208" s="96" t="s">
        <v>119</v>
      </c>
      <c r="O208" t="s">
        <v>9</v>
      </c>
      <c r="P208" t="s">
        <v>577</v>
      </c>
      <c r="Q208" t="s">
        <v>157</v>
      </c>
      <c r="T208" s="93"/>
      <c r="V208">
        <v>44</v>
      </c>
      <c r="W208" s="92"/>
    </row>
    <row r="209" spans="1:23" ht="43.5">
      <c r="A209">
        <v>109</v>
      </c>
      <c r="B209" s="91">
        <v>45958</v>
      </c>
      <c r="C209" t="s">
        <v>258</v>
      </c>
      <c r="D209" t="s">
        <v>552</v>
      </c>
      <c r="E209" s="92"/>
      <c r="F209" s="93">
        <v>931775092</v>
      </c>
      <c r="G209" s="94" t="s">
        <v>553</v>
      </c>
      <c r="H209" s="97" t="s">
        <v>625</v>
      </c>
      <c r="I209" s="95" t="s">
        <v>555</v>
      </c>
      <c r="K209" s="92" t="s">
        <v>43</v>
      </c>
      <c r="L209" s="92"/>
      <c r="M209" s="96" t="s">
        <v>119</v>
      </c>
      <c r="O209" t="s">
        <v>9</v>
      </c>
      <c r="P209" s="97" t="s">
        <v>626</v>
      </c>
      <c r="Q209" t="s">
        <v>236</v>
      </c>
      <c r="S209" t="s">
        <v>557</v>
      </c>
      <c r="T209" s="93">
        <v>6949</v>
      </c>
      <c r="V209">
        <v>44</v>
      </c>
      <c r="W209" s="92"/>
    </row>
    <row r="210" spans="1:23">
      <c r="A210">
        <v>110</v>
      </c>
      <c r="B210" s="91">
        <v>45958</v>
      </c>
      <c r="C210" t="s">
        <v>258</v>
      </c>
      <c r="D210" t="s">
        <v>260</v>
      </c>
      <c r="E210" s="92"/>
      <c r="F210" s="93">
        <v>966488772</v>
      </c>
      <c r="G210" s="94" t="s">
        <v>260</v>
      </c>
      <c r="H210" s="92" t="s">
        <v>260</v>
      </c>
      <c r="I210" s="95" t="s">
        <v>260</v>
      </c>
      <c r="K210" s="92" t="s">
        <v>260</v>
      </c>
      <c r="L210" s="92" t="s">
        <v>260</v>
      </c>
      <c r="M210" s="96"/>
      <c r="O210" t="s">
        <v>9</v>
      </c>
      <c r="P210" t="s">
        <v>577</v>
      </c>
      <c r="Q210" t="s">
        <v>157</v>
      </c>
      <c r="T210" s="93"/>
      <c r="V210">
        <v>44</v>
      </c>
      <c r="W210" s="92"/>
    </row>
    <row r="211" spans="1:23">
      <c r="A211">
        <v>111</v>
      </c>
      <c r="B211" s="91">
        <v>45958</v>
      </c>
      <c r="C211" t="s">
        <v>258</v>
      </c>
      <c r="D211" t="s">
        <v>260</v>
      </c>
      <c r="E211" s="92"/>
      <c r="F211" s="93">
        <v>932400450</v>
      </c>
      <c r="G211" s="94" t="s">
        <v>260</v>
      </c>
      <c r="H211" s="92" t="s">
        <v>260</v>
      </c>
      <c r="I211" s="95" t="s">
        <v>260</v>
      </c>
      <c r="K211" s="92" t="s">
        <v>260</v>
      </c>
      <c r="L211" s="92" t="s">
        <v>260</v>
      </c>
      <c r="M211" s="96"/>
      <c r="O211" t="s">
        <v>9</v>
      </c>
      <c r="P211" s="97" t="s">
        <v>627</v>
      </c>
      <c r="Q211" t="s">
        <v>157</v>
      </c>
      <c r="T211" s="93"/>
      <c r="V211">
        <v>44</v>
      </c>
      <c r="W211" s="92"/>
    </row>
    <row r="212" spans="1:23">
      <c r="A212">
        <v>112</v>
      </c>
      <c r="B212" s="91">
        <v>45958</v>
      </c>
      <c r="C212" t="s">
        <v>258</v>
      </c>
      <c r="E212" s="92"/>
      <c r="F212" s="93">
        <v>994894905</v>
      </c>
      <c r="G212" s="94" t="s">
        <v>468</v>
      </c>
      <c r="H212" s="92" t="s">
        <v>469</v>
      </c>
      <c r="I212" s="95"/>
      <c r="K212" s="92" t="s">
        <v>26</v>
      </c>
      <c r="L212" s="92" t="s">
        <v>470</v>
      </c>
      <c r="M212" s="96" t="s">
        <v>28</v>
      </c>
      <c r="O212" t="s">
        <v>30</v>
      </c>
      <c r="P212" t="s">
        <v>564</v>
      </c>
      <c r="Q212" t="s">
        <v>32</v>
      </c>
      <c r="T212" s="93"/>
      <c r="V212">
        <v>44</v>
      </c>
      <c r="W212" s="92"/>
    </row>
    <row r="213" spans="1:23">
      <c r="A213">
        <v>113</v>
      </c>
      <c r="B213" s="91">
        <v>45958</v>
      </c>
      <c r="C213" t="s">
        <v>258</v>
      </c>
      <c r="D213" t="s">
        <v>526</v>
      </c>
      <c r="E213" s="92"/>
      <c r="F213" s="93">
        <v>987934854</v>
      </c>
      <c r="G213" s="94" t="s">
        <v>472</v>
      </c>
      <c r="H213" s="92" t="s">
        <v>473</v>
      </c>
      <c r="I213" s="95"/>
      <c r="K213" s="92" t="s">
        <v>26</v>
      </c>
      <c r="L213" s="92" t="s">
        <v>470</v>
      </c>
      <c r="M213" s="96" t="s">
        <v>28</v>
      </c>
      <c r="O213" t="s">
        <v>30</v>
      </c>
      <c r="P213" t="s">
        <v>565</v>
      </c>
      <c r="Q213" t="s">
        <v>32</v>
      </c>
      <c r="T213" s="93"/>
      <c r="U213">
        <v>45960</v>
      </c>
      <c r="V213">
        <v>44</v>
      </c>
      <c r="W213" s="92"/>
    </row>
    <row r="214" spans="1:23">
      <c r="A214">
        <v>114</v>
      </c>
      <c r="B214" s="91">
        <v>45958</v>
      </c>
      <c r="C214" t="s">
        <v>258</v>
      </c>
      <c r="D214" t="s">
        <v>481</v>
      </c>
      <c r="E214" s="92" t="s">
        <v>204</v>
      </c>
      <c r="F214" s="93">
        <v>984755140</v>
      </c>
      <c r="G214" s="94" t="s">
        <v>482</v>
      </c>
      <c r="H214" s="92" t="s">
        <v>483</v>
      </c>
      <c r="I214" s="104">
        <v>10720799494</v>
      </c>
      <c r="K214" s="92" t="s">
        <v>484</v>
      </c>
      <c r="L214" s="92"/>
      <c r="M214" s="96" t="s">
        <v>28</v>
      </c>
      <c r="N214" t="s">
        <v>29</v>
      </c>
      <c r="O214" t="s">
        <v>9</v>
      </c>
      <c r="P214" t="s">
        <v>580</v>
      </c>
      <c r="Q214" t="s">
        <v>236</v>
      </c>
      <c r="T214" s="93"/>
      <c r="V214">
        <v>44</v>
      </c>
      <c r="W214" s="92"/>
    </row>
    <row r="215" spans="1:23" ht="29.1">
      <c r="A215">
        <v>115</v>
      </c>
      <c r="B215" s="91">
        <v>45958</v>
      </c>
      <c r="C215" t="s">
        <v>258</v>
      </c>
      <c r="D215" t="s">
        <v>504</v>
      </c>
      <c r="E215" s="92" t="s">
        <v>204</v>
      </c>
      <c r="F215" s="93">
        <v>905824331</v>
      </c>
      <c r="G215" s="94" t="s">
        <v>505</v>
      </c>
      <c r="H215" s="92" t="s">
        <v>488</v>
      </c>
      <c r="I215" s="104" t="s">
        <v>489</v>
      </c>
      <c r="K215" s="92" t="s">
        <v>43</v>
      </c>
      <c r="L215" s="92"/>
      <c r="M215" s="96" t="s">
        <v>119</v>
      </c>
      <c r="N215" t="s">
        <v>29</v>
      </c>
      <c r="O215" t="s">
        <v>9</v>
      </c>
      <c r="P215" s="97" t="s">
        <v>628</v>
      </c>
      <c r="Q215" s="97" t="s">
        <v>150</v>
      </c>
      <c r="S215" t="s">
        <v>532</v>
      </c>
      <c r="T215" s="93">
        <v>4340</v>
      </c>
      <c r="V215">
        <v>44</v>
      </c>
      <c r="W215" s="92"/>
    </row>
    <row r="216" spans="1:23">
      <c r="A216">
        <v>116</v>
      </c>
      <c r="B216" s="91">
        <v>45958</v>
      </c>
      <c r="C216" t="s">
        <v>258</v>
      </c>
      <c r="D216" t="s">
        <v>493</v>
      </c>
      <c r="E216" s="92" t="s">
        <v>204</v>
      </c>
      <c r="F216" s="93">
        <v>927100074</v>
      </c>
      <c r="G216" s="94" t="s">
        <v>494</v>
      </c>
      <c r="H216" s="92" t="s">
        <v>495</v>
      </c>
      <c r="I216" s="104">
        <v>20609379821</v>
      </c>
      <c r="K216" s="92" t="s">
        <v>43</v>
      </c>
      <c r="L216" s="92"/>
      <c r="M216" s="96" t="s">
        <v>496</v>
      </c>
      <c r="N216" t="s">
        <v>29</v>
      </c>
      <c r="O216" t="s">
        <v>9</v>
      </c>
      <c r="P216" t="s">
        <v>582</v>
      </c>
      <c r="Q216" t="s">
        <v>236</v>
      </c>
      <c r="S216" t="s">
        <v>498</v>
      </c>
      <c r="T216" s="93">
        <v>4340</v>
      </c>
      <c r="V216">
        <v>44</v>
      </c>
      <c r="W216" s="92"/>
    </row>
    <row r="217" spans="1:23" ht="29.1">
      <c r="A217">
        <v>117</v>
      </c>
      <c r="B217" s="91">
        <v>45958</v>
      </c>
      <c r="C217" t="s">
        <v>258</v>
      </c>
      <c r="D217" t="s">
        <v>499</v>
      </c>
      <c r="E217" s="92" t="s">
        <v>204</v>
      </c>
      <c r="F217" s="93">
        <v>950308250</v>
      </c>
      <c r="G217" s="94" t="s">
        <v>500</v>
      </c>
      <c r="H217" s="92" t="s">
        <v>501</v>
      </c>
      <c r="I217" s="104">
        <v>20614800659</v>
      </c>
      <c r="K217" s="92" t="s">
        <v>43</v>
      </c>
      <c r="L217" s="92"/>
      <c r="M217" s="96" t="s">
        <v>119</v>
      </c>
      <c r="N217" t="s">
        <v>29</v>
      </c>
      <c r="O217" t="s">
        <v>9</v>
      </c>
      <c r="P217" t="s">
        <v>582</v>
      </c>
      <c r="Q217" t="s">
        <v>236</v>
      </c>
      <c r="S217" t="s">
        <v>503</v>
      </c>
      <c r="T217" s="93">
        <v>4340</v>
      </c>
      <c r="V217">
        <v>44</v>
      </c>
      <c r="W217" s="92"/>
    </row>
    <row r="218" spans="1:23">
      <c r="A218">
        <v>118</v>
      </c>
      <c r="B218" s="91">
        <v>45958</v>
      </c>
      <c r="C218" t="s">
        <v>323</v>
      </c>
      <c r="D218" t="s">
        <v>324</v>
      </c>
      <c r="E218" s="92" t="s">
        <v>204</v>
      </c>
      <c r="F218" s="93">
        <v>949719738</v>
      </c>
      <c r="G218" s="94" t="s">
        <v>325</v>
      </c>
      <c r="H218" s="92" t="s">
        <v>326</v>
      </c>
      <c r="I218" s="104">
        <v>20601646367</v>
      </c>
      <c r="K218" s="92" t="s">
        <v>70</v>
      </c>
      <c r="L218" s="92"/>
      <c r="M218" s="96" t="s">
        <v>28</v>
      </c>
      <c r="N218" t="s">
        <v>29</v>
      </c>
      <c r="O218" t="s">
        <v>9</v>
      </c>
      <c r="P218" s="97" t="s">
        <v>629</v>
      </c>
      <c r="Q218" t="s">
        <v>236</v>
      </c>
      <c r="S218" t="s">
        <v>572</v>
      </c>
      <c r="T218" s="93">
        <v>7999</v>
      </c>
      <c r="V218">
        <v>44</v>
      </c>
      <c r="W218" s="92"/>
    </row>
    <row r="219" spans="1:23">
      <c r="A219">
        <v>119</v>
      </c>
      <c r="B219" s="91">
        <v>45958</v>
      </c>
      <c r="C219" t="s">
        <v>323</v>
      </c>
      <c r="D219" t="s">
        <v>324</v>
      </c>
      <c r="E219" s="92" t="s">
        <v>204</v>
      </c>
      <c r="F219" s="93">
        <v>949719738</v>
      </c>
      <c r="G219" s="94" t="s">
        <v>325</v>
      </c>
      <c r="H219" s="92" t="s">
        <v>326</v>
      </c>
      <c r="I219" s="104">
        <v>20601646367</v>
      </c>
      <c r="K219" s="92" t="s">
        <v>70</v>
      </c>
      <c r="L219" s="92"/>
      <c r="M219" s="96" t="s">
        <v>28</v>
      </c>
      <c r="N219" t="s">
        <v>29</v>
      </c>
      <c r="O219" t="s">
        <v>9</v>
      </c>
      <c r="P219" s="97" t="s">
        <v>629</v>
      </c>
      <c r="Q219" t="s">
        <v>236</v>
      </c>
      <c r="S219" t="s">
        <v>573</v>
      </c>
      <c r="T219" s="93">
        <v>6500</v>
      </c>
      <c r="V219">
        <v>44</v>
      </c>
      <c r="W219" s="92"/>
    </row>
    <row r="220" spans="1:23" ht="57.95">
      <c r="A220">
        <v>120</v>
      </c>
      <c r="B220" s="91">
        <v>45958</v>
      </c>
      <c r="C220" t="s">
        <v>258</v>
      </c>
      <c r="D220" t="s">
        <v>535</v>
      </c>
      <c r="E220" s="92" t="s">
        <v>204</v>
      </c>
      <c r="F220" s="93">
        <v>961785460</v>
      </c>
      <c r="G220" s="94" t="s">
        <v>536</v>
      </c>
      <c r="H220" s="92" t="s">
        <v>537</v>
      </c>
      <c r="I220" s="104">
        <v>20537054728</v>
      </c>
      <c r="K220" s="92" t="s">
        <v>26</v>
      </c>
      <c r="L220" s="92" t="s">
        <v>538</v>
      </c>
      <c r="M220" s="96" t="s">
        <v>136</v>
      </c>
      <c r="N220" t="s">
        <v>29</v>
      </c>
      <c r="O220" t="s">
        <v>9</v>
      </c>
      <c r="P220" s="97" t="s">
        <v>630</v>
      </c>
      <c r="Q220" t="s">
        <v>32</v>
      </c>
      <c r="S220" t="s">
        <v>631</v>
      </c>
      <c r="T220" s="93">
        <v>4340</v>
      </c>
      <c r="V220">
        <v>44</v>
      </c>
      <c r="W220" s="92"/>
    </row>
    <row r="221" spans="1:23" ht="29.1">
      <c r="A221">
        <v>121</v>
      </c>
      <c r="B221" s="91">
        <v>45958</v>
      </c>
      <c r="C221" t="s">
        <v>258</v>
      </c>
      <c r="D221" t="s">
        <v>541</v>
      </c>
      <c r="E221" s="92" t="s">
        <v>204</v>
      </c>
      <c r="F221" s="93">
        <v>971763270</v>
      </c>
      <c r="G221" s="94" t="s">
        <v>542</v>
      </c>
      <c r="H221" s="92" t="s">
        <v>543</v>
      </c>
      <c r="I221" s="95" t="s">
        <v>544</v>
      </c>
      <c r="K221" s="92" t="s">
        <v>43</v>
      </c>
      <c r="L221" s="92"/>
      <c r="M221" s="96" t="s">
        <v>119</v>
      </c>
      <c r="N221" t="s">
        <v>29</v>
      </c>
      <c r="O221" t="s">
        <v>9</v>
      </c>
      <c r="P221" s="97" t="s">
        <v>632</v>
      </c>
      <c r="Q221" t="s">
        <v>236</v>
      </c>
      <c r="S221" t="s">
        <v>633</v>
      </c>
      <c r="T221" s="93">
        <v>6949</v>
      </c>
      <c r="V221">
        <v>44</v>
      </c>
      <c r="W221" s="92"/>
    </row>
    <row r="222" spans="1:23" ht="29.1">
      <c r="A222">
        <v>122</v>
      </c>
      <c r="B222" s="91">
        <v>45958</v>
      </c>
      <c r="C222" t="s">
        <v>258</v>
      </c>
      <c r="D222" t="s">
        <v>547</v>
      </c>
      <c r="E222" s="92"/>
      <c r="F222" s="93">
        <v>990216016</v>
      </c>
      <c r="G222" s="94" t="s">
        <v>233</v>
      </c>
      <c r="H222" s="92" t="s">
        <v>260</v>
      </c>
      <c r="I222" s="95"/>
      <c r="K222" s="92"/>
      <c r="L222" s="92"/>
      <c r="M222" s="96" t="s">
        <v>119</v>
      </c>
      <c r="N222" t="s">
        <v>29</v>
      </c>
      <c r="O222" t="s">
        <v>9</v>
      </c>
      <c r="P222" s="97" t="s">
        <v>262</v>
      </c>
      <c r="Q222" t="s">
        <v>157</v>
      </c>
      <c r="T222" s="93"/>
      <c r="V222">
        <v>44</v>
      </c>
      <c r="W222" s="92"/>
    </row>
    <row r="223" spans="1:23">
      <c r="A223">
        <v>123</v>
      </c>
      <c r="B223" s="91">
        <v>45958</v>
      </c>
      <c r="C223" t="s">
        <v>258</v>
      </c>
      <c r="D223" t="s">
        <v>586</v>
      </c>
      <c r="E223" s="92"/>
      <c r="F223" s="93">
        <v>931055469</v>
      </c>
      <c r="G223" s="94" t="s">
        <v>587</v>
      </c>
      <c r="H223" s="92"/>
      <c r="I223" s="95"/>
      <c r="K223" s="92"/>
      <c r="L223" s="92"/>
      <c r="M223" s="96"/>
      <c r="N223" t="s">
        <v>29</v>
      </c>
      <c r="O223" t="s">
        <v>9</v>
      </c>
      <c r="P223" t="s">
        <v>588</v>
      </c>
      <c r="Q223" t="s">
        <v>157</v>
      </c>
      <c r="T223" s="93"/>
      <c r="V223">
        <v>44</v>
      </c>
      <c r="W223" s="92"/>
    </row>
    <row r="224" spans="1:23" ht="29.1">
      <c r="A224">
        <v>124</v>
      </c>
      <c r="B224" s="91">
        <v>45958</v>
      </c>
      <c r="C224" t="s">
        <v>258</v>
      </c>
      <c r="D224" t="s">
        <v>589</v>
      </c>
      <c r="E224" s="92"/>
      <c r="F224" s="93">
        <v>959916260</v>
      </c>
      <c r="G224" s="94" t="s">
        <v>590</v>
      </c>
      <c r="H224" t="s">
        <v>589</v>
      </c>
      <c r="I224" s="95" t="s">
        <v>634</v>
      </c>
      <c r="K224" s="92"/>
      <c r="L224" s="96" t="s">
        <v>635</v>
      </c>
      <c r="M224" s="96" t="s">
        <v>119</v>
      </c>
      <c r="N224" t="s">
        <v>29</v>
      </c>
      <c r="O224" t="s">
        <v>9</v>
      </c>
      <c r="P224" s="97" t="s">
        <v>636</v>
      </c>
      <c r="Q224" t="s">
        <v>236</v>
      </c>
      <c r="S224" t="s">
        <v>637</v>
      </c>
      <c r="T224" s="93">
        <v>4340</v>
      </c>
      <c r="V224">
        <v>44</v>
      </c>
      <c r="W224" s="92"/>
    </row>
    <row r="225" spans="1:23">
      <c r="A225">
        <v>125</v>
      </c>
      <c r="B225" s="91">
        <v>45958</v>
      </c>
      <c r="C225" t="s">
        <v>258</v>
      </c>
      <c r="D225" t="s">
        <v>597</v>
      </c>
      <c r="E225" s="92" t="s">
        <v>598</v>
      </c>
      <c r="F225" s="93">
        <v>989160343</v>
      </c>
      <c r="G225" s="94" t="s">
        <v>599</v>
      </c>
      <c r="H225" s="92" t="s">
        <v>600</v>
      </c>
      <c r="I225" s="95"/>
      <c r="K225" s="92" t="s">
        <v>26</v>
      </c>
      <c r="L225" s="92" t="s">
        <v>470</v>
      </c>
      <c r="M225" s="96" t="s">
        <v>28</v>
      </c>
      <c r="O225" t="s">
        <v>30</v>
      </c>
      <c r="P225" s="97" t="s">
        <v>638</v>
      </c>
      <c r="Q225" t="s">
        <v>32</v>
      </c>
      <c r="T225" s="93"/>
      <c r="V225">
        <v>44</v>
      </c>
      <c r="W225" s="92"/>
    </row>
    <row r="226" spans="1:23">
      <c r="A226">
        <v>126</v>
      </c>
      <c r="B226" s="91">
        <v>45958</v>
      </c>
      <c r="C226" t="s">
        <v>258</v>
      </c>
      <c r="D226" t="s">
        <v>602</v>
      </c>
      <c r="E226" s="92" t="s">
        <v>215</v>
      </c>
      <c r="F226" s="93"/>
      <c r="G226" s="94" t="s">
        <v>603</v>
      </c>
      <c r="H226" s="92" t="s">
        <v>604</v>
      </c>
      <c r="I226" s="95"/>
      <c r="K226" s="92"/>
      <c r="L226" s="92"/>
      <c r="M226" s="96" t="s">
        <v>28</v>
      </c>
      <c r="O226" t="s">
        <v>30</v>
      </c>
      <c r="P226" s="97" t="s">
        <v>639</v>
      </c>
      <c r="Q226" t="s">
        <v>32</v>
      </c>
      <c r="T226" s="93"/>
      <c r="V226">
        <v>44</v>
      </c>
      <c r="W226" s="92"/>
    </row>
    <row r="227" spans="1:23" ht="29.1">
      <c r="A227">
        <v>127</v>
      </c>
      <c r="B227" s="91">
        <v>45958</v>
      </c>
      <c r="C227" t="s">
        <v>258</v>
      </c>
      <c r="D227" t="s">
        <v>610</v>
      </c>
      <c r="E227" s="92" t="s">
        <v>227</v>
      </c>
      <c r="F227" s="93" t="s">
        <v>611</v>
      </c>
      <c r="G227" s="94" t="s">
        <v>612</v>
      </c>
      <c r="H227" s="92" t="s">
        <v>613</v>
      </c>
      <c r="I227" s="95">
        <v>20608752766</v>
      </c>
      <c r="K227" s="92" t="s">
        <v>26</v>
      </c>
      <c r="L227" s="92"/>
      <c r="M227" s="96" t="s">
        <v>119</v>
      </c>
      <c r="O227" t="s">
        <v>30</v>
      </c>
      <c r="P227" t="s">
        <v>640</v>
      </c>
      <c r="Q227" t="s">
        <v>32</v>
      </c>
      <c r="T227" s="93"/>
      <c r="V227">
        <v>44</v>
      </c>
      <c r="W227" s="92"/>
    </row>
    <row r="228" spans="1:23">
      <c r="A228">
        <v>128</v>
      </c>
      <c r="B228" s="91">
        <v>45958</v>
      </c>
      <c r="C228" t="s">
        <v>258</v>
      </c>
      <c r="E228" s="92"/>
      <c r="F228" s="93">
        <v>3483730</v>
      </c>
      <c r="G228" s="94" t="s">
        <v>615</v>
      </c>
      <c r="H228" s="92" t="s">
        <v>616</v>
      </c>
      <c r="I228" s="95"/>
      <c r="K228" s="92" t="s">
        <v>26</v>
      </c>
      <c r="L228" s="92" t="s">
        <v>617</v>
      </c>
      <c r="M228" s="96" t="s">
        <v>28</v>
      </c>
      <c r="O228" t="s">
        <v>30</v>
      </c>
      <c r="P228" t="s">
        <v>641</v>
      </c>
      <c r="Q228" t="s">
        <v>32</v>
      </c>
      <c r="T228" s="93"/>
      <c r="V228">
        <v>44</v>
      </c>
      <c r="W228" s="92"/>
    </row>
    <row r="229" spans="1:23">
      <c r="A229">
        <v>129</v>
      </c>
      <c r="B229" s="91">
        <v>45958</v>
      </c>
      <c r="C229" t="s">
        <v>258</v>
      </c>
      <c r="E229" s="92"/>
      <c r="F229" s="93">
        <v>4722685</v>
      </c>
      <c r="G229" s="94" t="s">
        <v>619</v>
      </c>
      <c r="H229" s="92" t="s">
        <v>620</v>
      </c>
      <c r="I229" s="95"/>
      <c r="K229" s="92" t="s">
        <v>26</v>
      </c>
      <c r="L229" s="92" t="s">
        <v>621</v>
      </c>
      <c r="M229" s="96" t="s">
        <v>28</v>
      </c>
      <c r="O229" t="s">
        <v>30</v>
      </c>
      <c r="P229" t="s">
        <v>641</v>
      </c>
      <c r="Q229" t="s">
        <v>32</v>
      </c>
      <c r="T229" s="93"/>
      <c r="V229">
        <v>44</v>
      </c>
      <c r="W229" s="92"/>
    </row>
    <row r="230" spans="1:23" ht="29.1">
      <c r="A230">
        <v>130</v>
      </c>
      <c r="B230" s="91">
        <v>45958</v>
      </c>
      <c r="C230" t="s">
        <v>258</v>
      </c>
      <c r="D230" s="97" t="s">
        <v>642</v>
      </c>
      <c r="E230" s="92" t="s">
        <v>643</v>
      </c>
      <c r="F230" s="93" t="s">
        <v>644</v>
      </c>
      <c r="G230" s="94" t="s">
        <v>645</v>
      </c>
      <c r="H230" s="92" t="s">
        <v>646</v>
      </c>
      <c r="I230" s="94" t="s">
        <v>645</v>
      </c>
      <c r="K230" s="92" t="s">
        <v>70</v>
      </c>
      <c r="L230" s="92"/>
      <c r="M230" s="96" t="s">
        <v>119</v>
      </c>
      <c r="O230" t="s">
        <v>30</v>
      </c>
      <c r="P230" s="97" t="s">
        <v>647</v>
      </c>
      <c r="Q230" t="s">
        <v>32</v>
      </c>
      <c r="T230" s="93"/>
      <c r="V230">
        <v>44</v>
      </c>
      <c r="W230" s="92"/>
    </row>
    <row r="231" spans="1:23" ht="29.1">
      <c r="A231">
        <v>131</v>
      </c>
      <c r="B231" s="91">
        <v>45958</v>
      </c>
      <c r="C231" t="s">
        <v>258</v>
      </c>
      <c r="D231" s="97"/>
      <c r="E231" s="92" t="s">
        <v>648</v>
      </c>
      <c r="F231" s="93">
        <v>2660155</v>
      </c>
      <c r="G231" s="94"/>
      <c r="H231" s="92" t="s">
        <v>649</v>
      </c>
      <c r="I231" s="94"/>
      <c r="K231" s="92"/>
      <c r="L231" s="92"/>
      <c r="M231" s="96"/>
      <c r="O231" t="s">
        <v>30</v>
      </c>
      <c r="P231" s="97" t="s">
        <v>650</v>
      </c>
      <c r="Q231" t="s">
        <v>32</v>
      </c>
      <c r="T231" s="93"/>
      <c r="V231">
        <v>44</v>
      </c>
      <c r="W231" s="92"/>
    </row>
    <row r="232" spans="1:23" ht="43.5">
      <c r="A232">
        <v>132</v>
      </c>
      <c r="B232" s="91">
        <v>45958</v>
      </c>
      <c r="C232" t="s">
        <v>258</v>
      </c>
      <c r="D232" s="97" t="s">
        <v>651</v>
      </c>
      <c r="E232" s="92"/>
      <c r="F232" s="93">
        <v>946686156</v>
      </c>
      <c r="G232" s="94"/>
      <c r="H232" s="97" t="s">
        <v>651</v>
      </c>
      <c r="I232" s="94"/>
      <c r="K232" s="92" t="s">
        <v>26</v>
      </c>
      <c r="L232" s="92"/>
      <c r="M232" s="96" t="s">
        <v>28</v>
      </c>
      <c r="O232" t="s">
        <v>30</v>
      </c>
      <c r="P232" s="97" t="s">
        <v>652</v>
      </c>
      <c r="Q232" t="s">
        <v>236</v>
      </c>
      <c r="S232" t="s">
        <v>653</v>
      </c>
      <c r="T232" s="93">
        <v>6949</v>
      </c>
      <c r="V232">
        <v>44</v>
      </c>
      <c r="W232" s="92"/>
    </row>
    <row r="233" spans="1:23" ht="29.1">
      <c r="A233">
        <v>133</v>
      </c>
      <c r="B233" s="91">
        <v>45959</v>
      </c>
      <c r="C233" t="s">
        <v>258</v>
      </c>
      <c r="D233" t="s">
        <v>244</v>
      </c>
      <c r="E233" s="92"/>
      <c r="F233" s="93">
        <v>915244218</v>
      </c>
      <c r="G233" s="94" t="s">
        <v>245</v>
      </c>
      <c r="H233" t="s">
        <v>244</v>
      </c>
      <c r="I233" s="95" t="s">
        <v>549</v>
      </c>
      <c r="K233" s="92" t="s">
        <v>26</v>
      </c>
      <c r="L233" s="92" t="s">
        <v>247</v>
      </c>
      <c r="M233" s="96" t="s">
        <v>119</v>
      </c>
      <c r="O233" t="s">
        <v>9</v>
      </c>
      <c r="P233" s="96" t="s">
        <v>654</v>
      </c>
      <c r="Q233" s="97" t="s">
        <v>150</v>
      </c>
      <c r="S233" t="s">
        <v>249</v>
      </c>
      <c r="T233" s="93">
        <v>4340</v>
      </c>
      <c r="V233">
        <v>44</v>
      </c>
      <c r="W233" s="92"/>
    </row>
    <row r="234" spans="1:23" ht="29.1">
      <c r="A234">
        <v>134</v>
      </c>
      <c r="B234" s="91">
        <v>45959</v>
      </c>
      <c r="C234" t="s">
        <v>258</v>
      </c>
      <c r="D234" t="s">
        <v>260</v>
      </c>
      <c r="E234" s="92"/>
      <c r="F234" s="93">
        <v>960191115</v>
      </c>
      <c r="G234" s="94" t="s">
        <v>260</v>
      </c>
      <c r="H234" s="95" t="s">
        <v>260</v>
      </c>
      <c r="I234" s="95" t="s">
        <v>260</v>
      </c>
      <c r="K234" s="92" t="s">
        <v>260</v>
      </c>
      <c r="L234" s="92" t="s">
        <v>260</v>
      </c>
      <c r="M234" s="96" t="s">
        <v>119</v>
      </c>
      <c r="O234" t="s">
        <v>9</v>
      </c>
      <c r="P234" s="108" t="s">
        <v>655</v>
      </c>
      <c r="Q234" t="s">
        <v>157</v>
      </c>
      <c r="T234" s="93"/>
      <c r="V234">
        <v>44</v>
      </c>
      <c r="W234" s="92"/>
    </row>
    <row r="235" spans="1:23" ht="43.5">
      <c r="A235">
        <v>135</v>
      </c>
      <c r="B235" s="91">
        <v>45959</v>
      </c>
      <c r="C235" t="s">
        <v>258</v>
      </c>
      <c r="D235" t="s">
        <v>552</v>
      </c>
      <c r="E235" s="92"/>
      <c r="F235" s="93">
        <v>931775092</v>
      </c>
      <c r="G235" s="94" t="s">
        <v>553</v>
      </c>
      <c r="H235" s="97" t="s">
        <v>625</v>
      </c>
      <c r="I235" s="95" t="s">
        <v>555</v>
      </c>
      <c r="K235" s="92" t="s">
        <v>43</v>
      </c>
      <c r="L235" s="92"/>
      <c r="M235" s="96" t="s">
        <v>119</v>
      </c>
      <c r="O235" t="s">
        <v>9</v>
      </c>
      <c r="P235" s="97" t="s">
        <v>656</v>
      </c>
      <c r="Q235" t="s">
        <v>236</v>
      </c>
      <c r="S235" t="s">
        <v>557</v>
      </c>
      <c r="T235" s="93">
        <v>6949</v>
      </c>
      <c r="V235">
        <v>44</v>
      </c>
      <c r="W235" s="92"/>
    </row>
    <row r="236" spans="1:23">
      <c r="A236">
        <v>136</v>
      </c>
      <c r="B236" s="91">
        <v>45959</v>
      </c>
      <c r="C236" t="s">
        <v>258</v>
      </c>
      <c r="D236" t="s">
        <v>260</v>
      </c>
      <c r="E236" s="92"/>
      <c r="F236" s="93">
        <v>966488772</v>
      </c>
      <c r="G236" s="94" t="s">
        <v>260</v>
      </c>
      <c r="H236" s="92" t="s">
        <v>260</v>
      </c>
      <c r="I236" s="95" t="s">
        <v>260</v>
      </c>
      <c r="K236" s="92" t="s">
        <v>260</v>
      </c>
      <c r="L236" s="92" t="s">
        <v>260</v>
      </c>
      <c r="M236" s="96"/>
      <c r="O236" t="s">
        <v>9</v>
      </c>
      <c r="P236" s="108" t="s">
        <v>657</v>
      </c>
      <c r="Q236" t="s">
        <v>157</v>
      </c>
      <c r="T236" s="93"/>
      <c r="V236">
        <v>44</v>
      </c>
      <c r="W236" s="92"/>
    </row>
    <row r="237" spans="1:23" ht="29.1">
      <c r="A237">
        <v>137</v>
      </c>
      <c r="B237" s="91">
        <v>45959</v>
      </c>
      <c r="C237" t="s">
        <v>258</v>
      </c>
      <c r="D237" t="s">
        <v>658</v>
      </c>
      <c r="E237" s="92"/>
      <c r="F237" s="93">
        <v>932400450</v>
      </c>
      <c r="G237" s="94" t="s">
        <v>260</v>
      </c>
      <c r="H237" s="92" t="s">
        <v>260</v>
      </c>
      <c r="I237" s="95" t="s">
        <v>260</v>
      </c>
      <c r="K237" s="92" t="s">
        <v>260</v>
      </c>
      <c r="L237" s="92" t="s">
        <v>260</v>
      </c>
      <c r="M237" s="96"/>
      <c r="O237" t="s">
        <v>9</v>
      </c>
      <c r="P237" s="109" t="s">
        <v>659</v>
      </c>
      <c r="Q237" t="s">
        <v>157</v>
      </c>
      <c r="T237" s="93"/>
      <c r="V237">
        <v>44</v>
      </c>
      <c r="W237" s="92"/>
    </row>
    <row r="238" spans="1:23">
      <c r="A238">
        <v>138</v>
      </c>
      <c r="B238" s="91">
        <v>45959</v>
      </c>
      <c r="C238" t="s">
        <v>258</v>
      </c>
      <c r="E238" s="92"/>
      <c r="F238" s="93">
        <v>994894905</v>
      </c>
      <c r="G238" s="94" t="s">
        <v>468</v>
      </c>
      <c r="H238" s="92" t="s">
        <v>469</v>
      </c>
      <c r="I238" s="95"/>
      <c r="K238" s="92" t="s">
        <v>26</v>
      </c>
      <c r="L238" s="92" t="s">
        <v>470</v>
      </c>
      <c r="M238" s="96" t="s">
        <v>28</v>
      </c>
      <c r="O238" t="s">
        <v>30</v>
      </c>
      <c r="P238" t="s">
        <v>564</v>
      </c>
      <c r="Q238" t="s">
        <v>32</v>
      </c>
      <c r="T238" s="93"/>
      <c r="V238">
        <v>44</v>
      </c>
      <c r="W238" s="92"/>
    </row>
    <row r="239" spans="1:23">
      <c r="A239">
        <v>139</v>
      </c>
      <c r="B239" s="91">
        <v>45959</v>
      </c>
      <c r="C239" t="s">
        <v>258</v>
      </c>
      <c r="D239" t="s">
        <v>526</v>
      </c>
      <c r="E239" s="92"/>
      <c r="F239" s="93">
        <v>987934854</v>
      </c>
      <c r="G239" s="94" t="s">
        <v>472</v>
      </c>
      <c r="H239" s="92" t="s">
        <v>473</v>
      </c>
      <c r="I239" s="95"/>
      <c r="K239" s="92" t="s">
        <v>26</v>
      </c>
      <c r="L239" s="92" t="s">
        <v>470</v>
      </c>
      <c r="M239" s="96" t="s">
        <v>28</v>
      </c>
      <c r="O239" t="s">
        <v>30</v>
      </c>
      <c r="P239" t="s">
        <v>565</v>
      </c>
      <c r="Q239" t="s">
        <v>32</v>
      </c>
      <c r="T239" s="93"/>
      <c r="U239">
        <v>45960</v>
      </c>
      <c r="V239">
        <v>44</v>
      </c>
      <c r="W239" s="92"/>
    </row>
    <row r="240" spans="1:23">
      <c r="A240">
        <v>140</v>
      </c>
      <c r="B240" s="91">
        <v>45959</v>
      </c>
      <c r="C240" t="s">
        <v>258</v>
      </c>
      <c r="D240" t="s">
        <v>481</v>
      </c>
      <c r="E240" s="92" t="s">
        <v>204</v>
      </c>
      <c r="F240" s="93">
        <v>984755140</v>
      </c>
      <c r="G240" s="94" t="s">
        <v>482</v>
      </c>
      <c r="H240" s="92" t="s">
        <v>483</v>
      </c>
      <c r="I240" s="104">
        <v>10720799494</v>
      </c>
      <c r="K240" s="92" t="s">
        <v>484</v>
      </c>
      <c r="L240" s="92"/>
      <c r="M240" s="96" t="s">
        <v>28</v>
      </c>
      <c r="N240" t="s">
        <v>29</v>
      </c>
      <c r="O240" t="s">
        <v>9</v>
      </c>
      <c r="P240" t="s">
        <v>580</v>
      </c>
      <c r="Q240" t="s">
        <v>236</v>
      </c>
      <c r="T240" s="93"/>
      <c r="V240">
        <v>44</v>
      </c>
      <c r="W240" s="92"/>
    </row>
    <row r="241" spans="1:23" ht="29.1">
      <c r="A241">
        <v>142</v>
      </c>
      <c r="B241" s="91">
        <v>45959</v>
      </c>
      <c r="C241" t="s">
        <v>258</v>
      </c>
      <c r="D241" t="s">
        <v>504</v>
      </c>
      <c r="E241" s="92" t="s">
        <v>204</v>
      </c>
      <c r="F241" s="93">
        <v>905824331</v>
      </c>
      <c r="G241" s="94" t="s">
        <v>505</v>
      </c>
      <c r="H241" s="92" t="s">
        <v>488</v>
      </c>
      <c r="I241" s="104" t="s">
        <v>489</v>
      </c>
      <c r="K241" s="92" t="s">
        <v>43</v>
      </c>
      <c r="L241" s="92"/>
      <c r="M241" s="96" t="s">
        <v>119</v>
      </c>
      <c r="N241" t="s">
        <v>29</v>
      </c>
      <c r="O241" t="s">
        <v>9</v>
      </c>
      <c r="P241" s="97" t="s">
        <v>628</v>
      </c>
      <c r="Q241" s="97" t="s">
        <v>150</v>
      </c>
      <c r="S241" t="s">
        <v>532</v>
      </c>
      <c r="T241" s="93">
        <v>4340</v>
      </c>
      <c r="V241">
        <v>44</v>
      </c>
      <c r="W241" s="92"/>
    </row>
    <row r="242" spans="1:23" ht="29.1">
      <c r="A242">
        <v>143</v>
      </c>
      <c r="B242" s="91">
        <v>45959</v>
      </c>
      <c r="C242" t="s">
        <v>258</v>
      </c>
      <c r="D242" t="s">
        <v>493</v>
      </c>
      <c r="E242" s="92" t="s">
        <v>204</v>
      </c>
      <c r="F242" s="93">
        <v>927100074</v>
      </c>
      <c r="G242" s="94" t="s">
        <v>494</v>
      </c>
      <c r="H242" s="92" t="s">
        <v>495</v>
      </c>
      <c r="I242" s="104">
        <v>20609379821</v>
      </c>
      <c r="K242" s="92" t="s">
        <v>43</v>
      </c>
      <c r="L242" s="92"/>
      <c r="M242" s="96" t="s">
        <v>496</v>
      </c>
      <c r="N242" t="s">
        <v>29</v>
      </c>
      <c r="O242" t="s">
        <v>9</v>
      </c>
      <c r="P242" s="109" t="s">
        <v>660</v>
      </c>
      <c r="Q242" t="s">
        <v>236</v>
      </c>
      <c r="S242" t="s">
        <v>498</v>
      </c>
      <c r="T242" s="93">
        <v>4340</v>
      </c>
      <c r="V242">
        <v>44</v>
      </c>
      <c r="W242" s="92"/>
    </row>
    <row r="243" spans="1:23" ht="29.1">
      <c r="A243">
        <v>144</v>
      </c>
      <c r="B243" s="91">
        <v>45959</v>
      </c>
      <c r="C243" t="s">
        <v>258</v>
      </c>
      <c r="D243" t="s">
        <v>499</v>
      </c>
      <c r="E243" s="92" t="s">
        <v>204</v>
      </c>
      <c r="F243" s="93">
        <v>950308250</v>
      </c>
      <c r="G243" s="94" t="s">
        <v>500</v>
      </c>
      <c r="H243" s="92" t="s">
        <v>501</v>
      </c>
      <c r="I243" s="104">
        <v>20614800659</v>
      </c>
      <c r="K243" s="92" t="s">
        <v>43</v>
      </c>
      <c r="L243" s="92"/>
      <c r="M243" s="96" t="s">
        <v>119</v>
      </c>
      <c r="N243" t="s">
        <v>29</v>
      </c>
      <c r="O243" t="s">
        <v>9</v>
      </c>
      <c r="P243" s="97" t="s">
        <v>661</v>
      </c>
      <c r="Q243" t="s">
        <v>236</v>
      </c>
      <c r="S243" t="s">
        <v>503</v>
      </c>
      <c r="T243" s="93">
        <v>4340</v>
      </c>
      <c r="V243">
        <v>44</v>
      </c>
      <c r="W243" s="92"/>
    </row>
    <row r="244" spans="1:23">
      <c r="A244">
        <v>145</v>
      </c>
      <c r="B244" s="91">
        <v>45959</v>
      </c>
      <c r="C244" t="s">
        <v>323</v>
      </c>
      <c r="D244" t="s">
        <v>324</v>
      </c>
      <c r="E244" s="92" t="s">
        <v>204</v>
      </c>
      <c r="F244" s="93">
        <v>949719738</v>
      </c>
      <c r="G244" s="94" t="s">
        <v>325</v>
      </c>
      <c r="H244" s="92" t="s">
        <v>326</v>
      </c>
      <c r="I244" s="104">
        <v>20601646367</v>
      </c>
      <c r="K244" s="92" t="s">
        <v>70</v>
      </c>
      <c r="L244" s="92"/>
      <c r="M244" s="96" t="s">
        <v>28</v>
      </c>
      <c r="N244" t="s">
        <v>29</v>
      </c>
      <c r="O244" t="s">
        <v>9</v>
      </c>
      <c r="P244" s="97" t="s">
        <v>662</v>
      </c>
      <c r="Q244" t="s">
        <v>236</v>
      </c>
      <c r="S244" t="s">
        <v>572</v>
      </c>
      <c r="T244" s="93">
        <v>7999</v>
      </c>
      <c r="V244">
        <v>44</v>
      </c>
      <c r="W244" s="92"/>
    </row>
    <row r="245" spans="1:23">
      <c r="A245">
        <v>146</v>
      </c>
      <c r="B245" s="91">
        <v>45959</v>
      </c>
      <c r="C245" t="s">
        <v>323</v>
      </c>
      <c r="D245" t="s">
        <v>324</v>
      </c>
      <c r="E245" s="92" t="s">
        <v>204</v>
      </c>
      <c r="F245" s="93">
        <v>949719738</v>
      </c>
      <c r="G245" s="94" t="s">
        <v>325</v>
      </c>
      <c r="H245" s="92" t="s">
        <v>326</v>
      </c>
      <c r="I245" s="104">
        <v>20601646367</v>
      </c>
      <c r="K245" s="92" t="s">
        <v>70</v>
      </c>
      <c r="L245" s="92"/>
      <c r="M245" s="96" t="s">
        <v>28</v>
      </c>
      <c r="N245" t="s">
        <v>29</v>
      </c>
      <c r="O245" t="s">
        <v>9</v>
      </c>
      <c r="P245" s="97" t="s">
        <v>663</v>
      </c>
      <c r="Q245" t="s">
        <v>236</v>
      </c>
      <c r="S245" t="s">
        <v>573</v>
      </c>
      <c r="T245" s="93">
        <v>6500</v>
      </c>
      <c r="V245">
        <v>44</v>
      </c>
      <c r="W245" s="92"/>
    </row>
    <row r="246" spans="1:23" ht="57.95">
      <c r="A246">
        <v>147</v>
      </c>
      <c r="B246" s="91">
        <v>45959</v>
      </c>
      <c r="C246" t="s">
        <v>258</v>
      </c>
      <c r="D246" t="s">
        <v>535</v>
      </c>
      <c r="E246" s="92" t="s">
        <v>204</v>
      </c>
      <c r="F246" s="93">
        <v>961785460</v>
      </c>
      <c r="G246" s="94" t="s">
        <v>536</v>
      </c>
      <c r="H246" s="92" t="s">
        <v>537</v>
      </c>
      <c r="I246" s="104">
        <v>20537054728</v>
      </c>
      <c r="K246" s="92" t="s">
        <v>26</v>
      </c>
      <c r="L246" s="92" t="s">
        <v>538</v>
      </c>
      <c r="M246" s="96" t="s">
        <v>136</v>
      </c>
      <c r="N246" t="s">
        <v>29</v>
      </c>
      <c r="O246" t="s">
        <v>9</v>
      </c>
      <c r="P246" s="97" t="s">
        <v>664</v>
      </c>
      <c r="Q246" t="s">
        <v>32</v>
      </c>
      <c r="S246" t="s">
        <v>631</v>
      </c>
      <c r="T246" s="93">
        <v>4340</v>
      </c>
      <c r="V246">
        <v>44</v>
      </c>
      <c r="W246" s="92"/>
    </row>
    <row r="247" spans="1:23" ht="29.1">
      <c r="A247">
        <v>148</v>
      </c>
      <c r="B247" s="91">
        <v>45959</v>
      </c>
      <c r="C247" t="s">
        <v>258</v>
      </c>
      <c r="D247" t="s">
        <v>541</v>
      </c>
      <c r="E247" s="92" t="s">
        <v>204</v>
      </c>
      <c r="F247" s="93">
        <v>971763270</v>
      </c>
      <c r="G247" s="94" t="s">
        <v>542</v>
      </c>
      <c r="H247" s="92" t="s">
        <v>543</v>
      </c>
      <c r="I247" s="95" t="s">
        <v>544</v>
      </c>
      <c r="K247" s="92" t="s">
        <v>43</v>
      </c>
      <c r="L247" s="92"/>
      <c r="M247" s="96" t="s">
        <v>119</v>
      </c>
      <c r="N247" t="s">
        <v>29</v>
      </c>
      <c r="O247" t="s">
        <v>9</v>
      </c>
      <c r="P247" s="97" t="s">
        <v>632</v>
      </c>
      <c r="Q247" t="s">
        <v>236</v>
      </c>
      <c r="S247" t="s">
        <v>633</v>
      </c>
      <c r="T247" s="93">
        <v>6949</v>
      </c>
      <c r="V247">
        <v>44</v>
      </c>
      <c r="W247" s="92"/>
    </row>
    <row r="248" spans="1:23" ht="29.1">
      <c r="A248">
        <v>149</v>
      </c>
      <c r="B248" s="91">
        <v>45959</v>
      </c>
      <c r="C248" t="s">
        <v>258</v>
      </c>
      <c r="D248" t="s">
        <v>547</v>
      </c>
      <c r="E248" s="92"/>
      <c r="F248" s="93">
        <v>990216016</v>
      </c>
      <c r="G248" s="94" t="s">
        <v>233</v>
      </c>
      <c r="H248" s="92" t="s">
        <v>260</v>
      </c>
      <c r="I248" s="95"/>
      <c r="K248" s="92"/>
      <c r="L248" s="92"/>
      <c r="M248" s="96" t="s">
        <v>119</v>
      </c>
      <c r="N248" t="s">
        <v>29</v>
      </c>
      <c r="O248" t="s">
        <v>9</v>
      </c>
      <c r="P248" s="108" t="s">
        <v>263</v>
      </c>
      <c r="Q248" t="s">
        <v>157</v>
      </c>
      <c r="T248" s="93"/>
      <c r="V248">
        <v>44</v>
      </c>
      <c r="W248" s="92"/>
    </row>
    <row r="249" spans="1:23" ht="29.1">
      <c r="A249">
        <v>150</v>
      </c>
      <c r="B249" s="91">
        <v>45959</v>
      </c>
      <c r="C249" t="s">
        <v>258</v>
      </c>
      <c r="D249" t="s">
        <v>586</v>
      </c>
      <c r="E249" s="92"/>
      <c r="F249" s="93">
        <v>931055469</v>
      </c>
      <c r="G249" s="94" t="s">
        <v>587</v>
      </c>
      <c r="H249" s="92" t="s">
        <v>260</v>
      </c>
      <c r="I249" s="95"/>
      <c r="K249" s="92"/>
      <c r="L249" s="92"/>
      <c r="M249" s="96"/>
      <c r="N249" t="s">
        <v>29</v>
      </c>
      <c r="O249" t="s">
        <v>9</v>
      </c>
      <c r="P249" s="108" t="s">
        <v>665</v>
      </c>
      <c r="Q249" t="s">
        <v>157</v>
      </c>
      <c r="T249" s="93"/>
      <c r="V249">
        <v>44</v>
      </c>
      <c r="W249" s="92"/>
    </row>
    <row r="250" spans="1:23" ht="29.1">
      <c r="A250">
        <v>151</v>
      </c>
      <c r="B250" s="91">
        <v>45959</v>
      </c>
      <c r="C250" t="s">
        <v>258</v>
      </c>
      <c r="D250" t="s">
        <v>589</v>
      </c>
      <c r="E250" s="92"/>
      <c r="F250" s="93">
        <v>959916260</v>
      </c>
      <c r="G250" s="94" t="s">
        <v>590</v>
      </c>
      <c r="H250" t="s">
        <v>589</v>
      </c>
      <c r="I250" s="95"/>
      <c r="K250" s="92"/>
      <c r="L250" s="96" t="s">
        <v>635</v>
      </c>
      <c r="M250" s="96" t="s">
        <v>119</v>
      </c>
      <c r="N250" t="s">
        <v>29</v>
      </c>
      <c r="O250" t="s">
        <v>9</v>
      </c>
      <c r="P250" s="97" t="s">
        <v>666</v>
      </c>
      <c r="Q250" t="s">
        <v>236</v>
      </c>
      <c r="S250" t="s">
        <v>637</v>
      </c>
      <c r="T250" s="93">
        <v>4340</v>
      </c>
      <c r="V250">
        <v>44</v>
      </c>
      <c r="W250" s="92"/>
    </row>
    <row r="251" spans="1:23">
      <c r="A251">
        <v>152</v>
      </c>
      <c r="B251" s="91">
        <v>45959</v>
      </c>
      <c r="C251" t="s">
        <v>258</v>
      </c>
      <c r="D251" t="s">
        <v>597</v>
      </c>
      <c r="E251" s="92" t="s">
        <v>598</v>
      </c>
      <c r="F251" s="93">
        <v>989160343</v>
      </c>
      <c r="G251" s="94" t="s">
        <v>599</v>
      </c>
      <c r="H251" s="92" t="s">
        <v>600</v>
      </c>
      <c r="I251" s="95"/>
      <c r="K251" s="92" t="s">
        <v>26</v>
      </c>
      <c r="L251" s="92" t="s">
        <v>470</v>
      </c>
      <c r="M251" s="96" t="s">
        <v>28</v>
      </c>
      <c r="O251" t="s">
        <v>30</v>
      </c>
      <c r="P251" s="97" t="s">
        <v>667</v>
      </c>
      <c r="Q251" t="s">
        <v>32</v>
      </c>
      <c r="T251" s="93"/>
      <c r="V251">
        <v>44</v>
      </c>
      <c r="W251" s="92"/>
    </row>
    <row r="252" spans="1:23">
      <c r="A252">
        <v>153</v>
      </c>
      <c r="B252" s="91">
        <v>45959</v>
      </c>
      <c r="C252" t="s">
        <v>258</v>
      </c>
      <c r="D252" t="s">
        <v>602</v>
      </c>
      <c r="E252" s="92" t="s">
        <v>215</v>
      </c>
      <c r="F252" s="93">
        <v>3487500</v>
      </c>
      <c r="G252" s="94" t="s">
        <v>603</v>
      </c>
      <c r="H252" s="92" t="s">
        <v>604</v>
      </c>
      <c r="I252" s="95"/>
      <c r="K252" s="92"/>
      <c r="L252" s="92"/>
      <c r="M252" s="96" t="s">
        <v>28</v>
      </c>
      <c r="O252" t="s">
        <v>30</v>
      </c>
      <c r="P252" s="110" t="s">
        <v>668</v>
      </c>
      <c r="Q252" t="s">
        <v>32</v>
      </c>
      <c r="T252" s="93"/>
      <c r="V252">
        <v>44</v>
      </c>
      <c r="W252" s="92"/>
    </row>
    <row r="253" spans="1:23" ht="29.1">
      <c r="A253">
        <v>154</v>
      </c>
      <c r="B253" s="91">
        <v>45959</v>
      </c>
      <c r="C253" t="s">
        <v>258</v>
      </c>
      <c r="D253" t="s">
        <v>610</v>
      </c>
      <c r="E253" s="92" t="s">
        <v>227</v>
      </c>
      <c r="F253" s="93" t="s">
        <v>611</v>
      </c>
      <c r="G253" s="94" t="s">
        <v>612</v>
      </c>
      <c r="H253" s="92" t="s">
        <v>613</v>
      </c>
      <c r="I253" s="95">
        <v>20608752766</v>
      </c>
      <c r="K253" s="92" t="s">
        <v>26</v>
      </c>
      <c r="L253" s="92"/>
      <c r="M253" s="96" t="s">
        <v>119</v>
      </c>
      <c r="O253" t="s">
        <v>9</v>
      </c>
      <c r="P253" s="109" t="s">
        <v>669</v>
      </c>
      <c r="Q253" t="s">
        <v>32</v>
      </c>
      <c r="T253" s="93"/>
      <c r="V253">
        <v>44</v>
      </c>
      <c r="W253" s="92"/>
    </row>
    <row r="254" spans="1:23" ht="29.1">
      <c r="A254">
        <v>155</v>
      </c>
      <c r="B254" s="91">
        <v>45959</v>
      </c>
      <c r="C254" t="s">
        <v>258</v>
      </c>
      <c r="D254" s="97" t="s">
        <v>642</v>
      </c>
      <c r="E254" s="92" t="s">
        <v>643</v>
      </c>
      <c r="F254" s="93" t="s">
        <v>644</v>
      </c>
      <c r="G254" s="94" t="s">
        <v>645</v>
      </c>
      <c r="H254" s="92" t="s">
        <v>646</v>
      </c>
      <c r="I254" s="94" t="s">
        <v>645</v>
      </c>
      <c r="K254" s="92" t="s">
        <v>70</v>
      </c>
      <c r="L254" s="92"/>
      <c r="M254" s="96" t="s">
        <v>119</v>
      </c>
      <c r="O254" t="s">
        <v>30</v>
      </c>
      <c r="P254" s="97" t="s">
        <v>670</v>
      </c>
      <c r="Q254" t="s">
        <v>32</v>
      </c>
      <c r="T254" s="93"/>
      <c r="V254">
        <v>44</v>
      </c>
      <c r="W254" s="92"/>
    </row>
    <row r="255" spans="1:23" ht="29.1">
      <c r="A255">
        <v>156</v>
      </c>
      <c r="B255" s="91">
        <v>45959</v>
      </c>
      <c r="C255" t="s">
        <v>258</v>
      </c>
      <c r="D255" s="97"/>
      <c r="E255" s="92" t="s">
        <v>648</v>
      </c>
      <c r="F255" s="93">
        <v>2660155</v>
      </c>
      <c r="G255" s="94"/>
      <c r="H255" s="92" t="s">
        <v>649</v>
      </c>
      <c r="I255" s="94"/>
      <c r="K255" s="92"/>
      <c r="L255" s="92"/>
      <c r="M255" s="96"/>
      <c r="O255" t="s">
        <v>30</v>
      </c>
      <c r="P255" s="110" t="s">
        <v>671</v>
      </c>
      <c r="Q255" t="s">
        <v>32</v>
      </c>
      <c r="T255" s="93"/>
      <c r="V255">
        <v>44</v>
      </c>
      <c r="W255" s="92"/>
    </row>
    <row r="256" spans="1:23" ht="29.1">
      <c r="A256">
        <v>157</v>
      </c>
      <c r="B256" s="91">
        <v>45959</v>
      </c>
      <c r="C256" t="s">
        <v>258</v>
      </c>
      <c r="D256" s="97" t="s">
        <v>651</v>
      </c>
      <c r="E256" s="92"/>
      <c r="F256" s="93">
        <v>946686156</v>
      </c>
      <c r="G256" s="94"/>
      <c r="H256" s="97" t="s">
        <v>651</v>
      </c>
      <c r="I256" s="94"/>
      <c r="K256" s="92" t="s">
        <v>26</v>
      </c>
      <c r="L256" s="92"/>
      <c r="M256" s="96" t="s">
        <v>28</v>
      </c>
      <c r="O256" t="s">
        <v>9</v>
      </c>
      <c r="P256" s="97" t="s">
        <v>672</v>
      </c>
      <c r="Q256" t="s">
        <v>236</v>
      </c>
      <c r="S256" t="s">
        <v>653</v>
      </c>
      <c r="T256" s="93">
        <v>6949</v>
      </c>
      <c r="V256">
        <v>44</v>
      </c>
      <c r="W256" s="92"/>
    </row>
    <row r="257" spans="1:23">
      <c r="A257">
        <v>158</v>
      </c>
      <c r="B257" s="91">
        <v>45959</v>
      </c>
      <c r="C257" t="s">
        <v>258</v>
      </c>
      <c r="D257" s="97" t="s">
        <v>673</v>
      </c>
      <c r="E257" s="92" t="s">
        <v>674</v>
      </c>
      <c r="F257" s="93">
        <v>6516888</v>
      </c>
      <c r="G257" s="94" t="s">
        <v>675</v>
      </c>
      <c r="H257" s="92" t="s">
        <v>676</v>
      </c>
      <c r="I257" s="94"/>
      <c r="K257" s="92" t="s">
        <v>26</v>
      </c>
      <c r="L257" s="92" t="s">
        <v>593</v>
      </c>
      <c r="M257" s="96" t="s">
        <v>28</v>
      </c>
      <c r="O257" t="s">
        <v>30</v>
      </c>
      <c r="P257" s="97" t="s">
        <v>677</v>
      </c>
      <c r="Q257" t="s">
        <v>32</v>
      </c>
      <c r="T257" s="93"/>
      <c r="V257">
        <v>44</v>
      </c>
      <c r="W257" s="92"/>
    </row>
    <row r="258" spans="1:23" ht="29.1">
      <c r="A258">
        <v>159</v>
      </c>
      <c r="B258" s="91">
        <v>45959</v>
      </c>
      <c r="C258" t="s">
        <v>258</v>
      </c>
      <c r="D258" s="97" t="s">
        <v>678</v>
      </c>
      <c r="E258" s="92" t="s">
        <v>679</v>
      </c>
      <c r="F258" s="93">
        <v>6195200</v>
      </c>
      <c r="G258" s="94"/>
      <c r="H258" s="97" t="s">
        <v>680</v>
      </c>
      <c r="I258" s="94"/>
      <c r="K258" s="92" t="s">
        <v>26</v>
      </c>
      <c r="L258" s="92" t="s">
        <v>593</v>
      </c>
      <c r="M258" s="96" t="s">
        <v>28</v>
      </c>
      <c r="O258" t="s">
        <v>30</v>
      </c>
      <c r="P258" s="97" t="s">
        <v>681</v>
      </c>
      <c r="Q258" t="s">
        <v>32</v>
      </c>
      <c r="T258" s="93"/>
      <c r="W258" s="92"/>
    </row>
    <row r="259" spans="1:23" ht="29.1">
      <c r="A259">
        <v>160</v>
      </c>
      <c r="B259" s="91">
        <v>45959</v>
      </c>
      <c r="C259" t="s">
        <v>258</v>
      </c>
      <c r="D259" t="s">
        <v>682</v>
      </c>
      <c r="E259" t="s">
        <v>683</v>
      </c>
      <c r="F259" t="s">
        <v>684</v>
      </c>
      <c r="G259" s="94" t="s">
        <v>685</v>
      </c>
      <c r="H259" t="s">
        <v>686</v>
      </c>
      <c r="K259" s="92" t="s">
        <v>26</v>
      </c>
      <c r="L259" s="92" t="s">
        <v>593</v>
      </c>
      <c r="M259" s="96" t="s">
        <v>28</v>
      </c>
      <c r="O259" t="s">
        <v>30</v>
      </c>
      <c r="P259" s="97" t="s">
        <v>687</v>
      </c>
      <c r="Q259" t="s">
        <v>32</v>
      </c>
      <c r="T259" s="93"/>
      <c r="V259" t="e">
        <f>WEEKNUM([3]!CRM[[#This Row],[Fecha]])</f>
        <v>#VALUE!</v>
      </c>
    </row>
    <row r="260" spans="1:23" ht="29.1">
      <c r="A260">
        <v>161</v>
      </c>
      <c r="B260" s="91">
        <v>45959</v>
      </c>
      <c r="C260" t="s">
        <v>258</v>
      </c>
      <c r="D260" t="s">
        <v>688</v>
      </c>
      <c r="E260" t="s">
        <v>689</v>
      </c>
      <c r="F260" s="93">
        <v>930932772</v>
      </c>
      <c r="H260" t="s">
        <v>690</v>
      </c>
      <c r="K260" s="92" t="s">
        <v>26</v>
      </c>
      <c r="L260" s="92" t="s">
        <v>593</v>
      </c>
      <c r="M260" s="96" t="s">
        <v>28</v>
      </c>
      <c r="O260" t="s">
        <v>30</v>
      </c>
      <c r="P260" s="97" t="s">
        <v>691</v>
      </c>
      <c r="Q260" t="s">
        <v>32</v>
      </c>
      <c r="T260" s="93"/>
      <c r="V260" t="e">
        <f>WEEKNUM([3]!CRM[[#This Row],[Fecha]])</f>
        <v>#VALUE!</v>
      </c>
    </row>
    <row r="261" spans="1:23" ht="29.1">
      <c r="A261">
        <v>162</v>
      </c>
      <c r="B261" s="91">
        <v>45959</v>
      </c>
      <c r="C261" t="s">
        <v>258</v>
      </c>
      <c r="E261" s="92" t="s">
        <v>648</v>
      </c>
      <c r="F261" s="93">
        <v>914773118</v>
      </c>
      <c r="H261" t="s">
        <v>692</v>
      </c>
      <c r="K261" t="s">
        <v>26</v>
      </c>
      <c r="L261" t="s">
        <v>693</v>
      </c>
      <c r="M261" s="96" t="s">
        <v>28</v>
      </c>
      <c r="O261" t="s">
        <v>30</v>
      </c>
      <c r="P261" s="97" t="s">
        <v>694</v>
      </c>
      <c r="Q261" t="s">
        <v>32</v>
      </c>
      <c r="T261" s="93"/>
      <c r="V261" t="e">
        <f>WEEKNUM([3]!CRM[[#This Row],[Fecha]])</f>
        <v>#VALUE!</v>
      </c>
    </row>
    <row r="262" spans="1:23" ht="29.1">
      <c r="A262">
        <v>163</v>
      </c>
      <c r="B262" s="91">
        <v>45959</v>
      </c>
      <c r="C262" t="s">
        <v>258</v>
      </c>
      <c r="D262" t="s">
        <v>648</v>
      </c>
      <c r="E262" t="s">
        <v>695</v>
      </c>
      <c r="F262" s="93">
        <v>968213093</v>
      </c>
      <c r="H262" t="s">
        <v>695</v>
      </c>
      <c r="K262" t="s">
        <v>432</v>
      </c>
      <c r="L262" t="s">
        <v>696</v>
      </c>
      <c r="M262" s="96" t="s">
        <v>28</v>
      </c>
      <c r="O262" t="s">
        <v>30</v>
      </c>
      <c r="P262" s="97" t="s">
        <v>697</v>
      </c>
      <c r="Q262" t="s">
        <v>157</v>
      </c>
      <c r="T262" s="93"/>
      <c r="V262" t="e">
        <f>WEEKNUM([3]!CRM[[#This Row],[Fecha]])</f>
        <v>#VALUE!</v>
      </c>
    </row>
    <row r="263" spans="1:23">
      <c r="A263">
        <v>164</v>
      </c>
      <c r="B263" s="91">
        <v>45959</v>
      </c>
      <c r="C263" t="s">
        <v>258</v>
      </c>
      <c r="D263" t="s">
        <v>698</v>
      </c>
      <c r="E263" t="s">
        <v>699</v>
      </c>
      <c r="F263" s="93">
        <v>2640884</v>
      </c>
      <c r="G263" s="94" t="s">
        <v>700</v>
      </c>
      <c r="H263" t="s">
        <v>701</v>
      </c>
      <c r="K263" t="s">
        <v>26</v>
      </c>
      <c r="L263" t="s">
        <v>702</v>
      </c>
      <c r="M263" s="96" t="s">
        <v>28</v>
      </c>
      <c r="O263" t="s">
        <v>30</v>
      </c>
      <c r="P263" s="97" t="s">
        <v>703</v>
      </c>
      <c r="Q263" t="s">
        <v>32</v>
      </c>
      <c r="T263" s="93"/>
      <c r="V263" t="e">
        <f>WEEKNUM([3]!CRM[[#This Row],[Fecha]])</f>
        <v>#VALUE!</v>
      </c>
    </row>
    <row r="264" spans="1:23">
      <c r="A264">
        <v>165</v>
      </c>
      <c r="B264" s="91">
        <v>45959</v>
      </c>
      <c r="C264" t="s">
        <v>258</v>
      </c>
      <c r="E264" t="s">
        <v>704</v>
      </c>
      <c r="F264" s="93">
        <v>2134300</v>
      </c>
      <c r="G264" s="94" t="s">
        <v>705</v>
      </c>
      <c r="H264" t="s">
        <v>706</v>
      </c>
      <c r="K264" t="s">
        <v>26</v>
      </c>
      <c r="L264" t="s">
        <v>27</v>
      </c>
      <c r="M264" t="s">
        <v>28</v>
      </c>
      <c r="O264" t="s">
        <v>30</v>
      </c>
      <c r="P264" s="97" t="s">
        <v>707</v>
      </c>
      <c r="Q264" t="s">
        <v>32</v>
      </c>
      <c r="T264" s="93"/>
      <c r="V264" t="e">
        <f>WEEKNUM([3]!CRM[[#This Row],[Fecha]])</f>
        <v>#VALUE!</v>
      </c>
    </row>
    <row r="265" spans="1:23">
      <c r="A265">
        <v>166</v>
      </c>
      <c r="B265" s="91">
        <v>45959</v>
      </c>
      <c r="C265" t="s">
        <v>258</v>
      </c>
      <c r="D265" t="s">
        <v>708</v>
      </c>
      <c r="E265" t="s">
        <v>704</v>
      </c>
      <c r="F265" s="93">
        <v>6100400</v>
      </c>
      <c r="G265" s="94" t="s">
        <v>709</v>
      </c>
      <c r="H265" t="s">
        <v>710</v>
      </c>
      <c r="K265" t="s">
        <v>26</v>
      </c>
      <c r="L265" t="s">
        <v>27</v>
      </c>
      <c r="M265" t="s">
        <v>28</v>
      </c>
      <c r="O265" t="s">
        <v>30</v>
      </c>
      <c r="P265" s="97" t="s">
        <v>711</v>
      </c>
      <c r="Q265" t="s">
        <v>32</v>
      </c>
      <c r="T265" s="93"/>
      <c r="V265" t="e">
        <f>WEEKNUM([3]!CRM[[#This Row],[Fecha]])</f>
        <v>#VALUE!</v>
      </c>
    </row>
    <row r="266" spans="1:23">
      <c r="A266">
        <v>167</v>
      </c>
      <c r="B266" s="91">
        <v>45959</v>
      </c>
      <c r="C266" t="s">
        <v>258</v>
      </c>
      <c r="D266" t="s">
        <v>712</v>
      </c>
      <c r="E266" t="s">
        <v>683</v>
      </c>
      <c r="F266" s="93">
        <v>4457743</v>
      </c>
      <c r="G266" s="94" t="s">
        <v>713</v>
      </c>
      <c r="H266" t="s">
        <v>714</v>
      </c>
      <c r="K266" t="s">
        <v>26</v>
      </c>
      <c r="L266" t="s">
        <v>27</v>
      </c>
      <c r="M266" t="s">
        <v>28</v>
      </c>
      <c r="O266" t="s">
        <v>30</v>
      </c>
      <c r="P266" s="97" t="s">
        <v>715</v>
      </c>
      <c r="Q266" t="s">
        <v>32</v>
      </c>
      <c r="T266" s="93"/>
      <c r="V266" t="e">
        <f>WEEKNUM([3]!CRM[[#This Row],[Fecha]])</f>
        <v>#VALUE!</v>
      </c>
    </row>
    <row r="267" spans="1:23" ht="43.5">
      <c r="A267">
        <v>168</v>
      </c>
      <c r="B267" s="91">
        <v>45960</v>
      </c>
      <c r="C267" t="s">
        <v>258</v>
      </c>
      <c r="D267" t="s">
        <v>716</v>
      </c>
      <c r="E267" t="s">
        <v>717</v>
      </c>
      <c r="F267" s="93">
        <v>975031155</v>
      </c>
      <c r="G267" s="94" t="s">
        <v>718</v>
      </c>
      <c r="H267" t="s">
        <v>719</v>
      </c>
      <c r="I267" s="93">
        <v>20610091017</v>
      </c>
      <c r="K267" t="s">
        <v>26</v>
      </c>
      <c r="L267" t="s">
        <v>720</v>
      </c>
      <c r="M267" t="s">
        <v>28</v>
      </c>
      <c r="O267" t="s">
        <v>9</v>
      </c>
      <c r="P267" s="97" t="s">
        <v>721</v>
      </c>
      <c r="Q267" t="s">
        <v>236</v>
      </c>
      <c r="S267" t="s">
        <v>722</v>
      </c>
      <c r="T267" s="93">
        <v>4340</v>
      </c>
      <c r="V267" t="e">
        <f>WEEKNUM([3]!CRM[[#This Row],[Fecha]])</f>
        <v>#VALUE!</v>
      </c>
    </row>
    <row r="268" spans="1:23" ht="29.1">
      <c r="A268">
        <v>169</v>
      </c>
      <c r="B268" s="91">
        <v>45960</v>
      </c>
      <c r="C268" t="s">
        <v>258</v>
      </c>
      <c r="D268" t="s">
        <v>244</v>
      </c>
      <c r="E268" s="92"/>
      <c r="F268" s="93">
        <v>915244218</v>
      </c>
      <c r="G268" s="94" t="s">
        <v>245</v>
      </c>
      <c r="H268" t="s">
        <v>244</v>
      </c>
      <c r="I268" s="95" t="s">
        <v>549</v>
      </c>
      <c r="K268" s="92" t="s">
        <v>26</v>
      </c>
      <c r="L268" s="92" t="s">
        <v>247</v>
      </c>
      <c r="M268" s="96" t="s">
        <v>119</v>
      </c>
      <c r="O268" t="s">
        <v>9</v>
      </c>
      <c r="P268" s="96" t="s">
        <v>654</v>
      </c>
      <c r="Q268" s="97" t="s">
        <v>150</v>
      </c>
      <c r="S268" t="s">
        <v>249</v>
      </c>
      <c r="T268" s="93">
        <v>4340</v>
      </c>
      <c r="V268">
        <v>44</v>
      </c>
      <c r="W268" s="92"/>
    </row>
    <row r="269" spans="1:23" ht="29.1">
      <c r="A269">
        <v>170</v>
      </c>
      <c r="B269" s="91">
        <v>45960</v>
      </c>
      <c r="C269" t="s">
        <v>258</v>
      </c>
      <c r="D269" t="s">
        <v>260</v>
      </c>
      <c r="E269" s="92"/>
      <c r="F269" s="93">
        <v>960191115</v>
      </c>
      <c r="G269" s="94" t="s">
        <v>260</v>
      </c>
      <c r="H269" s="95" t="s">
        <v>260</v>
      </c>
      <c r="I269" s="95" t="s">
        <v>260</v>
      </c>
      <c r="K269" s="92" t="s">
        <v>260</v>
      </c>
      <c r="L269" s="92" t="s">
        <v>260</v>
      </c>
      <c r="M269" s="96" t="s">
        <v>119</v>
      </c>
      <c r="O269" t="s">
        <v>9</v>
      </c>
      <c r="P269" s="108" t="s">
        <v>723</v>
      </c>
      <c r="Q269" t="s">
        <v>157</v>
      </c>
      <c r="T269" s="93"/>
      <c r="V269">
        <v>44</v>
      </c>
      <c r="W269" s="92"/>
    </row>
    <row r="270" spans="1:23" ht="43.5">
      <c r="A270">
        <v>171</v>
      </c>
      <c r="B270" s="91">
        <v>45960</v>
      </c>
      <c r="C270" t="s">
        <v>258</v>
      </c>
      <c r="D270" t="s">
        <v>552</v>
      </c>
      <c r="E270" s="92"/>
      <c r="F270" s="93">
        <v>931775092</v>
      </c>
      <c r="G270" s="94" t="s">
        <v>553</v>
      </c>
      <c r="H270" s="97" t="s">
        <v>625</v>
      </c>
      <c r="I270" s="95" t="s">
        <v>555</v>
      </c>
      <c r="K270" s="92" t="s">
        <v>43</v>
      </c>
      <c r="L270" s="92"/>
      <c r="M270" s="96" t="s">
        <v>119</v>
      </c>
      <c r="O270" t="s">
        <v>9</v>
      </c>
      <c r="P270" s="108" t="s">
        <v>724</v>
      </c>
      <c r="Q270" t="s">
        <v>236</v>
      </c>
      <c r="S270" t="s">
        <v>557</v>
      </c>
      <c r="T270" s="93">
        <v>6949</v>
      </c>
      <c r="V270">
        <v>44</v>
      </c>
      <c r="W270" s="92"/>
    </row>
    <row r="271" spans="1:23">
      <c r="A271">
        <v>172</v>
      </c>
      <c r="B271" s="91">
        <v>45960</v>
      </c>
      <c r="C271" t="s">
        <v>258</v>
      </c>
      <c r="D271" t="s">
        <v>260</v>
      </c>
      <c r="E271" s="92"/>
      <c r="F271" s="93">
        <v>966488772</v>
      </c>
      <c r="G271" s="94" t="s">
        <v>260</v>
      </c>
      <c r="H271" s="92" t="s">
        <v>260</v>
      </c>
      <c r="I271" s="95" t="s">
        <v>260</v>
      </c>
      <c r="K271" s="92" t="s">
        <v>260</v>
      </c>
      <c r="L271" s="92" t="s">
        <v>260</v>
      </c>
      <c r="M271" s="96"/>
      <c r="O271" t="s">
        <v>9</v>
      </c>
      <c r="P271" s="108" t="s">
        <v>723</v>
      </c>
      <c r="Q271" t="s">
        <v>157</v>
      </c>
      <c r="T271" s="93"/>
      <c r="V271">
        <v>44</v>
      </c>
      <c r="W271" s="92"/>
    </row>
    <row r="272" spans="1:23">
      <c r="A272">
        <v>173</v>
      </c>
      <c r="B272" s="91">
        <v>45960</v>
      </c>
      <c r="C272" t="s">
        <v>258</v>
      </c>
      <c r="D272" t="s">
        <v>658</v>
      </c>
      <c r="E272" s="92"/>
      <c r="F272" s="93">
        <v>932400450</v>
      </c>
      <c r="G272" s="94" t="s">
        <v>260</v>
      </c>
      <c r="H272" s="92" t="s">
        <v>260</v>
      </c>
      <c r="I272" s="95" t="s">
        <v>260</v>
      </c>
      <c r="K272" s="92" t="s">
        <v>260</v>
      </c>
      <c r="L272" s="92" t="s">
        <v>260</v>
      </c>
      <c r="M272" s="96"/>
      <c r="O272" t="s">
        <v>9</v>
      </c>
      <c r="P272" s="108" t="s">
        <v>725</v>
      </c>
      <c r="Q272" t="s">
        <v>32</v>
      </c>
      <c r="T272" s="93"/>
      <c r="V272">
        <v>44</v>
      </c>
      <c r="W272" s="92"/>
    </row>
    <row r="273" spans="1:23">
      <c r="A273">
        <v>174</v>
      </c>
      <c r="B273" s="91">
        <v>45960</v>
      </c>
      <c r="C273" t="s">
        <v>258</v>
      </c>
      <c r="E273" s="92"/>
      <c r="F273" s="93">
        <v>994894905</v>
      </c>
      <c r="G273" s="94" t="s">
        <v>468</v>
      </c>
      <c r="H273" s="92" t="s">
        <v>469</v>
      </c>
      <c r="I273" s="95"/>
      <c r="K273" s="92" t="s">
        <v>26</v>
      </c>
      <c r="L273" s="92" t="s">
        <v>470</v>
      </c>
      <c r="M273" s="96" t="s">
        <v>28</v>
      </c>
      <c r="O273" t="s">
        <v>30</v>
      </c>
      <c r="P273" t="s">
        <v>726</v>
      </c>
      <c r="Q273" t="s">
        <v>32</v>
      </c>
      <c r="T273" s="93"/>
      <c r="V273">
        <v>44</v>
      </c>
      <c r="W273" s="92"/>
    </row>
    <row r="274" spans="1:23">
      <c r="A274">
        <v>175</v>
      </c>
      <c r="B274" s="91">
        <v>45960</v>
      </c>
      <c r="C274" t="s">
        <v>258</v>
      </c>
      <c r="D274" t="s">
        <v>526</v>
      </c>
      <c r="E274" s="92"/>
      <c r="F274" s="93">
        <v>987934854</v>
      </c>
      <c r="G274" s="94" t="s">
        <v>472</v>
      </c>
      <c r="H274" s="92" t="s">
        <v>473</v>
      </c>
      <c r="I274" s="95"/>
      <c r="K274" s="92" t="s">
        <v>26</v>
      </c>
      <c r="L274" s="92" t="s">
        <v>470</v>
      </c>
      <c r="M274" s="96" t="s">
        <v>28</v>
      </c>
      <c r="O274" t="s">
        <v>30</v>
      </c>
      <c r="P274" s="111" t="s">
        <v>565</v>
      </c>
      <c r="Q274" t="s">
        <v>32</v>
      </c>
      <c r="T274" s="93"/>
      <c r="U274">
        <v>45960</v>
      </c>
      <c r="V274">
        <v>44</v>
      </c>
      <c r="W274" s="92"/>
    </row>
    <row r="275" spans="1:23">
      <c r="A275">
        <v>176</v>
      </c>
      <c r="B275" s="91">
        <v>45960</v>
      </c>
      <c r="C275" t="s">
        <v>258</v>
      </c>
      <c r="D275" t="s">
        <v>481</v>
      </c>
      <c r="E275" s="92" t="s">
        <v>204</v>
      </c>
      <c r="F275" s="93">
        <v>984755140</v>
      </c>
      <c r="G275" s="94" t="s">
        <v>482</v>
      </c>
      <c r="H275" s="92" t="s">
        <v>483</v>
      </c>
      <c r="I275" s="104">
        <v>10720799494</v>
      </c>
      <c r="K275" s="92" t="s">
        <v>484</v>
      </c>
      <c r="L275" s="92"/>
      <c r="M275" s="96" t="s">
        <v>28</v>
      </c>
      <c r="N275" t="s">
        <v>29</v>
      </c>
      <c r="O275" t="s">
        <v>9</v>
      </c>
      <c r="P275" t="s">
        <v>727</v>
      </c>
      <c r="Q275" t="s">
        <v>236</v>
      </c>
      <c r="T275" s="93"/>
      <c r="V275">
        <v>44</v>
      </c>
      <c r="W275" s="92"/>
    </row>
    <row r="276" spans="1:23" ht="29.1">
      <c r="A276">
        <v>177</v>
      </c>
      <c r="B276" s="91">
        <v>45960</v>
      </c>
      <c r="C276" t="s">
        <v>258</v>
      </c>
      <c r="D276" t="s">
        <v>504</v>
      </c>
      <c r="E276" s="92" t="s">
        <v>204</v>
      </c>
      <c r="F276" s="93">
        <v>905824331</v>
      </c>
      <c r="G276" s="94" t="s">
        <v>505</v>
      </c>
      <c r="H276" s="92" t="s">
        <v>488</v>
      </c>
      <c r="I276" s="104" t="s">
        <v>489</v>
      </c>
      <c r="K276" s="92" t="s">
        <v>43</v>
      </c>
      <c r="L276" s="92"/>
      <c r="M276" s="96" t="s">
        <v>119</v>
      </c>
      <c r="N276" t="s">
        <v>29</v>
      </c>
      <c r="O276" t="s">
        <v>9</v>
      </c>
      <c r="P276" s="110" t="s">
        <v>628</v>
      </c>
      <c r="Q276" s="97" t="s">
        <v>150</v>
      </c>
      <c r="S276" t="s">
        <v>532</v>
      </c>
      <c r="T276" s="93">
        <v>4340</v>
      </c>
      <c r="V276">
        <v>44</v>
      </c>
      <c r="W276" s="92"/>
    </row>
    <row r="277" spans="1:23" ht="29.1">
      <c r="A277">
        <v>178</v>
      </c>
      <c r="B277" s="91">
        <v>45960</v>
      </c>
      <c r="C277" t="s">
        <v>258</v>
      </c>
      <c r="D277" t="s">
        <v>493</v>
      </c>
      <c r="E277" s="92" t="s">
        <v>204</v>
      </c>
      <c r="F277" s="93">
        <v>927100074</v>
      </c>
      <c r="G277" s="94" t="s">
        <v>494</v>
      </c>
      <c r="H277" s="92" t="s">
        <v>495</v>
      </c>
      <c r="I277" s="104">
        <v>20609379821</v>
      </c>
      <c r="K277" s="92" t="s">
        <v>43</v>
      </c>
      <c r="L277" s="92"/>
      <c r="M277" s="96" t="s">
        <v>496</v>
      </c>
      <c r="N277" t="s">
        <v>29</v>
      </c>
      <c r="O277" t="s">
        <v>9</v>
      </c>
      <c r="P277" s="109" t="s">
        <v>728</v>
      </c>
      <c r="Q277" t="s">
        <v>236</v>
      </c>
      <c r="S277" t="s">
        <v>498</v>
      </c>
      <c r="T277" s="93">
        <v>4340</v>
      </c>
      <c r="V277">
        <v>44</v>
      </c>
      <c r="W277" s="92"/>
    </row>
    <row r="278" spans="1:23" ht="43.5">
      <c r="A278">
        <v>179</v>
      </c>
      <c r="B278" s="91">
        <v>45960</v>
      </c>
      <c r="C278" t="s">
        <v>258</v>
      </c>
      <c r="D278" t="s">
        <v>499</v>
      </c>
      <c r="E278" s="92" t="s">
        <v>204</v>
      </c>
      <c r="F278" s="93">
        <v>950308250</v>
      </c>
      <c r="G278" s="94" t="s">
        <v>500</v>
      </c>
      <c r="H278" s="92" t="s">
        <v>501</v>
      </c>
      <c r="I278" s="104">
        <v>20614800659</v>
      </c>
      <c r="K278" s="92" t="s">
        <v>43</v>
      </c>
      <c r="L278" s="92"/>
      <c r="M278" s="96" t="s">
        <v>119</v>
      </c>
      <c r="N278" t="s">
        <v>29</v>
      </c>
      <c r="O278" t="s">
        <v>9</v>
      </c>
      <c r="P278" s="97" t="s">
        <v>729</v>
      </c>
      <c r="Q278" t="s">
        <v>236</v>
      </c>
      <c r="S278" t="s">
        <v>503</v>
      </c>
      <c r="T278" s="93">
        <v>4340</v>
      </c>
      <c r="V278">
        <v>44</v>
      </c>
      <c r="W278" s="92"/>
    </row>
    <row r="279" spans="1:23">
      <c r="A279">
        <v>180</v>
      </c>
      <c r="B279" s="91">
        <v>45960</v>
      </c>
      <c r="C279" t="s">
        <v>323</v>
      </c>
      <c r="D279" t="s">
        <v>324</v>
      </c>
      <c r="E279" s="92" t="s">
        <v>204</v>
      </c>
      <c r="F279" s="93">
        <v>949719738</v>
      </c>
      <c r="G279" s="94" t="s">
        <v>325</v>
      </c>
      <c r="H279" s="92" t="s">
        <v>326</v>
      </c>
      <c r="I279" s="104">
        <v>20601646367</v>
      </c>
      <c r="K279" s="92" t="s">
        <v>70</v>
      </c>
      <c r="L279" s="92"/>
      <c r="M279" s="96" t="s">
        <v>28</v>
      </c>
      <c r="N279" t="s">
        <v>29</v>
      </c>
      <c r="O279" t="s">
        <v>9</v>
      </c>
      <c r="P279" s="97" t="s">
        <v>730</v>
      </c>
      <c r="Q279" t="s">
        <v>236</v>
      </c>
      <c r="S279" t="s">
        <v>572</v>
      </c>
      <c r="T279" s="93">
        <v>7999</v>
      </c>
      <c r="V279">
        <v>44</v>
      </c>
      <c r="W279" s="92"/>
    </row>
    <row r="280" spans="1:23">
      <c r="A280">
        <v>181</v>
      </c>
      <c r="B280" s="91">
        <v>45960</v>
      </c>
      <c r="C280" t="s">
        <v>323</v>
      </c>
      <c r="D280" t="s">
        <v>324</v>
      </c>
      <c r="E280" s="92" t="s">
        <v>204</v>
      </c>
      <c r="F280" s="93">
        <v>949719738</v>
      </c>
      <c r="G280" s="94" t="s">
        <v>325</v>
      </c>
      <c r="H280" s="92" t="s">
        <v>326</v>
      </c>
      <c r="I280" s="104">
        <v>20601646367</v>
      </c>
      <c r="K280" s="92" t="s">
        <v>70</v>
      </c>
      <c r="L280" s="92"/>
      <c r="M280" s="96" t="s">
        <v>28</v>
      </c>
      <c r="N280" t="s">
        <v>29</v>
      </c>
      <c r="O280" t="s">
        <v>9</v>
      </c>
      <c r="P280" s="97" t="s">
        <v>730</v>
      </c>
      <c r="Q280" t="s">
        <v>236</v>
      </c>
      <c r="S280" t="s">
        <v>573</v>
      </c>
      <c r="T280" s="93">
        <v>6500</v>
      </c>
      <c r="V280">
        <v>44</v>
      </c>
      <c r="W280" s="92"/>
    </row>
    <row r="281" spans="1:23" ht="29.1">
      <c r="A281">
        <v>182</v>
      </c>
      <c r="B281" s="91">
        <v>45960</v>
      </c>
      <c r="C281" t="s">
        <v>258</v>
      </c>
      <c r="D281" t="s">
        <v>541</v>
      </c>
      <c r="E281" s="92" t="s">
        <v>204</v>
      </c>
      <c r="F281" s="93">
        <v>971763270</v>
      </c>
      <c r="G281" s="94" t="s">
        <v>542</v>
      </c>
      <c r="H281" s="92" t="s">
        <v>543</v>
      </c>
      <c r="I281" s="95" t="s">
        <v>544</v>
      </c>
      <c r="K281" s="92" t="s">
        <v>43</v>
      </c>
      <c r="L281" s="92"/>
      <c r="M281" s="96" t="s">
        <v>119</v>
      </c>
      <c r="N281" t="s">
        <v>29</v>
      </c>
      <c r="O281" t="s">
        <v>9</v>
      </c>
      <c r="P281" s="97" t="s">
        <v>632</v>
      </c>
      <c r="Q281" t="s">
        <v>236</v>
      </c>
      <c r="S281" t="s">
        <v>633</v>
      </c>
      <c r="T281" s="93">
        <v>6949</v>
      </c>
      <c r="V281">
        <v>44</v>
      </c>
      <c r="W281" s="92"/>
    </row>
    <row r="282" spans="1:23" ht="29.1">
      <c r="A282">
        <v>183</v>
      </c>
      <c r="B282" s="91">
        <v>45960</v>
      </c>
      <c r="C282" t="s">
        <v>258</v>
      </c>
      <c r="D282" t="s">
        <v>547</v>
      </c>
      <c r="E282" s="92"/>
      <c r="F282" s="93">
        <v>990216016</v>
      </c>
      <c r="G282" s="94" t="s">
        <v>233</v>
      </c>
      <c r="H282" s="92" t="s">
        <v>260</v>
      </c>
      <c r="I282" s="95"/>
      <c r="K282" s="92"/>
      <c r="L282" s="92"/>
      <c r="M282" s="96" t="s">
        <v>119</v>
      </c>
      <c r="N282" t="s">
        <v>29</v>
      </c>
      <c r="O282" t="s">
        <v>9</v>
      </c>
      <c r="P282" s="108" t="s">
        <v>264</v>
      </c>
      <c r="Q282" t="s">
        <v>157</v>
      </c>
      <c r="T282" s="93"/>
      <c r="V282">
        <v>44</v>
      </c>
      <c r="W282" s="92"/>
    </row>
    <row r="283" spans="1:23">
      <c r="A283">
        <v>184</v>
      </c>
      <c r="B283" s="91">
        <v>45960</v>
      </c>
      <c r="C283" t="s">
        <v>258</v>
      </c>
      <c r="D283" t="s">
        <v>586</v>
      </c>
      <c r="E283" s="92"/>
      <c r="F283" s="93">
        <v>931055469</v>
      </c>
      <c r="G283" s="94" t="s">
        <v>587</v>
      </c>
      <c r="H283" s="92" t="s">
        <v>260</v>
      </c>
      <c r="I283" s="95"/>
      <c r="K283" s="92"/>
      <c r="L283" s="92"/>
      <c r="M283" s="96"/>
      <c r="N283" t="s">
        <v>29</v>
      </c>
      <c r="O283" t="s">
        <v>9</v>
      </c>
      <c r="P283" s="108" t="s">
        <v>731</v>
      </c>
      <c r="Q283" t="s">
        <v>157</v>
      </c>
      <c r="T283" s="93"/>
      <c r="V283">
        <v>44</v>
      </c>
      <c r="W283" s="92"/>
    </row>
    <row r="284" spans="1:23" ht="29.1">
      <c r="A284">
        <v>185</v>
      </c>
      <c r="B284" s="91">
        <v>45960</v>
      </c>
      <c r="C284" t="s">
        <v>258</v>
      </c>
      <c r="D284" t="s">
        <v>589</v>
      </c>
      <c r="E284" s="92"/>
      <c r="F284" s="93">
        <v>959916260</v>
      </c>
      <c r="G284" s="94" t="s">
        <v>590</v>
      </c>
      <c r="H284" t="s">
        <v>589</v>
      </c>
      <c r="I284" s="95"/>
      <c r="K284" s="92"/>
      <c r="L284" s="96" t="s">
        <v>635</v>
      </c>
      <c r="M284" s="96" t="s">
        <v>119</v>
      </c>
      <c r="N284" t="s">
        <v>29</v>
      </c>
      <c r="O284" t="s">
        <v>9</v>
      </c>
      <c r="P284" s="97" t="s">
        <v>732</v>
      </c>
      <c r="Q284" t="s">
        <v>236</v>
      </c>
      <c r="S284" t="s">
        <v>637</v>
      </c>
      <c r="T284" s="93">
        <v>4340</v>
      </c>
      <c r="V284">
        <v>44</v>
      </c>
      <c r="W284" s="92"/>
    </row>
    <row r="285" spans="1:23" ht="29.1">
      <c r="A285">
        <v>186</v>
      </c>
      <c r="B285" s="91">
        <v>45960</v>
      </c>
      <c r="C285" t="s">
        <v>258</v>
      </c>
      <c r="D285" t="s">
        <v>602</v>
      </c>
      <c r="E285" s="92" t="s">
        <v>215</v>
      </c>
      <c r="F285" s="93">
        <v>3487500</v>
      </c>
      <c r="G285" s="94" t="s">
        <v>603</v>
      </c>
      <c r="H285" s="92" t="s">
        <v>604</v>
      </c>
      <c r="I285" s="95"/>
      <c r="K285" s="92"/>
      <c r="L285" s="92"/>
      <c r="M285" s="96" t="s">
        <v>28</v>
      </c>
      <c r="O285" t="s">
        <v>30</v>
      </c>
      <c r="P285" s="110" t="s">
        <v>733</v>
      </c>
      <c r="Q285" t="s">
        <v>32</v>
      </c>
      <c r="T285" s="93"/>
      <c r="V285">
        <v>44</v>
      </c>
      <c r="W285" s="92"/>
    </row>
    <row r="286" spans="1:23" ht="29.1">
      <c r="A286">
        <v>187</v>
      </c>
      <c r="B286" s="91">
        <v>45960</v>
      </c>
      <c r="C286" t="s">
        <v>258</v>
      </c>
      <c r="D286" s="97" t="s">
        <v>642</v>
      </c>
      <c r="E286" s="92" t="s">
        <v>643</v>
      </c>
      <c r="F286" s="93" t="s">
        <v>644</v>
      </c>
      <c r="G286" s="94" t="s">
        <v>645</v>
      </c>
      <c r="H286" s="92" t="s">
        <v>646</v>
      </c>
      <c r="I286" s="94" t="s">
        <v>645</v>
      </c>
      <c r="K286" s="92" t="s">
        <v>70</v>
      </c>
      <c r="L286" s="92"/>
      <c r="M286" s="96" t="s">
        <v>119</v>
      </c>
      <c r="O286" t="s">
        <v>30</v>
      </c>
      <c r="P286" s="97" t="s">
        <v>734</v>
      </c>
      <c r="Q286" t="s">
        <v>32</v>
      </c>
      <c r="T286" s="93"/>
      <c r="V286">
        <v>44</v>
      </c>
      <c r="W286" s="92"/>
    </row>
    <row r="287" spans="1:23" ht="29.1">
      <c r="A287">
        <v>188</v>
      </c>
      <c r="B287" s="91">
        <v>45960</v>
      </c>
      <c r="C287" t="s">
        <v>258</v>
      </c>
      <c r="D287" s="97"/>
      <c r="E287" s="92" t="s">
        <v>648</v>
      </c>
      <c r="F287" s="93">
        <v>2660155</v>
      </c>
      <c r="G287" s="94"/>
      <c r="H287" s="92" t="s">
        <v>649</v>
      </c>
      <c r="I287" s="94"/>
      <c r="K287" s="92"/>
      <c r="L287" s="92"/>
      <c r="M287" s="96"/>
      <c r="O287" t="s">
        <v>30</v>
      </c>
      <c r="P287" s="110" t="s">
        <v>671</v>
      </c>
      <c r="Q287" t="s">
        <v>32</v>
      </c>
      <c r="T287" s="93"/>
      <c r="V287">
        <v>44</v>
      </c>
      <c r="W287" s="92"/>
    </row>
    <row r="288" spans="1:23" ht="29.1">
      <c r="A288">
        <v>189</v>
      </c>
      <c r="B288" s="91">
        <v>45960</v>
      </c>
      <c r="C288" t="s">
        <v>258</v>
      </c>
      <c r="D288" s="97" t="s">
        <v>651</v>
      </c>
      <c r="E288" s="92"/>
      <c r="F288" s="93">
        <v>946686156</v>
      </c>
      <c r="G288" s="94"/>
      <c r="H288" s="97" t="s">
        <v>651</v>
      </c>
      <c r="I288" s="94"/>
      <c r="K288" s="92" t="s">
        <v>26</v>
      </c>
      <c r="L288" s="92"/>
      <c r="M288" s="96" t="s">
        <v>28</v>
      </c>
      <c r="O288" t="s">
        <v>9</v>
      </c>
      <c r="P288" s="97" t="s">
        <v>735</v>
      </c>
      <c r="Q288" t="s">
        <v>236</v>
      </c>
      <c r="S288" t="s">
        <v>653</v>
      </c>
      <c r="T288" s="93">
        <v>6949</v>
      </c>
      <c r="V288">
        <v>44</v>
      </c>
      <c r="W288" s="92"/>
    </row>
    <row r="289" spans="1:23">
      <c r="A289">
        <v>190</v>
      </c>
      <c r="B289" s="91">
        <v>45960</v>
      </c>
      <c r="C289" t="s">
        <v>258</v>
      </c>
      <c r="D289" s="97" t="s">
        <v>673</v>
      </c>
      <c r="E289" s="92" t="s">
        <v>674</v>
      </c>
      <c r="F289" s="93">
        <v>6516888</v>
      </c>
      <c r="G289" s="94" t="s">
        <v>675</v>
      </c>
      <c r="H289" s="92" t="s">
        <v>676</v>
      </c>
      <c r="I289" s="94"/>
      <c r="K289" s="92" t="s">
        <v>26</v>
      </c>
      <c r="L289" s="92" t="s">
        <v>593</v>
      </c>
      <c r="M289" s="96" t="s">
        <v>28</v>
      </c>
      <c r="O289" t="s">
        <v>30</v>
      </c>
      <c r="P289" s="97" t="s">
        <v>736</v>
      </c>
      <c r="Q289" t="s">
        <v>32</v>
      </c>
      <c r="T289" s="93"/>
      <c r="V289">
        <v>44</v>
      </c>
      <c r="W289" s="92"/>
    </row>
    <row r="290" spans="1:23" ht="29.1">
      <c r="A290">
        <v>191</v>
      </c>
      <c r="B290" s="91">
        <v>45960</v>
      </c>
      <c r="C290" t="s">
        <v>258</v>
      </c>
      <c r="D290" s="97" t="s">
        <v>678</v>
      </c>
      <c r="E290" s="92" t="s">
        <v>679</v>
      </c>
      <c r="F290" s="93">
        <v>6195200</v>
      </c>
      <c r="G290" s="94"/>
      <c r="H290" s="97" t="s">
        <v>680</v>
      </c>
      <c r="I290" s="94"/>
      <c r="K290" s="92" t="s">
        <v>26</v>
      </c>
      <c r="L290" s="92" t="s">
        <v>593</v>
      </c>
      <c r="M290" s="96" t="s">
        <v>28</v>
      </c>
      <c r="O290" t="s">
        <v>30</v>
      </c>
      <c r="P290" s="97" t="s">
        <v>681</v>
      </c>
      <c r="Q290" t="s">
        <v>32</v>
      </c>
      <c r="T290" s="93"/>
      <c r="V290" t="e">
        <f>WEEKNUM([3]!CRM[[#This Row],[Fecha]])</f>
        <v>#VALUE!</v>
      </c>
      <c r="W290" s="92"/>
    </row>
    <row r="291" spans="1:23">
      <c r="A291">
        <v>192</v>
      </c>
      <c r="B291" s="91">
        <v>45960</v>
      </c>
      <c r="C291" t="s">
        <v>258</v>
      </c>
      <c r="D291" t="s">
        <v>682</v>
      </c>
      <c r="E291" t="s">
        <v>683</v>
      </c>
      <c r="F291" t="s">
        <v>684</v>
      </c>
      <c r="G291" s="94" t="s">
        <v>685</v>
      </c>
      <c r="H291" t="s">
        <v>686</v>
      </c>
      <c r="K291" s="92" t="s">
        <v>26</v>
      </c>
      <c r="L291" s="92" t="s">
        <v>593</v>
      </c>
      <c r="M291" s="96" t="s">
        <v>28</v>
      </c>
      <c r="O291" t="s">
        <v>30</v>
      </c>
      <c r="P291" s="97" t="s">
        <v>737</v>
      </c>
      <c r="Q291" t="s">
        <v>32</v>
      </c>
      <c r="T291" s="93"/>
      <c r="V291" t="e">
        <f>WEEKNUM([3]!CRM[[#This Row],[Fecha]])</f>
        <v>#VALUE!</v>
      </c>
    </row>
    <row r="292" spans="1:23">
      <c r="A292">
        <v>193</v>
      </c>
      <c r="B292" s="91">
        <v>45960</v>
      </c>
      <c r="C292" t="s">
        <v>258</v>
      </c>
      <c r="D292" t="s">
        <v>738</v>
      </c>
      <c r="E292" t="s">
        <v>689</v>
      </c>
      <c r="F292" s="93">
        <v>930932772</v>
      </c>
      <c r="H292" t="s">
        <v>690</v>
      </c>
      <c r="K292" s="92" t="s">
        <v>26</v>
      </c>
      <c r="L292" s="92" t="s">
        <v>593</v>
      </c>
      <c r="M292" s="96" t="s">
        <v>28</v>
      </c>
      <c r="O292" t="s">
        <v>30</v>
      </c>
      <c r="P292" s="97" t="s">
        <v>739</v>
      </c>
      <c r="Q292" t="s">
        <v>32</v>
      </c>
      <c r="T292" s="93"/>
      <c r="V292" t="e">
        <f>WEEKNUM([3]!CRM[[#This Row],[Fecha]])</f>
        <v>#VALUE!</v>
      </c>
    </row>
    <row r="293" spans="1:23">
      <c r="A293">
        <v>194</v>
      </c>
      <c r="B293" s="91">
        <v>45960</v>
      </c>
      <c r="C293" t="s">
        <v>258</v>
      </c>
      <c r="E293" s="92" t="s">
        <v>648</v>
      </c>
      <c r="F293" s="93">
        <v>914773118</v>
      </c>
      <c r="H293" t="s">
        <v>692</v>
      </c>
      <c r="K293" t="s">
        <v>26</v>
      </c>
      <c r="L293" t="s">
        <v>693</v>
      </c>
      <c r="M293" s="96" t="s">
        <v>28</v>
      </c>
      <c r="O293" t="s">
        <v>30</v>
      </c>
      <c r="P293" s="97" t="s">
        <v>740</v>
      </c>
      <c r="Q293" t="s">
        <v>32</v>
      </c>
      <c r="T293" s="93"/>
      <c r="V293" t="e">
        <f>WEEKNUM([3]!CRM[[#This Row],[Fecha]])</f>
        <v>#VALUE!</v>
      </c>
    </row>
    <row r="294" spans="1:23" ht="29.1">
      <c r="A294">
        <v>195</v>
      </c>
      <c r="B294" s="91">
        <v>45960</v>
      </c>
      <c r="C294" t="s">
        <v>258</v>
      </c>
      <c r="D294" t="s">
        <v>648</v>
      </c>
      <c r="E294" t="s">
        <v>695</v>
      </c>
      <c r="F294" s="93">
        <v>968213093</v>
      </c>
      <c r="H294" t="s">
        <v>695</v>
      </c>
      <c r="K294" t="s">
        <v>432</v>
      </c>
      <c r="L294" t="s">
        <v>696</v>
      </c>
      <c r="M294" s="96" t="s">
        <v>28</v>
      </c>
      <c r="O294" t="s">
        <v>30</v>
      </c>
      <c r="P294" s="112" t="s">
        <v>741</v>
      </c>
      <c r="Q294" t="s">
        <v>157</v>
      </c>
      <c r="T294" s="93"/>
      <c r="V294" t="e">
        <f>WEEKNUM([3]!CRM[[#This Row],[Fecha]])</f>
        <v>#VALUE!</v>
      </c>
    </row>
    <row r="295" spans="1:23" ht="29.1">
      <c r="A295">
        <v>196</v>
      </c>
      <c r="B295" s="91">
        <v>45961</v>
      </c>
      <c r="C295" t="s">
        <v>258</v>
      </c>
      <c r="D295" t="s">
        <v>716</v>
      </c>
      <c r="E295" t="s">
        <v>717</v>
      </c>
      <c r="F295" s="93">
        <v>975031155</v>
      </c>
      <c r="G295" s="94" t="s">
        <v>718</v>
      </c>
      <c r="H295" t="s">
        <v>719</v>
      </c>
      <c r="I295" s="93">
        <v>20610091017</v>
      </c>
      <c r="K295" t="s">
        <v>26</v>
      </c>
      <c r="L295" t="s">
        <v>720</v>
      </c>
      <c r="M295" t="s">
        <v>28</v>
      </c>
      <c r="O295" t="s">
        <v>9</v>
      </c>
      <c r="P295" s="97" t="s">
        <v>742</v>
      </c>
      <c r="Q295" t="s">
        <v>236</v>
      </c>
      <c r="S295" t="s">
        <v>722</v>
      </c>
      <c r="T295" s="93">
        <v>4340</v>
      </c>
      <c r="V295">
        <v>44</v>
      </c>
    </row>
    <row r="296" spans="1:23" ht="29.1">
      <c r="A296">
        <v>197</v>
      </c>
      <c r="B296" s="91">
        <v>45961</v>
      </c>
      <c r="C296" t="s">
        <v>258</v>
      </c>
      <c r="D296" t="s">
        <v>244</v>
      </c>
      <c r="E296" s="92"/>
      <c r="F296" s="93">
        <v>915244218</v>
      </c>
      <c r="G296" s="94" t="s">
        <v>245</v>
      </c>
      <c r="H296" t="s">
        <v>244</v>
      </c>
      <c r="I296" s="95" t="s">
        <v>549</v>
      </c>
      <c r="K296" s="92" t="s">
        <v>26</v>
      </c>
      <c r="L296" s="92" t="s">
        <v>247</v>
      </c>
      <c r="M296" s="96" t="s">
        <v>119</v>
      </c>
      <c r="O296" t="s">
        <v>9</v>
      </c>
      <c r="P296" s="96" t="s">
        <v>654</v>
      </c>
      <c r="Q296" s="97" t="s">
        <v>150</v>
      </c>
      <c r="S296" t="s">
        <v>249</v>
      </c>
      <c r="T296" s="93">
        <v>4340</v>
      </c>
      <c r="V296">
        <v>44</v>
      </c>
      <c r="W296" s="92"/>
    </row>
    <row r="297" spans="1:23" ht="29.1">
      <c r="A297">
        <v>198</v>
      </c>
      <c r="B297" s="91">
        <v>45961</v>
      </c>
      <c r="C297" t="s">
        <v>258</v>
      </c>
      <c r="D297" t="s">
        <v>260</v>
      </c>
      <c r="E297" s="92"/>
      <c r="F297" s="93">
        <v>960191115</v>
      </c>
      <c r="G297" s="94" t="s">
        <v>260</v>
      </c>
      <c r="H297" s="95" t="s">
        <v>260</v>
      </c>
      <c r="I297" s="95" t="s">
        <v>260</v>
      </c>
      <c r="K297" s="92" t="s">
        <v>260</v>
      </c>
      <c r="L297" s="92" t="s">
        <v>260</v>
      </c>
      <c r="M297" s="96" t="s">
        <v>119</v>
      </c>
      <c r="O297" t="s">
        <v>9</v>
      </c>
      <c r="P297" s="108" t="s">
        <v>743</v>
      </c>
      <c r="Q297" t="s">
        <v>157</v>
      </c>
      <c r="T297" s="93"/>
      <c r="V297">
        <v>44</v>
      </c>
      <c r="W297" s="92"/>
    </row>
    <row r="298" spans="1:23" ht="43.5">
      <c r="A298">
        <v>199</v>
      </c>
      <c r="B298" s="91">
        <v>45961</v>
      </c>
      <c r="C298" t="s">
        <v>258</v>
      </c>
      <c r="D298" t="s">
        <v>552</v>
      </c>
      <c r="E298" s="92"/>
      <c r="F298" s="93">
        <v>931775092</v>
      </c>
      <c r="G298" s="94" t="s">
        <v>553</v>
      </c>
      <c r="H298" s="97" t="s">
        <v>625</v>
      </c>
      <c r="I298" s="95" t="s">
        <v>555</v>
      </c>
      <c r="K298" s="92" t="s">
        <v>43</v>
      </c>
      <c r="L298" s="92"/>
      <c r="M298" s="96" t="s">
        <v>119</v>
      </c>
      <c r="O298" t="s">
        <v>9</v>
      </c>
      <c r="P298" s="108" t="s">
        <v>744</v>
      </c>
      <c r="Q298" t="s">
        <v>236</v>
      </c>
      <c r="S298" t="s">
        <v>557</v>
      </c>
      <c r="T298" s="93">
        <v>6949</v>
      </c>
      <c r="V298">
        <v>44</v>
      </c>
      <c r="W298" s="92"/>
    </row>
    <row r="299" spans="1:23">
      <c r="A299">
        <v>200</v>
      </c>
      <c r="B299" s="91">
        <v>45961</v>
      </c>
      <c r="C299" t="s">
        <v>258</v>
      </c>
      <c r="D299" t="s">
        <v>260</v>
      </c>
      <c r="E299" s="92"/>
      <c r="F299" s="93">
        <v>966488772</v>
      </c>
      <c r="G299" s="94" t="s">
        <v>260</v>
      </c>
      <c r="H299" s="92" t="s">
        <v>260</v>
      </c>
      <c r="I299" s="95" t="s">
        <v>260</v>
      </c>
      <c r="K299" s="92" t="s">
        <v>260</v>
      </c>
      <c r="L299" s="92" t="s">
        <v>260</v>
      </c>
      <c r="M299" s="96"/>
      <c r="O299" t="s">
        <v>9</v>
      </c>
      <c r="P299" s="108" t="s">
        <v>723</v>
      </c>
      <c r="Q299" t="s">
        <v>157</v>
      </c>
      <c r="T299" s="93"/>
      <c r="V299">
        <v>44</v>
      </c>
      <c r="W299" s="92"/>
    </row>
    <row r="300" spans="1:23">
      <c r="A300">
        <v>201</v>
      </c>
      <c r="B300" s="91">
        <v>45961</v>
      </c>
      <c r="C300" t="s">
        <v>258</v>
      </c>
      <c r="D300" t="s">
        <v>658</v>
      </c>
      <c r="E300" s="92"/>
      <c r="F300" s="93">
        <v>932400450</v>
      </c>
      <c r="G300" s="94" t="s">
        <v>260</v>
      </c>
      <c r="H300" s="92" t="s">
        <v>260</v>
      </c>
      <c r="I300" s="95" t="s">
        <v>260</v>
      </c>
      <c r="K300" s="92" t="s">
        <v>260</v>
      </c>
      <c r="L300" s="92" t="s">
        <v>260</v>
      </c>
      <c r="M300" s="96"/>
      <c r="O300" t="s">
        <v>9</v>
      </c>
      <c r="P300" s="108" t="s">
        <v>745</v>
      </c>
      <c r="Q300" t="s">
        <v>32</v>
      </c>
      <c r="T300" s="93"/>
      <c r="V300">
        <v>44</v>
      </c>
      <c r="W300" s="92"/>
    </row>
    <row r="301" spans="1:23">
      <c r="A301">
        <v>202</v>
      </c>
      <c r="B301" s="91">
        <v>45961</v>
      </c>
      <c r="C301" t="s">
        <v>258</v>
      </c>
      <c r="E301" s="92"/>
      <c r="F301" s="93">
        <v>994894905</v>
      </c>
      <c r="G301" s="94" t="s">
        <v>468</v>
      </c>
      <c r="H301" s="92" t="s">
        <v>469</v>
      </c>
      <c r="I301" s="95"/>
      <c r="K301" s="92" t="s">
        <v>26</v>
      </c>
      <c r="L301" s="92" t="s">
        <v>470</v>
      </c>
      <c r="M301" s="96" t="s">
        <v>28</v>
      </c>
      <c r="O301" t="s">
        <v>30</v>
      </c>
      <c r="P301" s="113" t="s">
        <v>746</v>
      </c>
      <c r="Q301" t="s">
        <v>321</v>
      </c>
      <c r="T301" s="93"/>
      <c r="V301">
        <v>44</v>
      </c>
      <c r="W301" s="92"/>
    </row>
    <row r="302" spans="1:23" ht="43.5">
      <c r="A302">
        <v>203</v>
      </c>
      <c r="B302" s="91">
        <v>45961</v>
      </c>
      <c r="C302" t="s">
        <v>258</v>
      </c>
      <c r="D302" t="s">
        <v>747</v>
      </c>
      <c r="E302" s="92" t="s">
        <v>748</v>
      </c>
      <c r="F302" s="93">
        <v>997556407</v>
      </c>
      <c r="G302" s="94" t="s">
        <v>749</v>
      </c>
      <c r="H302" s="92" t="s">
        <v>473</v>
      </c>
      <c r="I302" s="95"/>
      <c r="K302" s="92" t="s">
        <v>26</v>
      </c>
      <c r="L302" s="92" t="s">
        <v>470</v>
      </c>
      <c r="M302" s="96" t="s">
        <v>28</v>
      </c>
      <c r="O302" t="s">
        <v>30</v>
      </c>
      <c r="P302" s="112" t="s">
        <v>750</v>
      </c>
      <c r="Q302" t="s">
        <v>32</v>
      </c>
      <c r="T302" s="93"/>
      <c r="V302">
        <v>44</v>
      </c>
      <c r="W302" s="92"/>
    </row>
    <row r="303" spans="1:23">
      <c r="A303">
        <v>204</v>
      </c>
      <c r="B303" s="91">
        <v>45961</v>
      </c>
      <c r="C303" t="s">
        <v>258</v>
      </c>
      <c r="D303" t="s">
        <v>481</v>
      </c>
      <c r="E303" s="92" t="s">
        <v>204</v>
      </c>
      <c r="F303" s="93">
        <v>984755140</v>
      </c>
      <c r="G303" s="94" t="s">
        <v>482</v>
      </c>
      <c r="H303" s="92" t="s">
        <v>483</v>
      </c>
      <c r="I303" s="104">
        <v>10720799494</v>
      </c>
      <c r="K303" s="92" t="s">
        <v>484</v>
      </c>
      <c r="L303" s="92"/>
      <c r="M303" s="96" t="s">
        <v>28</v>
      </c>
      <c r="N303" t="s">
        <v>29</v>
      </c>
      <c r="O303" t="s">
        <v>9</v>
      </c>
      <c r="P303" s="108" t="s">
        <v>751</v>
      </c>
      <c r="Q303" t="s">
        <v>236</v>
      </c>
      <c r="T303" s="93"/>
      <c r="V303">
        <v>44</v>
      </c>
      <c r="W303" s="92"/>
    </row>
    <row r="304" spans="1:23" ht="43.5">
      <c r="A304">
        <v>205</v>
      </c>
      <c r="B304" s="91">
        <v>45961</v>
      </c>
      <c r="C304" t="s">
        <v>258</v>
      </c>
      <c r="D304" t="s">
        <v>504</v>
      </c>
      <c r="E304" s="92" t="s">
        <v>204</v>
      </c>
      <c r="F304" s="93">
        <v>905824331</v>
      </c>
      <c r="G304" s="94" t="s">
        <v>505</v>
      </c>
      <c r="H304" t="s">
        <v>752</v>
      </c>
      <c r="I304" s="104" t="s">
        <v>489</v>
      </c>
      <c r="K304" s="92" t="s">
        <v>43</v>
      </c>
      <c r="L304" s="92"/>
      <c r="M304" s="96" t="s">
        <v>119</v>
      </c>
      <c r="N304" t="s">
        <v>29</v>
      </c>
      <c r="O304" t="s">
        <v>9</v>
      </c>
      <c r="P304" s="97" t="s">
        <v>753</v>
      </c>
      <c r="Q304" s="97" t="s">
        <v>150</v>
      </c>
      <c r="S304" t="s">
        <v>532</v>
      </c>
      <c r="T304" s="93">
        <v>4340</v>
      </c>
      <c r="V304">
        <v>44</v>
      </c>
      <c r="W304" s="92"/>
    </row>
    <row r="305" spans="1:23" ht="43.5">
      <c r="A305">
        <v>206</v>
      </c>
      <c r="B305" s="91">
        <v>45961</v>
      </c>
      <c r="C305" t="s">
        <v>258</v>
      </c>
      <c r="D305" t="s">
        <v>493</v>
      </c>
      <c r="E305" s="92" t="s">
        <v>204</v>
      </c>
      <c r="F305" s="93">
        <v>927100074</v>
      </c>
      <c r="G305" s="94" t="s">
        <v>494</v>
      </c>
      <c r="H305" s="92" t="s">
        <v>495</v>
      </c>
      <c r="I305" s="104">
        <v>20609379821</v>
      </c>
      <c r="K305" s="92" t="s">
        <v>43</v>
      </c>
      <c r="L305" s="92"/>
      <c r="M305" s="96" t="s">
        <v>119</v>
      </c>
      <c r="N305" t="s">
        <v>29</v>
      </c>
      <c r="O305" t="s">
        <v>9</v>
      </c>
      <c r="P305" s="109" t="s">
        <v>754</v>
      </c>
      <c r="Q305" t="s">
        <v>236</v>
      </c>
      <c r="S305" t="s">
        <v>498</v>
      </c>
      <c r="T305" s="93">
        <v>4340</v>
      </c>
      <c r="V305">
        <v>44</v>
      </c>
      <c r="W305" s="92"/>
    </row>
    <row r="306" spans="1:23" ht="29.1">
      <c r="A306">
        <v>207</v>
      </c>
      <c r="B306" s="91">
        <v>45961</v>
      </c>
      <c r="C306" t="s">
        <v>258</v>
      </c>
      <c r="D306" t="s">
        <v>499</v>
      </c>
      <c r="E306" s="92" t="s">
        <v>204</v>
      </c>
      <c r="F306" s="93">
        <v>950308250</v>
      </c>
      <c r="G306" s="94" t="s">
        <v>500</v>
      </c>
      <c r="H306" s="92" t="s">
        <v>501</v>
      </c>
      <c r="I306" s="104">
        <v>20614800659</v>
      </c>
      <c r="K306" s="92" t="s">
        <v>43</v>
      </c>
      <c r="L306" s="92"/>
      <c r="M306" s="96" t="s">
        <v>119</v>
      </c>
      <c r="N306" t="s">
        <v>29</v>
      </c>
      <c r="O306" t="s">
        <v>9</v>
      </c>
      <c r="P306" s="112" t="s">
        <v>755</v>
      </c>
      <c r="Q306" t="s">
        <v>236</v>
      </c>
      <c r="S306" t="s">
        <v>756</v>
      </c>
      <c r="T306" s="93">
        <v>4340</v>
      </c>
      <c r="V306">
        <v>44</v>
      </c>
      <c r="W306" s="92"/>
    </row>
    <row r="307" spans="1:23">
      <c r="A307">
        <v>208</v>
      </c>
      <c r="B307" s="91">
        <v>45961</v>
      </c>
      <c r="C307" t="s">
        <v>323</v>
      </c>
      <c r="D307" t="s">
        <v>324</v>
      </c>
      <c r="E307" s="92" t="s">
        <v>204</v>
      </c>
      <c r="F307" s="93">
        <v>949719738</v>
      </c>
      <c r="G307" s="94" t="s">
        <v>325</v>
      </c>
      <c r="H307" s="92" t="s">
        <v>326</v>
      </c>
      <c r="I307" s="104">
        <v>20601646367</v>
      </c>
      <c r="K307" s="92" t="s">
        <v>70</v>
      </c>
      <c r="L307" s="92"/>
      <c r="M307" s="96" t="s">
        <v>28</v>
      </c>
      <c r="N307" t="s">
        <v>29</v>
      </c>
      <c r="O307" t="s">
        <v>9</v>
      </c>
      <c r="P307" s="97" t="s">
        <v>757</v>
      </c>
      <c r="Q307" t="s">
        <v>236</v>
      </c>
      <c r="S307" t="s">
        <v>758</v>
      </c>
      <c r="T307" s="93">
        <v>7999</v>
      </c>
      <c r="V307">
        <v>44</v>
      </c>
      <c r="W307" s="92"/>
    </row>
    <row r="308" spans="1:23">
      <c r="A308">
        <v>209</v>
      </c>
      <c r="B308" s="91">
        <v>45961</v>
      </c>
      <c r="C308" t="s">
        <v>323</v>
      </c>
      <c r="D308" t="s">
        <v>324</v>
      </c>
      <c r="E308" s="92" t="s">
        <v>204</v>
      </c>
      <c r="F308" s="93">
        <v>949719738</v>
      </c>
      <c r="G308" s="94" t="s">
        <v>325</v>
      </c>
      <c r="H308" s="92" t="s">
        <v>326</v>
      </c>
      <c r="I308" s="104">
        <v>20601646367</v>
      </c>
      <c r="K308" s="92" t="s">
        <v>70</v>
      </c>
      <c r="L308" s="92"/>
      <c r="M308" s="96" t="s">
        <v>28</v>
      </c>
      <c r="N308" t="s">
        <v>29</v>
      </c>
      <c r="O308" t="s">
        <v>9</v>
      </c>
      <c r="P308" s="112" t="s">
        <v>759</v>
      </c>
      <c r="Q308" t="s">
        <v>236</v>
      </c>
      <c r="S308" t="s">
        <v>760</v>
      </c>
      <c r="T308" s="93">
        <v>6500</v>
      </c>
      <c r="V308">
        <v>44</v>
      </c>
      <c r="W308" s="92"/>
    </row>
    <row r="309" spans="1:23" ht="29.1">
      <c r="A309">
        <v>210</v>
      </c>
      <c r="B309" s="91">
        <v>45961</v>
      </c>
      <c r="C309" t="s">
        <v>258</v>
      </c>
      <c r="D309" t="s">
        <v>541</v>
      </c>
      <c r="E309" s="92" t="s">
        <v>204</v>
      </c>
      <c r="F309" s="93">
        <v>971763270</v>
      </c>
      <c r="G309" s="94" t="s">
        <v>542</v>
      </c>
      <c r="H309" s="92" t="s">
        <v>543</v>
      </c>
      <c r="I309" s="95" t="s">
        <v>544</v>
      </c>
      <c r="K309" s="92" t="s">
        <v>43</v>
      </c>
      <c r="L309" s="92"/>
      <c r="M309" s="96" t="s">
        <v>119</v>
      </c>
      <c r="N309" t="s">
        <v>29</v>
      </c>
      <c r="O309" t="s">
        <v>9</v>
      </c>
      <c r="P309" s="97" t="s">
        <v>761</v>
      </c>
      <c r="Q309" t="s">
        <v>236</v>
      </c>
      <c r="S309" t="s">
        <v>633</v>
      </c>
      <c r="T309" s="93">
        <v>6949</v>
      </c>
      <c r="V309">
        <v>44</v>
      </c>
      <c r="W309" s="92"/>
    </row>
    <row r="310" spans="1:23" ht="29.1">
      <c r="A310">
        <v>211</v>
      </c>
      <c r="B310" s="91">
        <v>45961</v>
      </c>
      <c r="C310" t="s">
        <v>258</v>
      </c>
      <c r="D310" t="s">
        <v>547</v>
      </c>
      <c r="E310" s="92"/>
      <c r="F310" s="93">
        <v>990216016</v>
      </c>
      <c r="G310" s="94" t="s">
        <v>233</v>
      </c>
      <c r="H310" s="92" t="s">
        <v>260</v>
      </c>
      <c r="I310" s="95"/>
      <c r="K310" s="92"/>
      <c r="L310" s="92"/>
      <c r="M310" s="96" t="s">
        <v>119</v>
      </c>
      <c r="N310" t="s">
        <v>29</v>
      </c>
      <c r="O310" t="s">
        <v>9</v>
      </c>
      <c r="P310" s="108" t="s">
        <v>264</v>
      </c>
      <c r="Q310" t="s">
        <v>157</v>
      </c>
      <c r="T310" s="93"/>
      <c r="V310">
        <v>44</v>
      </c>
      <c r="W310" s="92"/>
    </row>
    <row r="311" spans="1:23">
      <c r="A311">
        <v>212</v>
      </c>
      <c r="B311" s="91">
        <v>45961</v>
      </c>
      <c r="C311" t="s">
        <v>258</v>
      </c>
      <c r="D311" t="s">
        <v>586</v>
      </c>
      <c r="E311" s="92"/>
      <c r="F311" s="93">
        <v>931055469</v>
      </c>
      <c r="G311" s="94" t="s">
        <v>587</v>
      </c>
      <c r="H311" s="92" t="s">
        <v>260</v>
      </c>
      <c r="I311" s="95"/>
      <c r="K311" s="92"/>
      <c r="L311" s="92"/>
      <c r="M311" s="96"/>
      <c r="N311" t="s">
        <v>29</v>
      </c>
      <c r="O311" t="s">
        <v>9</v>
      </c>
      <c r="P311" s="108" t="s">
        <v>731</v>
      </c>
      <c r="Q311" t="s">
        <v>157</v>
      </c>
      <c r="T311" s="93"/>
      <c r="V311">
        <v>44</v>
      </c>
      <c r="W311" s="92"/>
    </row>
    <row r="312" spans="1:23" ht="29.1">
      <c r="A312">
        <v>213</v>
      </c>
      <c r="B312" s="91">
        <v>45961</v>
      </c>
      <c r="C312" t="s">
        <v>258</v>
      </c>
      <c r="D312" t="s">
        <v>589</v>
      </c>
      <c r="E312" s="92"/>
      <c r="F312" s="93">
        <v>959916260</v>
      </c>
      <c r="G312" s="94" t="s">
        <v>590</v>
      </c>
      <c r="H312" t="s">
        <v>589</v>
      </c>
      <c r="I312" s="95"/>
      <c r="K312" s="92"/>
      <c r="L312" s="96" t="s">
        <v>635</v>
      </c>
      <c r="M312" s="96" t="s">
        <v>119</v>
      </c>
      <c r="N312" t="s">
        <v>29</v>
      </c>
      <c r="O312" t="s">
        <v>9</v>
      </c>
      <c r="P312" s="108" t="s">
        <v>723</v>
      </c>
      <c r="Q312" t="s">
        <v>236</v>
      </c>
      <c r="S312" t="s">
        <v>637</v>
      </c>
      <c r="T312" s="93">
        <v>4340</v>
      </c>
      <c r="V312">
        <v>44</v>
      </c>
      <c r="W312" s="92"/>
    </row>
    <row r="313" spans="1:23" ht="29.1">
      <c r="A313">
        <v>214</v>
      </c>
      <c r="B313" s="91">
        <v>45961</v>
      </c>
      <c r="C313" t="s">
        <v>258</v>
      </c>
      <c r="D313" t="s">
        <v>602</v>
      </c>
      <c r="E313" s="92" t="s">
        <v>215</v>
      </c>
      <c r="F313" s="93">
        <v>3487500</v>
      </c>
      <c r="G313" s="94" t="s">
        <v>603</v>
      </c>
      <c r="H313" s="92" t="s">
        <v>604</v>
      </c>
      <c r="I313" s="95"/>
      <c r="K313" s="92"/>
      <c r="L313" s="92"/>
      <c r="M313" s="96" t="s">
        <v>28</v>
      </c>
      <c r="O313" t="s">
        <v>30</v>
      </c>
      <c r="P313" s="110" t="s">
        <v>762</v>
      </c>
      <c r="Q313" t="s">
        <v>32</v>
      </c>
      <c r="T313" s="93"/>
      <c r="V313">
        <v>44</v>
      </c>
      <c r="W313" s="92"/>
    </row>
    <row r="314" spans="1:23" ht="29.1">
      <c r="A314">
        <v>215</v>
      </c>
      <c r="B314" s="91">
        <v>45961</v>
      </c>
      <c r="C314" t="s">
        <v>258</v>
      </c>
      <c r="D314" s="97" t="s">
        <v>642</v>
      </c>
      <c r="E314" s="92" t="s">
        <v>643</v>
      </c>
      <c r="F314" s="93" t="s">
        <v>644</v>
      </c>
      <c r="G314" s="94" t="s">
        <v>645</v>
      </c>
      <c r="H314" s="92" t="s">
        <v>646</v>
      </c>
      <c r="I314" s="94" t="s">
        <v>645</v>
      </c>
      <c r="K314" s="92" t="s">
        <v>70</v>
      </c>
      <c r="L314" s="92"/>
      <c r="M314" s="96" t="s">
        <v>119</v>
      </c>
      <c r="O314" t="s">
        <v>30</v>
      </c>
      <c r="P314" s="97" t="s">
        <v>763</v>
      </c>
      <c r="Q314" t="s">
        <v>32</v>
      </c>
      <c r="T314" s="93"/>
      <c r="V314">
        <v>44</v>
      </c>
      <c r="W314" s="92"/>
    </row>
    <row r="315" spans="1:23">
      <c r="A315">
        <v>216</v>
      </c>
      <c r="B315" s="91">
        <v>45961</v>
      </c>
      <c r="C315" t="s">
        <v>258</v>
      </c>
      <c r="D315" s="97"/>
      <c r="E315" s="92" t="s">
        <v>648</v>
      </c>
      <c r="F315" s="93">
        <v>2660155</v>
      </c>
      <c r="G315" s="94"/>
      <c r="H315" s="92" t="s">
        <v>649</v>
      </c>
      <c r="I315" s="94"/>
      <c r="K315" s="92"/>
      <c r="L315" s="92"/>
      <c r="M315" s="96"/>
      <c r="O315" t="s">
        <v>30</v>
      </c>
      <c r="P315" s="97" t="s">
        <v>764</v>
      </c>
      <c r="Q315" t="s">
        <v>321</v>
      </c>
      <c r="T315" s="93"/>
      <c r="V315">
        <v>44</v>
      </c>
      <c r="W315" s="92"/>
    </row>
    <row r="316" spans="1:23" ht="29.1">
      <c r="A316">
        <v>217</v>
      </c>
      <c r="B316" s="91">
        <v>45961</v>
      </c>
      <c r="C316" t="s">
        <v>258</v>
      </c>
      <c r="D316" s="97" t="s">
        <v>651</v>
      </c>
      <c r="E316" s="92"/>
      <c r="F316" s="93">
        <v>946686156</v>
      </c>
      <c r="G316" s="94"/>
      <c r="H316" s="97" t="s">
        <v>651</v>
      </c>
      <c r="I316" s="94"/>
      <c r="K316" s="92" t="s">
        <v>26</v>
      </c>
      <c r="L316" s="92"/>
      <c r="M316" s="96" t="s">
        <v>28</v>
      </c>
      <c r="O316" t="s">
        <v>9</v>
      </c>
      <c r="P316" s="97" t="s">
        <v>765</v>
      </c>
      <c r="Q316" t="s">
        <v>321</v>
      </c>
      <c r="S316" t="s">
        <v>653</v>
      </c>
      <c r="T316" s="93">
        <v>6949</v>
      </c>
      <c r="V316">
        <v>44</v>
      </c>
      <c r="W316" s="92"/>
    </row>
    <row r="317" spans="1:23">
      <c r="A317">
        <v>218</v>
      </c>
      <c r="B317" s="91">
        <v>45961</v>
      </c>
      <c r="C317" t="s">
        <v>258</v>
      </c>
      <c r="D317" s="97" t="s">
        <v>673</v>
      </c>
      <c r="E317" s="92" t="s">
        <v>674</v>
      </c>
      <c r="F317" s="93">
        <v>6516888</v>
      </c>
      <c r="G317" s="94" t="s">
        <v>675</v>
      </c>
      <c r="H317" s="92" t="s">
        <v>676</v>
      </c>
      <c r="I317" s="94"/>
      <c r="K317" s="92" t="s">
        <v>26</v>
      </c>
      <c r="L317" s="92" t="s">
        <v>593</v>
      </c>
      <c r="M317" s="96" t="s">
        <v>28</v>
      </c>
      <c r="O317" t="s">
        <v>30</v>
      </c>
      <c r="P317" s="97" t="s">
        <v>736</v>
      </c>
      <c r="Q317" t="s">
        <v>32</v>
      </c>
      <c r="T317" s="93"/>
      <c r="V317">
        <v>44</v>
      </c>
      <c r="W317" s="92"/>
    </row>
    <row r="318" spans="1:23" ht="29.1">
      <c r="A318">
        <v>219</v>
      </c>
      <c r="B318" s="91">
        <v>45961</v>
      </c>
      <c r="C318" t="s">
        <v>258</v>
      </c>
      <c r="D318" s="97" t="s">
        <v>678</v>
      </c>
      <c r="E318" s="92" t="s">
        <v>679</v>
      </c>
      <c r="F318" s="93">
        <v>6195200</v>
      </c>
      <c r="G318" s="94"/>
      <c r="H318" s="97" t="s">
        <v>680</v>
      </c>
      <c r="I318" s="94"/>
      <c r="K318" s="92" t="s">
        <v>26</v>
      </c>
      <c r="L318" s="92" t="s">
        <v>593</v>
      </c>
      <c r="M318" s="96" t="s">
        <v>28</v>
      </c>
      <c r="O318" t="s">
        <v>30</v>
      </c>
      <c r="P318" s="97" t="s">
        <v>681</v>
      </c>
      <c r="Q318" t="s">
        <v>32</v>
      </c>
      <c r="T318" s="93"/>
      <c r="V318">
        <v>44</v>
      </c>
      <c r="W318" s="92"/>
    </row>
    <row r="319" spans="1:23">
      <c r="A319">
        <v>220</v>
      </c>
      <c r="B319" s="91">
        <v>45961</v>
      </c>
      <c r="C319" t="s">
        <v>258</v>
      </c>
      <c r="D319" t="s">
        <v>682</v>
      </c>
      <c r="E319" t="s">
        <v>683</v>
      </c>
      <c r="F319" t="s">
        <v>684</v>
      </c>
      <c r="G319" s="94" t="s">
        <v>685</v>
      </c>
      <c r="H319" t="s">
        <v>686</v>
      </c>
      <c r="K319" s="92" t="s">
        <v>26</v>
      </c>
      <c r="L319" s="92" t="s">
        <v>593</v>
      </c>
      <c r="M319" s="96" t="s">
        <v>28</v>
      </c>
      <c r="O319" t="s">
        <v>30</v>
      </c>
      <c r="P319" s="97" t="s">
        <v>766</v>
      </c>
      <c r="Q319" t="s">
        <v>32</v>
      </c>
      <c r="T319" s="93"/>
      <c r="V319">
        <v>44</v>
      </c>
    </row>
    <row r="320" spans="1:23">
      <c r="A320">
        <v>221</v>
      </c>
      <c r="B320" s="91">
        <v>45961</v>
      </c>
      <c r="C320" t="s">
        <v>258</v>
      </c>
      <c r="D320" t="s">
        <v>738</v>
      </c>
      <c r="E320" t="s">
        <v>689</v>
      </c>
      <c r="F320" s="93">
        <v>930932772</v>
      </c>
      <c r="H320" t="s">
        <v>690</v>
      </c>
      <c r="K320" s="92" t="s">
        <v>26</v>
      </c>
      <c r="L320" s="92" t="s">
        <v>593</v>
      </c>
      <c r="M320" s="96" t="s">
        <v>28</v>
      </c>
      <c r="O320" t="s">
        <v>30</v>
      </c>
      <c r="P320" s="97" t="s">
        <v>739</v>
      </c>
      <c r="Q320" t="s">
        <v>32</v>
      </c>
      <c r="T320" s="93"/>
      <c r="V320">
        <v>44</v>
      </c>
    </row>
    <row r="321" spans="1:23">
      <c r="A321">
        <v>222</v>
      </c>
      <c r="B321" s="91">
        <v>45961</v>
      </c>
      <c r="C321" t="s">
        <v>258</v>
      </c>
      <c r="D321" t="s">
        <v>648</v>
      </c>
      <c r="E321" t="s">
        <v>695</v>
      </c>
      <c r="F321" s="93">
        <v>968213093</v>
      </c>
      <c r="H321" t="s">
        <v>695</v>
      </c>
      <c r="K321" t="s">
        <v>432</v>
      </c>
      <c r="L321" t="s">
        <v>696</v>
      </c>
      <c r="M321" s="96" t="s">
        <v>28</v>
      </c>
      <c r="O321" t="s">
        <v>30</v>
      </c>
      <c r="P321" s="97" t="s">
        <v>767</v>
      </c>
      <c r="Q321" t="s">
        <v>157</v>
      </c>
      <c r="T321" s="93"/>
      <c r="V321">
        <v>44</v>
      </c>
    </row>
    <row r="322" spans="1:23">
      <c r="A322">
        <v>223</v>
      </c>
      <c r="B322" s="91">
        <v>45961</v>
      </c>
      <c r="C322" t="s">
        <v>258</v>
      </c>
      <c r="D322" t="s">
        <v>768</v>
      </c>
      <c r="E322" t="s">
        <v>769</v>
      </c>
      <c r="F322" s="93">
        <v>4249438</v>
      </c>
      <c r="G322" s="94" t="s">
        <v>770</v>
      </c>
      <c r="H322" t="s">
        <v>771</v>
      </c>
      <c r="K322" t="s">
        <v>26</v>
      </c>
      <c r="L322" t="s">
        <v>27</v>
      </c>
      <c r="M322" s="96" t="s">
        <v>28</v>
      </c>
      <c r="O322" t="s">
        <v>30</v>
      </c>
      <c r="P322" s="112" t="s">
        <v>772</v>
      </c>
      <c r="Q322" t="s">
        <v>32</v>
      </c>
      <c r="T322" s="93"/>
      <c r="V322">
        <v>44</v>
      </c>
    </row>
    <row r="323" spans="1:23">
      <c r="A323">
        <v>224</v>
      </c>
      <c r="B323" s="91">
        <v>45961</v>
      </c>
      <c r="C323" t="s">
        <v>258</v>
      </c>
      <c r="D323" t="s">
        <v>773</v>
      </c>
      <c r="E323" t="s">
        <v>774</v>
      </c>
      <c r="F323" s="93">
        <v>4442829</v>
      </c>
      <c r="G323" s="94" t="s">
        <v>775</v>
      </c>
      <c r="H323" t="s">
        <v>776</v>
      </c>
      <c r="K323" t="s">
        <v>26</v>
      </c>
      <c r="L323" t="s">
        <v>27</v>
      </c>
      <c r="M323" s="96" t="s">
        <v>28</v>
      </c>
      <c r="O323" t="s">
        <v>30</v>
      </c>
      <c r="P323" t="s">
        <v>777</v>
      </c>
      <c r="Q323" t="s">
        <v>32</v>
      </c>
      <c r="T323" s="93"/>
      <c r="V323" t="e">
        <f>WEEKNUM([3]!CRM[[#This Row],[Fecha]])</f>
        <v>#VALUE!</v>
      </c>
    </row>
    <row r="324" spans="1:23">
      <c r="A324">
        <v>225</v>
      </c>
      <c r="B324" s="91">
        <v>45961</v>
      </c>
      <c r="C324" t="s">
        <v>258</v>
      </c>
      <c r="D324" t="s">
        <v>778</v>
      </c>
      <c r="E324" t="s">
        <v>769</v>
      </c>
      <c r="F324" s="93">
        <v>2719039</v>
      </c>
      <c r="G324" s="94" t="s">
        <v>779</v>
      </c>
      <c r="H324" t="s">
        <v>780</v>
      </c>
      <c r="K324" t="s">
        <v>26</v>
      </c>
      <c r="L324" t="s">
        <v>27</v>
      </c>
      <c r="M324" s="96" t="s">
        <v>28</v>
      </c>
      <c r="O324" t="s">
        <v>30</v>
      </c>
      <c r="P324" t="s">
        <v>777</v>
      </c>
      <c r="Q324" t="s">
        <v>32</v>
      </c>
      <c r="T324" s="93"/>
      <c r="V324" t="e">
        <f>WEEKNUM([3]!CRM[[#This Row],[Fecha]])</f>
        <v>#VALUE!</v>
      </c>
    </row>
    <row r="325" spans="1:23">
      <c r="A325">
        <v>226</v>
      </c>
      <c r="B325" s="91">
        <v>45961</v>
      </c>
      <c r="C325" t="s">
        <v>258</v>
      </c>
      <c r="D325" t="s">
        <v>781</v>
      </c>
      <c r="E325" t="s">
        <v>683</v>
      </c>
      <c r="F325" s="93">
        <v>6100700</v>
      </c>
      <c r="G325" s="94" t="s">
        <v>782</v>
      </c>
      <c r="H325" t="s">
        <v>783</v>
      </c>
      <c r="K325" t="s">
        <v>26</v>
      </c>
      <c r="L325" t="s">
        <v>27</v>
      </c>
      <c r="M325" s="96" t="s">
        <v>28</v>
      </c>
      <c r="O325" t="s">
        <v>30</v>
      </c>
      <c r="P325" t="s">
        <v>777</v>
      </c>
      <c r="Q325" t="s">
        <v>32</v>
      </c>
      <c r="T325" s="93"/>
      <c r="V325" t="e">
        <f>WEEKNUM([3]!CRM[[#This Row],[Fecha]])</f>
        <v>#VALUE!</v>
      </c>
    </row>
    <row r="326" spans="1:23">
      <c r="A326">
        <v>227</v>
      </c>
      <c r="B326" s="91">
        <v>45961</v>
      </c>
      <c r="C326" t="s">
        <v>258</v>
      </c>
      <c r="D326" t="s">
        <v>784</v>
      </c>
      <c r="E326" t="s">
        <v>785</v>
      </c>
      <c r="F326" s="93">
        <v>2412942</v>
      </c>
      <c r="G326" s="94" t="s">
        <v>786</v>
      </c>
      <c r="H326" t="s">
        <v>787</v>
      </c>
      <c r="K326" t="s">
        <v>26</v>
      </c>
      <c r="L326" t="s">
        <v>27</v>
      </c>
      <c r="M326" s="96" t="s">
        <v>28</v>
      </c>
      <c r="O326" t="s">
        <v>30</v>
      </c>
      <c r="P326" t="s">
        <v>777</v>
      </c>
      <c r="Q326" t="s">
        <v>32</v>
      </c>
      <c r="T326" s="93"/>
      <c r="V326" t="e">
        <f>WEEKNUM([3]!CRM[[#This Row],[Fecha]])</f>
        <v>#VALUE!</v>
      </c>
    </row>
    <row r="327" spans="1:23">
      <c r="A327">
        <v>228</v>
      </c>
      <c r="B327" s="91">
        <v>45961</v>
      </c>
      <c r="C327" t="s">
        <v>258</v>
      </c>
      <c r="D327" t="s">
        <v>788</v>
      </c>
      <c r="E327" t="s">
        <v>683</v>
      </c>
      <c r="F327" s="93">
        <v>4446571</v>
      </c>
      <c r="G327" s="94" t="s">
        <v>789</v>
      </c>
      <c r="H327" t="s">
        <v>790</v>
      </c>
      <c r="K327" t="s">
        <v>26</v>
      </c>
      <c r="L327" t="s">
        <v>27</v>
      </c>
      <c r="M327" s="96" t="s">
        <v>28</v>
      </c>
      <c r="O327" t="s">
        <v>30</v>
      </c>
      <c r="P327" t="s">
        <v>777</v>
      </c>
      <c r="Q327" t="s">
        <v>32</v>
      </c>
      <c r="T327" s="93"/>
      <c r="V327" t="e">
        <f>WEEKNUM([3]!CRM[[#This Row],[Fecha]])</f>
        <v>#VALUE!</v>
      </c>
    </row>
    <row r="328" spans="1:23">
      <c r="A328">
        <v>229</v>
      </c>
      <c r="B328" s="91">
        <v>45961</v>
      </c>
      <c r="C328" t="s">
        <v>258</v>
      </c>
      <c r="D328" t="s">
        <v>791</v>
      </c>
      <c r="E328" t="s">
        <v>683</v>
      </c>
      <c r="F328" s="93">
        <v>6251200</v>
      </c>
      <c r="G328" s="94" t="s">
        <v>792</v>
      </c>
      <c r="H328" t="s">
        <v>793</v>
      </c>
      <c r="K328" t="s">
        <v>26</v>
      </c>
      <c r="L328" t="s">
        <v>27</v>
      </c>
      <c r="M328" s="96" t="s">
        <v>28</v>
      </c>
      <c r="O328" t="s">
        <v>30</v>
      </c>
      <c r="P328" t="s">
        <v>777</v>
      </c>
      <c r="Q328" t="s">
        <v>32</v>
      </c>
      <c r="T328" s="93"/>
      <c r="V328" t="e">
        <f>WEEKNUM([3]!CRM[[#This Row],[Fecha]])</f>
        <v>#VALUE!</v>
      </c>
    </row>
    <row r="329" spans="1:23">
      <c r="A329">
        <v>230</v>
      </c>
      <c r="B329" s="91">
        <v>45961</v>
      </c>
      <c r="C329" t="s">
        <v>258</v>
      </c>
      <c r="D329" t="s">
        <v>794</v>
      </c>
      <c r="E329" t="s">
        <v>607</v>
      </c>
      <c r="F329" s="93">
        <v>6281040</v>
      </c>
      <c r="G329" s="94" t="s">
        <v>795</v>
      </c>
      <c r="H329" t="s">
        <v>796</v>
      </c>
      <c r="K329" t="s">
        <v>26</v>
      </c>
      <c r="L329" t="s">
        <v>27</v>
      </c>
      <c r="M329" s="96" t="s">
        <v>28</v>
      </c>
      <c r="O329" t="s">
        <v>30</v>
      </c>
      <c r="P329" t="s">
        <v>777</v>
      </c>
      <c r="Q329" t="s">
        <v>32</v>
      </c>
      <c r="T329" s="93"/>
      <c r="V329" t="e">
        <f>WEEKNUM([3]!CRM[[#This Row],[Fecha]])</f>
        <v>#VALUE!</v>
      </c>
    </row>
    <row r="330" spans="1:23">
      <c r="A330">
        <v>231</v>
      </c>
      <c r="B330" s="91">
        <v>45961</v>
      </c>
      <c r="C330" t="s">
        <v>258</v>
      </c>
      <c r="D330" t="s">
        <v>648</v>
      </c>
      <c r="F330" s="93">
        <v>975478181</v>
      </c>
      <c r="H330" t="s">
        <v>797</v>
      </c>
      <c r="K330" t="s">
        <v>26</v>
      </c>
      <c r="L330" t="s">
        <v>27</v>
      </c>
      <c r="M330" s="96" t="s">
        <v>28</v>
      </c>
      <c r="O330" t="s">
        <v>30</v>
      </c>
      <c r="P330" t="s">
        <v>798</v>
      </c>
      <c r="Q330" t="s">
        <v>32</v>
      </c>
      <c r="T330" s="93"/>
      <c r="V330" t="e">
        <f>WEEKNUM([3]!CRM[[#This Row],[Fecha]])</f>
        <v>#VALUE!</v>
      </c>
    </row>
    <row r="331" spans="1:23">
      <c r="A331">
        <v>232</v>
      </c>
      <c r="B331" s="91">
        <v>45961</v>
      </c>
      <c r="C331" t="s">
        <v>258</v>
      </c>
      <c r="D331" t="s">
        <v>648</v>
      </c>
      <c r="F331" s="93">
        <v>2664531</v>
      </c>
      <c r="G331" s="94" t="s">
        <v>799</v>
      </c>
      <c r="H331" t="s">
        <v>800</v>
      </c>
      <c r="K331" t="s">
        <v>26</v>
      </c>
      <c r="L331" t="s">
        <v>27</v>
      </c>
      <c r="M331" s="96" t="s">
        <v>28</v>
      </c>
      <c r="O331" t="s">
        <v>30</v>
      </c>
      <c r="P331" t="s">
        <v>777</v>
      </c>
      <c r="Q331" t="s">
        <v>32</v>
      </c>
      <c r="T331" s="93"/>
      <c r="V331" t="e">
        <f>WEEKNUM([3]!CRM[[#This Row],[Fecha]])</f>
        <v>#VALUE!</v>
      </c>
    </row>
    <row r="332" spans="1:23">
      <c r="A332">
        <v>233</v>
      </c>
      <c r="B332" s="91">
        <v>45961</v>
      </c>
      <c r="C332" t="s">
        <v>258</v>
      </c>
      <c r="D332" t="s">
        <v>648</v>
      </c>
      <c r="F332" s="93">
        <v>2423492</v>
      </c>
      <c r="G332" s="94" t="s">
        <v>801</v>
      </c>
      <c r="H332" t="s">
        <v>802</v>
      </c>
      <c r="K332" t="s">
        <v>26</v>
      </c>
      <c r="L332" t="s">
        <v>27</v>
      </c>
      <c r="M332" s="96" t="s">
        <v>28</v>
      </c>
      <c r="O332" t="s">
        <v>30</v>
      </c>
      <c r="P332" t="s">
        <v>777</v>
      </c>
      <c r="Q332" t="s">
        <v>32</v>
      </c>
      <c r="T332" s="93"/>
      <c r="V332" t="e">
        <f>WEEKNUM([3]!CRM[[#This Row],[Fecha]])</f>
        <v>#VALUE!</v>
      </c>
    </row>
    <row r="333" spans="1:23" ht="29.1">
      <c r="A333">
        <v>234</v>
      </c>
      <c r="B333" s="91">
        <v>45965</v>
      </c>
      <c r="C333" t="s">
        <v>323</v>
      </c>
      <c r="D333" t="s">
        <v>504</v>
      </c>
      <c r="E333" s="92" t="s">
        <v>204</v>
      </c>
      <c r="F333" s="93">
        <v>905824331</v>
      </c>
      <c r="G333" s="94" t="s">
        <v>505</v>
      </c>
      <c r="H333" t="s">
        <v>752</v>
      </c>
      <c r="I333" s="104" t="s">
        <v>489</v>
      </c>
      <c r="K333" s="92" t="s">
        <v>43</v>
      </c>
      <c r="L333" s="92"/>
      <c r="M333" s="96" t="s">
        <v>119</v>
      </c>
      <c r="N333" t="s">
        <v>29</v>
      </c>
      <c r="O333" t="s">
        <v>9</v>
      </c>
      <c r="P333" s="97" t="s">
        <v>803</v>
      </c>
      <c r="Q333" s="97" t="s">
        <v>150</v>
      </c>
      <c r="S333" t="s">
        <v>532</v>
      </c>
      <c r="T333" s="93">
        <v>4340</v>
      </c>
      <c r="V333">
        <v>44</v>
      </c>
    </row>
    <row r="334" spans="1:23" ht="29.1">
      <c r="A334">
        <v>235</v>
      </c>
      <c r="B334" s="91">
        <v>45965</v>
      </c>
      <c r="C334" t="s">
        <v>323</v>
      </c>
      <c r="D334" t="s">
        <v>499</v>
      </c>
      <c r="E334" s="92" t="s">
        <v>204</v>
      </c>
      <c r="F334" s="93">
        <v>950308250</v>
      </c>
      <c r="G334" s="94" t="s">
        <v>500</v>
      </c>
      <c r="H334" s="92" t="s">
        <v>501</v>
      </c>
      <c r="I334" s="104">
        <v>20614800659</v>
      </c>
      <c r="K334" s="92" t="s">
        <v>43</v>
      </c>
      <c r="L334" s="92"/>
      <c r="M334" s="96" t="s">
        <v>119</v>
      </c>
      <c r="N334" t="s">
        <v>29</v>
      </c>
      <c r="O334" t="s">
        <v>9</v>
      </c>
      <c r="P334" s="97" t="s">
        <v>804</v>
      </c>
      <c r="Q334" t="s">
        <v>321</v>
      </c>
      <c r="T334" s="93">
        <v>6898</v>
      </c>
      <c r="U334" s="91">
        <v>45992</v>
      </c>
      <c r="V334" t="e">
        <f>WEEKNUM([3]!CRM[[#This Row],[Fecha]])</f>
        <v>#VALUE!</v>
      </c>
      <c r="W334" s="92"/>
    </row>
    <row r="335" spans="1:23" ht="29.1">
      <c r="A335">
        <v>236</v>
      </c>
      <c r="B335" s="91">
        <v>45965</v>
      </c>
      <c r="C335" t="s">
        <v>323</v>
      </c>
      <c r="D335" t="s">
        <v>244</v>
      </c>
      <c r="E335" s="92" t="s">
        <v>204</v>
      </c>
      <c r="F335" s="93">
        <v>915244218</v>
      </c>
      <c r="G335" s="94" t="s">
        <v>245</v>
      </c>
      <c r="H335" t="s">
        <v>244</v>
      </c>
      <c r="I335" s="114" t="s">
        <v>246</v>
      </c>
      <c r="K335" s="92" t="s">
        <v>26</v>
      </c>
      <c r="L335" s="92" t="s">
        <v>247</v>
      </c>
      <c r="M335" s="96" t="s">
        <v>119</v>
      </c>
      <c r="O335" t="s">
        <v>9</v>
      </c>
      <c r="P335" s="97" t="s">
        <v>805</v>
      </c>
      <c r="Q335" s="97" t="s">
        <v>150</v>
      </c>
      <c r="S335" t="s">
        <v>249</v>
      </c>
      <c r="T335" s="93">
        <v>4340</v>
      </c>
      <c r="U335" s="91">
        <v>45968</v>
      </c>
      <c r="V335">
        <v>44</v>
      </c>
      <c r="W335" s="92"/>
    </row>
    <row r="336" spans="1:23" ht="29.1">
      <c r="A336">
        <v>237</v>
      </c>
      <c r="B336" s="91">
        <v>45975</v>
      </c>
      <c r="C336" t="s">
        <v>258</v>
      </c>
      <c r="D336" t="s">
        <v>541</v>
      </c>
      <c r="E336" s="92" t="s">
        <v>204</v>
      </c>
      <c r="F336" s="93">
        <v>971763270</v>
      </c>
      <c r="G336" s="94" t="s">
        <v>542</v>
      </c>
      <c r="H336" s="92" t="s">
        <v>543</v>
      </c>
      <c r="I336" s="95" t="s">
        <v>544</v>
      </c>
      <c r="K336" s="92" t="s">
        <v>43</v>
      </c>
      <c r="L336" s="92"/>
      <c r="M336" s="96" t="s">
        <v>119</v>
      </c>
      <c r="N336" t="s">
        <v>29</v>
      </c>
      <c r="O336" t="s">
        <v>9</v>
      </c>
      <c r="P336" s="97" t="s">
        <v>806</v>
      </c>
      <c r="Q336" t="s">
        <v>236</v>
      </c>
      <c r="S336" t="s">
        <v>633</v>
      </c>
      <c r="T336" s="93">
        <v>6949</v>
      </c>
      <c r="V336">
        <v>44</v>
      </c>
      <c r="W336" s="92"/>
    </row>
    <row r="337" spans="1:23" ht="29.45" thickBot="1">
      <c r="A337">
        <v>238</v>
      </c>
      <c r="B337" s="91">
        <v>45979</v>
      </c>
      <c r="C337" t="s">
        <v>258</v>
      </c>
      <c r="D337" t="s">
        <v>541</v>
      </c>
      <c r="E337" s="92" t="s">
        <v>204</v>
      </c>
      <c r="F337" s="93">
        <v>971763270</v>
      </c>
      <c r="G337" s="94" t="s">
        <v>542</v>
      </c>
      <c r="H337" s="92" t="s">
        <v>543</v>
      </c>
      <c r="I337" s="95" t="s">
        <v>544</v>
      </c>
      <c r="K337" s="92" t="s">
        <v>43</v>
      </c>
      <c r="L337" s="92"/>
      <c r="M337" s="96" t="s">
        <v>119</v>
      </c>
      <c r="N337" t="s">
        <v>29</v>
      </c>
      <c r="O337" t="s">
        <v>9</v>
      </c>
      <c r="P337" s="97" t="s">
        <v>807</v>
      </c>
      <c r="Q337" t="s">
        <v>236</v>
      </c>
      <c r="S337" t="s">
        <v>633</v>
      </c>
      <c r="T337" s="93">
        <v>6949</v>
      </c>
      <c r="V337">
        <v>44</v>
      </c>
      <c r="W337" s="92"/>
    </row>
    <row r="338" spans="1:23" ht="58.5" thickBot="1">
      <c r="A338" s="115">
        <v>1</v>
      </c>
      <c r="B338" s="116">
        <v>45940</v>
      </c>
      <c r="C338" s="117" t="s">
        <v>808</v>
      </c>
      <c r="D338" s="117" t="s">
        <v>809</v>
      </c>
      <c r="E338" s="118" t="s">
        <v>810</v>
      </c>
      <c r="F338" s="119">
        <v>968447484</v>
      </c>
      <c r="G338" s="120" t="s">
        <v>811</v>
      </c>
      <c r="H338" s="117" t="s">
        <v>812</v>
      </c>
      <c r="I338" s="121">
        <v>20525908683</v>
      </c>
      <c r="J338" s="118"/>
      <c r="K338" s="117" t="s">
        <v>26</v>
      </c>
      <c r="L338" s="117" t="s">
        <v>813</v>
      </c>
      <c r="M338" s="117" t="s">
        <v>136</v>
      </c>
      <c r="N338" s="118"/>
      <c r="O338" s="118" t="s">
        <v>9</v>
      </c>
      <c r="P338" s="122" t="s">
        <v>814</v>
      </c>
      <c r="Q338" s="117" t="s">
        <v>815</v>
      </c>
      <c r="R338" s="118"/>
      <c r="S338" s="118"/>
      <c r="T338" s="118"/>
      <c r="U338" s="123">
        <v>45950</v>
      </c>
      <c r="V338" s="118" t="e">
        <f>WEEKNUM([2]!CRM[[#This Row],[Fecha]])</f>
        <v>#REF!</v>
      </c>
      <c r="W338" s="124">
        <v>1</v>
      </c>
    </row>
    <row r="339" spans="1:23" ht="58.5" thickBot="1">
      <c r="A339" s="125">
        <v>2</v>
      </c>
      <c r="B339" s="126">
        <v>45940</v>
      </c>
      <c r="C339" s="127" t="s">
        <v>808</v>
      </c>
      <c r="D339" s="127" t="s">
        <v>816</v>
      </c>
      <c r="E339" s="127" t="s">
        <v>817</v>
      </c>
      <c r="F339" s="128">
        <v>924997650</v>
      </c>
      <c r="G339" s="129" t="s">
        <v>818</v>
      </c>
      <c r="H339" s="127" t="s">
        <v>819</v>
      </c>
      <c r="I339" s="130">
        <v>20547728824</v>
      </c>
      <c r="J339" s="131"/>
      <c r="K339" s="127" t="s">
        <v>26</v>
      </c>
      <c r="L339" s="132" t="s">
        <v>26</v>
      </c>
      <c r="M339" s="127" t="s">
        <v>136</v>
      </c>
      <c r="N339" s="131"/>
      <c r="O339" s="131" t="s">
        <v>9</v>
      </c>
      <c r="P339" s="133" t="s">
        <v>820</v>
      </c>
      <c r="Q339" s="127" t="s">
        <v>815</v>
      </c>
      <c r="R339" s="131"/>
      <c r="S339" s="131"/>
      <c r="T339" s="131"/>
      <c r="U339" s="134">
        <v>45950</v>
      </c>
      <c r="V339" s="131" t="e">
        <f>WEEKNUM([2]!CRM[[#This Row],[Fecha]])</f>
        <v>#REF!</v>
      </c>
      <c r="W339" s="135">
        <v>12</v>
      </c>
    </row>
    <row r="340" spans="1:23" ht="58.5" thickBot="1">
      <c r="A340" s="115">
        <v>3</v>
      </c>
      <c r="B340" s="136">
        <v>45940</v>
      </c>
      <c r="C340" s="132" t="s">
        <v>808</v>
      </c>
      <c r="D340" s="76" t="s">
        <v>821</v>
      </c>
      <c r="E340" s="132" t="s">
        <v>822</v>
      </c>
      <c r="F340" s="137">
        <v>943794776</v>
      </c>
      <c r="G340" s="138" t="s">
        <v>823</v>
      </c>
      <c r="H340" s="132" t="s">
        <v>824</v>
      </c>
      <c r="I340" s="139">
        <v>20340120591</v>
      </c>
      <c r="J340" s="140"/>
      <c r="K340" s="132" t="s">
        <v>26</v>
      </c>
      <c r="L340" s="132" t="s">
        <v>26</v>
      </c>
      <c r="M340" s="132" t="s">
        <v>136</v>
      </c>
      <c r="N340" s="140"/>
      <c r="O340" s="140" t="s">
        <v>9</v>
      </c>
      <c r="P340" s="76" t="s">
        <v>825</v>
      </c>
      <c r="Q340" s="132" t="s">
        <v>815</v>
      </c>
      <c r="R340" s="140"/>
      <c r="S340" s="140"/>
      <c r="T340" s="140"/>
      <c r="U340" s="141">
        <v>45950</v>
      </c>
      <c r="V340" s="140" t="e">
        <f>WEEKNUM([2]!CRM[[#This Row],[Fecha]])</f>
        <v>#REF!</v>
      </c>
      <c r="W340" s="142">
        <v>21</v>
      </c>
    </row>
    <row r="341" spans="1:23" ht="29.45" thickBot="1">
      <c r="A341" s="125">
        <v>4</v>
      </c>
      <c r="B341" s="126">
        <v>45940</v>
      </c>
      <c r="C341" s="127" t="s">
        <v>808</v>
      </c>
      <c r="D341" s="131"/>
      <c r="E341" s="131"/>
      <c r="F341" s="128">
        <v>928554925</v>
      </c>
      <c r="G341" s="129" t="s">
        <v>826</v>
      </c>
      <c r="H341" s="127" t="s">
        <v>827</v>
      </c>
      <c r="I341" s="130"/>
      <c r="J341" s="131"/>
      <c r="K341" s="131"/>
      <c r="L341" s="131"/>
      <c r="M341" s="131"/>
      <c r="N341" s="131"/>
      <c r="O341" s="131" t="s">
        <v>9</v>
      </c>
      <c r="P341" s="133" t="s">
        <v>828</v>
      </c>
      <c r="Q341" s="133" t="s">
        <v>815</v>
      </c>
      <c r="R341" s="131"/>
      <c r="S341" s="131"/>
      <c r="T341" s="131"/>
      <c r="U341" s="143">
        <v>45950</v>
      </c>
      <c r="V341" s="131" t="e">
        <f>WEEKNUM([2]!CRM[[#This Row],[Fecha]])</f>
        <v>#REF!</v>
      </c>
      <c r="W341" s="144"/>
    </row>
    <row r="342" spans="1:23" ht="58.5" thickBot="1">
      <c r="A342" s="125">
        <v>5</v>
      </c>
      <c r="B342" s="126">
        <v>45940</v>
      </c>
      <c r="C342" s="127" t="s">
        <v>808</v>
      </c>
      <c r="D342" s="131"/>
      <c r="E342" s="131"/>
      <c r="F342" s="128">
        <v>900818310</v>
      </c>
      <c r="G342" s="129" t="s">
        <v>829</v>
      </c>
      <c r="H342" s="127" t="s">
        <v>830</v>
      </c>
      <c r="I342" s="130" t="s">
        <v>306</v>
      </c>
      <c r="J342" s="131"/>
      <c r="K342" s="131" t="s">
        <v>26</v>
      </c>
      <c r="L342" s="131" t="s">
        <v>831</v>
      </c>
      <c r="M342" s="131"/>
      <c r="N342" s="131"/>
      <c r="O342" s="131" t="s">
        <v>9</v>
      </c>
      <c r="P342" s="133" t="s">
        <v>832</v>
      </c>
      <c r="Q342" s="133" t="s">
        <v>815</v>
      </c>
      <c r="R342" s="131"/>
      <c r="S342" s="131"/>
      <c r="T342" s="131"/>
      <c r="U342" s="143">
        <v>45950</v>
      </c>
      <c r="V342" s="131" t="e">
        <f>WEEKNUM([2]!CRM[[#This Row],[Fecha]])</f>
        <v>#REF!</v>
      </c>
      <c r="W342" s="144"/>
    </row>
    <row r="343" spans="1:23" ht="29.45" thickBot="1">
      <c r="A343" s="125">
        <v>6</v>
      </c>
      <c r="B343" s="126">
        <v>45940</v>
      </c>
      <c r="C343" s="127" t="s">
        <v>808</v>
      </c>
      <c r="D343" s="131"/>
      <c r="E343" s="131" t="s">
        <v>81</v>
      </c>
      <c r="F343" s="128" t="s">
        <v>833</v>
      </c>
      <c r="G343" s="129" t="s">
        <v>834</v>
      </c>
      <c r="H343" s="127" t="s">
        <v>835</v>
      </c>
      <c r="I343" s="130">
        <v>20348851251</v>
      </c>
      <c r="J343" s="131"/>
      <c r="K343" s="131" t="s">
        <v>26</v>
      </c>
      <c r="L343" s="131" t="s">
        <v>247</v>
      </c>
      <c r="M343" s="131" t="s">
        <v>28</v>
      </c>
      <c r="N343" s="131"/>
      <c r="O343" s="131" t="s">
        <v>9</v>
      </c>
      <c r="P343" s="133" t="s">
        <v>836</v>
      </c>
      <c r="Q343" s="133" t="s">
        <v>815</v>
      </c>
      <c r="R343" s="131"/>
      <c r="S343" s="131"/>
      <c r="T343" s="131"/>
      <c r="U343" s="143">
        <v>45950</v>
      </c>
      <c r="V343" s="131" t="e">
        <f>WEEKNUM([2]!CRM[[#This Row],[Fecha]])</f>
        <v>#REF!</v>
      </c>
      <c r="W343" s="144"/>
    </row>
    <row r="344" spans="1:23" ht="29.45" thickBot="1">
      <c r="A344" s="125">
        <v>7</v>
      </c>
      <c r="B344" s="126">
        <v>45940</v>
      </c>
      <c r="C344" s="127" t="s">
        <v>808</v>
      </c>
      <c r="D344" s="131" t="s">
        <v>837</v>
      </c>
      <c r="E344" s="131" t="s">
        <v>838</v>
      </c>
      <c r="F344" s="128">
        <v>970175949</v>
      </c>
      <c r="G344" s="129" t="s">
        <v>205</v>
      </c>
      <c r="H344" s="127" t="s">
        <v>839</v>
      </c>
      <c r="I344" s="130">
        <v>10774619271</v>
      </c>
      <c r="J344" s="131"/>
      <c r="K344" s="131" t="s">
        <v>206</v>
      </c>
      <c r="L344" s="131" t="s">
        <v>206</v>
      </c>
      <c r="M344" s="131" t="s">
        <v>28</v>
      </c>
      <c r="N344" s="131"/>
      <c r="O344" s="131" t="s">
        <v>9</v>
      </c>
      <c r="P344" s="133" t="s">
        <v>840</v>
      </c>
      <c r="Q344" s="133" t="s">
        <v>236</v>
      </c>
      <c r="R344" s="131"/>
      <c r="S344" s="131"/>
      <c r="T344" s="131"/>
      <c r="U344" s="143">
        <v>45950</v>
      </c>
      <c r="V344" s="131" t="e">
        <f>WEEKNUM([2]!CRM[[#This Row],[Fecha]])</f>
        <v>#REF!</v>
      </c>
      <c r="W344" s="144"/>
    </row>
    <row r="345" spans="1:23" ht="44.1" thickBot="1">
      <c r="A345" s="125">
        <v>8</v>
      </c>
      <c r="B345" s="126">
        <v>45940</v>
      </c>
      <c r="C345" s="127" t="s">
        <v>808</v>
      </c>
      <c r="D345" s="131"/>
      <c r="E345" s="131"/>
      <c r="F345" s="128">
        <v>941937424</v>
      </c>
      <c r="G345" s="129" t="s">
        <v>841</v>
      </c>
      <c r="H345" s="127" t="s">
        <v>842</v>
      </c>
      <c r="I345" s="130"/>
      <c r="J345" s="131"/>
      <c r="K345" s="131"/>
      <c r="L345" s="131"/>
      <c r="M345" s="131" t="s">
        <v>119</v>
      </c>
      <c r="N345" s="131"/>
      <c r="O345" s="131" t="s">
        <v>9</v>
      </c>
      <c r="P345" s="133" t="s">
        <v>843</v>
      </c>
      <c r="Q345" s="133" t="s">
        <v>815</v>
      </c>
      <c r="R345" s="131"/>
      <c r="S345" s="131"/>
      <c r="T345" s="131"/>
      <c r="U345" s="143">
        <v>45950</v>
      </c>
      <c r="V345" s="131" t="e">
        <f>WEEKNUM([2]!CRM[[#This Row],[Fecha]])</f>
        <v>#REF!</v>
      </c>
      <c r="W345" s="144"/>
    </row>
    <row r="346" spans="1:23" ht="29.45" thickBot="1">
      <c r="A346" s="125">
        <v>9</v>
      </c>
      <c r="B346" s="126">
        <v>45940</v>
      </c>
      <c r="C346" s="127" t="s">
        <v>808</v>
      </c>
      <c r="D346" s="131" t="s">
        <v>844</v>
      </c>
      <c r="E346" s="131"/>
      <c r="F346" s="128">
        <v>927574481</v>
      </c>
      <c r="G346" s="129" t="s">
        <v>845</v>
      </c>
      <c r="H346" s="127" t="s">
        <v>846</v>
      </c>
      <c r="I346" s="130"/>
      <c r="J346" s="131"/>
      <c r="K346" s="131"/>
      <c r="L346" s="131"/>
      <c r="M346" s="131"/>
      <c r="N346" s="131"/>
      <c r="O346" s="131" t="s">
        <v>9</v>
      </c>
      <c r="P346" s="133" t="s">
        <v>847</v>
      </c>
      <c r="Q346" s="133" t="s">
        <v>815</v>
      </c>
      <c r="R346" s="131"/>
      <c r="S346" s="131"/>
      <c r="T346" s="131"/>
      <c r="U346" s="143">
        <v>45950</v>
      </c>
      <c r="V346" s="131" t="e">
        <f>WEEKNUM([2]!CRM[[#This Row],[Fecha]])</f>
        <v>#REF!</v>
      </c>
      <c r="W346" s="144"/>
    </row>
    <row r="347" spans="1:23" ht="29.45" thickBot="1">
      <c r="A347" s="125">
        <v>10</v>
      </c>
      <c r="B347" s="126">
        <v>45940</v>
      </c>
      <c r="C347" s="127" t="s">
        <v>808</v>
      </c>
      <c r="D347" s="131"/>
      <c r="E347" s="131"/>
      <c r="F347" s="128">
        <v>918364871</v>
      </c>
      <c r="G347" s="129" t="s">
        <v>848</v>
      </c>
      <c r="H347" s="127" t="s">
        <v>849</v>
      </c>
      <c r="I347" s="130"/>
      <c r="J347" s="131"/>
      <c r="K347" s="131"/>
      <c r="L347" s="131"/>
      <c r="M347" s="131"/>
      <c r="N347" s="131"/>
      <c r="O347" s="131" t="s">
        <v>9</v>
      </c>
      <c r="P347" s="133" t="s">
        <v>850</v>
      </c>
      <c r="Q347" s="133" t="s">
        <v>815</v>
      </c>
      <c r="R347" s="131"/>
      <c r="S347" s="131"/>
      <c r="T347" s="131"/>
      <c r="U347" s="143">
        <v>45950</v>
      </c>
      <c r="V347" s="131" t="e">
        <f>WEEKNUM([2]!CRM[[#This Row],[Fecha]])</f>
        <v>#REF!</v>
      </c>
      <c r="W347" s="144"/>
    </row>
    <row r="348" spans="1:23" ht="29.45" thickBot="1">
      <c r="A348" s="125">
        <v>11</v>
      </c>
      <c r="B348" s="126">
        <v>45941</v>
      </c>
      <c r="C348" s="127" t="s">
        <v>808</v>
      </c>
      <c r="D348" s="131" t="s">
        <v>851</v>
      </c>
      <c r="E348" s="131"/>
      <c r="F348" s="128">
        <v>929289542</v>
      </c>
      <c r="G348" s="129" t="s">
        <v>852</v>
      </c>
      <c r="H348" s="127" t="s">
        <v>851</v>
      </c>
      <c r="I348" s="130"/>
      <c r="J348" s="131"/>
      <c r="K348" s="131"/>
      <c r="L348" s="131"/>
      <c r="M348" s="131" t="s">
        <v>119</v>
      </c>
      <c r="N348" s="131"/>
      <c r="O348" s="131" t="s">
        <v>9</v>
      </c>
      <c r="P348" s="133" t="s">
        <v>853</v>
      </c>
      <c r="Q348" s="133" t="s">
        <v>815</v>
      </c>
      <c r="R348" s="131"/>
      <c r="S348" s="131"/>
      <c r="T348" s="131"/>
      <c r="U348" s="143">
        <v>45950</v>
      </c>
      <c r="V348" s="131" t="e">
        <f>WEEKNUM([2]!CRM[[#This Row],[Fecha]])</f>
        <v>#REF!</v>
      </c>
      <c r="W348" s="144"/>
    </row>
    <row r="349" spans="1:23" ht="29.45" thickBot="1">
      <c r="A349" s="125">
        <v>12</v>
      </c>
      <c r="B349" s="126">
        <v>45941</v>
      </c>
      <c r="C349" s="127" t="s">
        <v>808</v>
      </c>
      <c r="D349" s="131" t="s">
        <v>854</v>
      </c>
      <c r="E349" s="131"/>
      <c r="F349" s="128">
        <v>901907653</v>
      </c>
      <c r="G349" s="129" t="s">
        <v>855</v>
      </c>
      <c r="H349" s="127" t="s">
        <v>854</v>
      </c>
      <c r="I349" s="130"/>
      <c r="J349" s="131"/>
      <c r="K349" s="131"/>
      <c r="L349" s="131"/>
      <c r="M349" s="131" t="s">
        <v>119</v>
      </c>
      <c r="N349" s="131"/>
      <c r="O349" s="131" t="s">
        <v>9</v>
      </c>
      <c r="P349" s="133" t="s">
        <v>856</v>
      </c>
      <c r="Q349" s="133" t="s">
        <v>815</v>
      </c>
      <c r="R349" s="131"/>
      <c r="S349" s="131"/>
      <c r="T349" s="131"/>
      <c r="U349" s="143">
        <v>45950</v>
      </c>
      <c r="V349" s="131" t="e">
        <f>WEEKNUM([2]!CRM[[#This Row],[Fecha]])</f>
        <v>#REF!</v>
      </c>
      <c r="W349" s="144"/>
    </row>
    <row r="350" spans="1:23" ht="29.45" thickBot="1">
      <c r="A350" s="125">
        <v>13</v>
      </c>
      <c r="B350" s="126">
        <v>45941</v>
      </c>
      <c r="C350" s="127" t="s">
        <v>808</v>
      </c>
      <c r="D350" s="131" t="s">
        <v>857</v>
      </c>
      <c r="E350" s="131"/>
      <c r="F350" s="128">
        <v>961068366</v>
      </c>
      <c r="G350" s="129" t="s">
        <v>858</v>
      </c>
      <c r="H350" s="127" t="s">
        <v>857</v>
      </c>
      <c r="I350" s="130"/>
      <c r="J350" s="131"/>
      <c r="K350" s="131"/>
      <c r="L350" s="131"/>
      <c r="M350" s="131" t="s">
        <v>119</v>
      </c>
      <c r="N350" s="131"/>
      <c r="O350" s="131" t="s">
        <v>9</v>
      </c>
      <c r="P350" s="133" t="s">
        <v>859</v>
      </c>
      <c r="Q350" s="133" t="s">
        <v>815</v>
      </c>
      <c r="R350" s="131"/>
      <c r="S350" s="131"/>
      <c r="T350" s="131"/>
      <c r="U350" s="143"/>
      <c r="V350" s="131" t="e">
        <f>WEEKNUM([2]!CRM[[#This Row],[Fecha]])</f>
        <v>#REF!</v>
      </c>
      <c r="W350" s="144"/>
    </row>
    <row r="351" spans="1:23" ht="29.45" thickBot="1">
      <c r="A351" s="125">
        <v>14</v>
      </c>
      <c r="B351" s="126">
        <v>45941</v>
      </c>
      <c r="C351" s="127" t="s">
        <v>808</v>
      </c>
      <c r="D351" s="131" t="s">
        <v>860</v>
      </c>
      <c r="E351" s="131"/>
      <c r="F351" s="128">
        <v>933354736</v>
      </c>
      <c r="G351" s="129" t="s">
        <v>861</v>
      </c>
      <c r="H351" s="127" t="s">
        <v>860</v>
      </c>
      <c r="I351" s="130"/>
      <c r="J351" s="131"/>
      <c r="K351" s="131"/>
      <c r="L351" s="131"/>
      <c r="M351" s="131" t="s">
        <v>119</v>
      </c>
      <c r="N351" s="131"/>
      <c r="O351" s="131" t="s">
        <v>9</v>
      </c>
      <c r="P351" s="133" t="s">
        <v>862</v>
      </c>
      <c r="Q351" s="133" t="s">
        <v>815</v>
      </c>
      <c r="R351" s="131"/>
      <c r="S351" s="131"/>
      <c r="T351" s="131"/>
      <c r="U351" s="143"/>
      <c r="V351" s="131" t="e">
        <f>WEEKNUM([2]!CRM[[#This Row],[Fecha]])</f>
        <v>#REF!</v>
      </c>
      <c r="W351" s="144"/>
    </row>
    <row r="352" spans="1:23" ht="29.45" thickBot="1">
      <c r="A352" s="125">
        <v>15</v>
      </c>
      <c r="B352" s="126">
        <v>45941</v>
      </c>
      <c r="C352" s="127" t="s">
        <v>808</v>
      </c>
      <c r="D352" s="131" t="s">
        <v>863</v>
      </c>
      <c r="E352" s="131"/>
      <c r="F352" s="128">
        <v>943800284</v>
      </c>
      <c r="G352" s="129" t="s">
        <v>864</v>
      </c>
      <c r="H352" s="127" t="s">
        <v>863</v>
      </c>
      <c r="I352" s="130"/>
      <c r="J352" s="131"/>
      <c r="K352" s="131"/>
      <c r="L352" s="131"/>
      <c r="M352" s="131" t="s">
        <v>119</v>
      </c>
      <c r="N352" s="131"/>
      <c r="O352" s="131" t="s">
        <v>138</v>
      </c>
      <c r="P352" s="133" t="s">
        <v>859</v>
      </c>
      <c r="Q352" s="133" t="s">
        <v>815</v>
      </c>
      <c r="R352" s="131"/>
      <c r="S352" s="131"/>
      <c r="T352" s="131"/>
      <c r="U352" s="143"/>
      <c r="V352" s="131" t="e">
        <f>WEEKNUM([2]!CRM[[#This Row],[Fecha]])</f>
        <v>#REF!</v>
      </c>
      <c r="W352" s="144"/>
    </row>
    <row r="353" spans="1:23" ht="29.45" thickBot="1">
      <c r="A353" s="125">
        <v>16</v>
      </c>
      <c r="B353" s="126">
        <v>45941</v>
      </c>
      <c r="C353" s="127" t="s">
        <v>808</v>
      </c>
      <c r="D353" s="131" t="s">
        <v>865</v>
      </c>
      <c r="E353" s="131"/>
      <c r="F353" s="128">
        <v>954754624</v>
      </c>
      <c r="G353" s="129" t="s">
        <v>866</v>
      </c>
      <c r="H353" s="127" t="s">
        <v>865</v>
      </c>
      <c r="I353" s="130"/>
      <c r="J353" s="131"/>
      <c r="K353" s="131"/>
      <c r="L353" s="131"/>
      <c r="M353" s="131" t="s">
        <v>119</v>
      </c>
      <c r="N353" s="131"/>
      <c r="O353" s="131" t="s">
        <v>138</v>
      </c>
      <c r="P353" s="133" t="s">
        <v>867</v>
      </c>
      <c r="Q353" s="133" t="s">
        <v>815</v>
      </c>
      <c r="R353" s="131"/>
      <c r="S353" s="131"/>
      <c r="T353" s="131"/>
      <c r="U353" s="143">
        <v>45950</v>
      </c>
      <c r="V353" s="131" t="e">
        <f>WEEKNUM([2]!CRM[[#This Row],[Fecha]])</f>
        <v>#REF!</v>
      </c>
      <c r="W353" s="144"/>
    </row>
    <row r="354" spans="1:23" ht="29.45" thickBot="1">
      <c r="A354" s="125">
        <v>17</v>
      </c>
      <c r="B354" s="126">
        <v>45944</v>
      </c>
      <c r="C354" s="127" t="s">
        <v>808</v>
      </c>
      <c r="D354" s="131" t="s">
        <v>868</v>
      </c>
      <c r="E354" s="131" t="s">
        <v>215</v>
      </c>
      <c r="F354" s="128">
        <v>947970444</v>
      </c>
      <c r="G354" s="129" t="s">
        <v>869</v>
      </c>
      <c r="H354" s="127" t="s">
        <v>870</v>
      </c>
      <c r="I354" s="130">
        <v>20101980112</v>
      </c>
      <c r="J354" s="131"/>
      <c r="K354" s="131" t="s">
        <v>26</v>
      </c>
      <c r="L354" s="131" t="s">
        <v>871</v>
      </c>
      <c r="M354" s="131" t="s">
        <v>872</v>
      </c>
      <c r="N354" s="131"/>
      <c r="O354" s="131" t="s">
        <v>138</v>
      </c>
      <c r="P354" s="133" t="s">
        <v>873</v>
      </c>
      <c r="Q354" s="133" t="s">
        <v>815</v>
      </c>
      <c r="R354" s="131"/>
      <c r="S354" s="131"/>
      <c r="T354" s="131"/>
      <c r="U354" s="143"/>
      <c r="V354" s="131" t="e">
        <f>WEEKNUM([2]!CRM[[#This Row],[Fecha]])</f>
        <v>#REF!</v>
      </c>
      <c r="W354" s="144" t="s">
        <v>874</v>
      </c>
    </row>
    <row r="355" spans="1:23" ht="44.1" thickBot="1">
      <c r="A355" s="125">
        <v>18</v>
      </c>
      <c r="B355" s="126">
        <v>45944</v>
      </c>
      <c r="C355" s="127" t="s">
        <v>808</v>
      </c>
      <c r="D355" s="131" t="s">
        <v>875</v>
      </c>
      <c r="E355" s="131" t="s">
        <v>876</v>
      </c>
      <c r="F355" s="128">
        <v>934207138</v>
      </c>
      <c r="G355" s="129"/>
      <c r="H355" s="127" t="s">
        <v>877</v>
      </c>
      <c r="I355" s="130">
        <v>20521916703</v>
      </c>
      <c r="J355" s="131"/>
      <c r="K355" s="131" t="s">
        <v>26</v>
      </c>
      <c r="L355" s="131" t="s">
        <v>871</v>
      </c>
      <c r="M355" s="131" t="s">
        <v>878</v>
      </c>
      <c r="N355" s="131"/>
      <c r="O355" s="131" t="s">
        <v>138</v>
      </c>
      <c r="P355" s="133" t="s">
        <v>879</v>
      </c>
      <c r="Q355" s="133" t="s">
        <v>815</v>
      </c>
      <c r="R355" s="131"/>
      <c r="S355" s="131"/>
      <c r="T355" s="131"/>
      <c r="U355" s="143"/>
      <c r="V355" s="131" t="e">
        <f>WEEKNUM([2]!CRM[[#This Row],[Fecha]])</f>
        <v>#REF!</v>
      </c>
      <c r="W355" s="144">
        <v>9</v>
      </c>
    </row>
    <row r="356" spans="1:23" ht="29.45" thickBot="1">
      <c r="A356" s="125">
        <v>19</v>
      </c>
      <c r="B356" s="126">
        <v>45944</v>
      </c>
      <c r="C356" s="127" t="s">
        <v>808</v>
      </c>
      <c r="D356" s="131" t="s">
        <v>880</v>
      </c>
      <c r="E356" s="131" t="s">
        <v>215</v>
      </c>
      <c r="F356" s="128">
        <v>946164816</v>
      </c>
      <c r="G356" s="129"/>
      <c r="H356" s="127" t="s">
        <v>881</v>
      </c>
      <c r="I356" s="130">
        <v>20469472231</v>
      </c>
      <c r="J356" s="131"/>
      <c r="K356" s="131" t="s">
        <v>26</v>
      </c>
      <c r="L356" s="131" t="s">
        <v>871</v>
      </c>
      <c r="M356" s="131" t="s">
        <v>872</v>
      </c>
      <c r="N356" s="131"/>
      <c r="O356" s="131" t="s">
        <v>138</v>
      </c>
      <c r="P356" s="133" t="s">
        <v>882</v>
      </c>
      <c r="Q356" s="133" t="s">
        <v>815</v>
      </c>
      <c r="R356" s="131"/>
      <c r="S356" s="131"/>
      <c r="T356" s="131"/>
      <c r="U356" s="143"/>
      <c r="V356" s="131" t="e">
        <f>WEEKNUM([2]!CRM[[#This Row],[Fecha]])</f>
        <v>#REF!</v>
      </c>
      <c r="W356" s="144">
        <v>3</v>
      </c>
    </row>
    <row r="357" spans="1:23" ht="29.45" thickBot="1">
      <c r="A357" s="125">
        <v>20</v>
      </c>
      <c r="B357" s="126">
        <v>45944</v>
      </c>
      <c r="C357" s="127" t="s">
        <v>808</v>
      </c>
      <c r="D357" s="131" t="s">
        <v>883</v>
      </c>
      <c r="E357" s="131" t="s">
        <v>810</v>
      </c>
      <c r="F357" s="128">
        <v>993442216</v>
      </c>
      <c r="G357" s="129" t="s">
        <v>884</v>
      </c>
      <c r="H357" s="127" t="s">
        <v>885</v>
      </c>
      <c r="I357" s="130">
        <v>20603250681</v>
      </c>
      <c r="J357" s="131"/>
      <c r="K357" s="131" t="s">
        <v>26</v>
      </c>
      <c r="L357" s="131" t="s">
        <v>871</v>
      </c>
      <c r="M357" s="131" t="s">
        <v>872</v>
      </c>
      <c r="N357" s="131"/>
      <c r="O357" s="131" t="s">
        <v>138</v>
      </c>
      <c r="P357" s="133" t="s">
        <v>886</v>
      </c>
      <c r="Q357" s="133" t="s">
        <v>815</v>
      </c>
      <c r="R357" s="131"/>
      <c r="S357" s="131"/>
      <c r="T357" s="131"/>
      <c r="U357" s="143"/>
      <c r="V357" s="131" t="e">
        <f>WEEKNUM([2]!CRM[[#This Row],[Fecha]])</f>
        <v>#REF!</v>
      </c>
      <c r="W357" s="144">
        <v>1</v>
      </c>
    </row>
    <row r="358" spans="1:23" ht="44.1" thickBot="1">
      <c r="A358" s="125">
        <v>21</v>
      </c>
      <c r="B358" s="126">
        <v>45944</v>
      </c>
      <c r="C358" s="127" t="s">
        <v>808</v>
      </c>
      <c r="D358" s="131" t="s">
        <v>887</v>
      </c>
      <c r="E358" s="131" t="s">
        <v>888</v>
      </c>
      <c r="F358" s="128">
        <v>943697381</v>
      </c>
      <c r="G358" s="129" t="s">
        <v>889</v>
      </c>
      <c r="H358" s="127" t="s">
        <v>890</v>
      </c>
      <c r="I358" s="130">
        <v>20552429258</v>
      </c>
      <c r="J358" s="131"/>
      <c r="K358" s="131" t="s">
        <v>26</v>
      </c>
      <c r="L358" s="131" t="s">
        <v>871</v>
      </c>
      <c r="M358" s="131" t="s">
        <v>872</v>
      </c>
      <c r="N358" s="131"/>
      <c r="O358" s="131" t="s">
        <v>138</v>
      </c>
      <c r="P358" s="133" t="s">
        <v>891</v>
      </c>
      <c r="Q358" s="133" t="s">
        <v>815</v>
      </c>
      <c r="R358" s="131"/>
      <c r="S358" s="131"/>
      <c r="T358" s="131"/>
      <c r="U358" s="143"/>
      <c r="V358" s="131" t="e">
        <f>WEEKNUM([2]!CRM[[#This Row],[Fecha]])</f>
        <v>#REF!</v>
      </c>
      <c r="W358" s="144">
        <v>1</v>
      </c>
    </row>
    <row r="359" spans="1:23" ht="29.45" thickBot="1">
      <c r="A359" s="125">
        <v>22</v>
      </c>
      <c r="B359" s="126">
        <v>45944</v>
      </c>
      <c r="C359" s="127" t="s">
        <v>808</v>
      </c>
      <c r="D359" s="131" t="s">
        <v>892</v>
      </c>
      <c r="E359" s="131" t="s">
        <v>215</v>
      </c>
      <c r="F359" s="128" t="s">
        <v>893</v>
      </c>
      <c r="G359" s="129" t="s">
        <v>894</v>
      </c>
      <c r="H359" s="127" t="s">
        <v>895</v>
      </c>
      <c r="I359" s="130">
        <v>20547359799</v>
      </c>
      <c r="J359" s="131"/>
      <c r="K359" s="131" t="s">
        <v>26</v>
      </c>
      <c r="L359" s="131" t="s">
        <v>871</v>
      </c>
      <c r="M359" s="131" t="s">
        <v>872</v>
      </c>
      <c r="N359" s="131"/>
      <c r="O359" s="131" t="s">
        <v>138</v>
      </c>
      <c r="P359" s="133" t="s">
        <v>896</v>
      </c>
      <c r="Q359" s="133" t="s">
        <v>815</v>
      </c>
      <c r="R359" s="131"/>
      <c r="S359" s="131"/>
      <c r="T359" s="131"/>
      <c r="U359" s="143"/>
      <c r="V359" s="131" t="e">
        <f>WEEKNUM([2]!CRM[[#This Row],[Fecha]])</f>
        <v>#REF!</v>
      </c>
      <c r="W359" s="144">
        <v>9</v>
      </c>
    </row>
    <row r="360" spans="1:23" ht="29.45" thickBot="1">
      <c r="A360" s="125">
        <v>23</v>
      </c>
      <c r="B360" s="126">
        <v>45944</v>
      </c>
      <c r="C360" s="127" t="s">
        <v>808</v>
      </c>
      <c r="D360" s="131" t="s">
        <v>897</v>
      </c>
      <c r="E360" s="131" t="s">
        <v>215</v>
      </c>
      <c r="F360" s="128">
        <v>2250846</v>
      </c>
      <c r="G360" s="129" t="s">
        <v>898</v>
      </c>
      <c r="H360" s="127" t="s">
        <v>899</v>
      </c>
      <c r="I360" s="130">
        <v>20514633151</v>
      </c>
      <c r="J360" s="131"/>
      <c r="K360" s="131" t="s">
        <v>26</v>
      </c>
      <c r="L360" s="131" t="s">
        <v>871</v>
      </c>
      <c r="M360" s="131" t="s">
        <v>872</v>
      </c>
      <c r="N360" s="131"/>
      <c r="O360" s="131" t="s">
        <v>138</v>
      </c>
      <c r="P360" s="133" t="s">
        <v>900</v>
      </c>
      <c r="Q360" s="133" t="s">
        <v>815</v>
      </c>
      <c r="R360" s="131"/>
      <c r="S360" s="131"/>
      <c r="T360" s="131"/>
      <c r="U360" s="143"/>
      <c r="V360" s="131" t="e">
        <f>WEEKNUM([2]!CRM[[#This Row],[Fecha]])</f>
        <v>#REF!</v>
      </c>
      <c r="W360" s="144">
        <v>3</v>
      </c>
    </row>
    <row r="361" spans="1:23" ht="29.45" thickBot="1">
      <c r="A361" s="125">
        <v>24</v>
      </c>
      <c r="B361" s="126">
        <v>45944</v>
      </c>
      <c r="C361" s="127" t="s">
        <v>808</v>
      </c>
      <c r="D361" s="131" t="s">
        <v>901</v>
      </c>
      <c r="E361" s="131" t="s">
        <v>215</v>
      </c>
      <c r="F361" s="128">
        <v>945784187</v>
      </c>
      <c r="G361" s="129" t="s">
        <v>902</v>
      </c>
      <c r="H361" s="127" t="s">
        <v>903</v>
      </c>
      <c r="I361" s="130">
        <v>20548606412</v>
      </c>
      <c r="J361" s="131"/>
      <c r="K361" s="131" t="s">
        <v>26</v>
      </c>
      <c r="L361" s="131" t="s">
        <v>871</v>
      </c>
      <c r="M361" s="131" t="s">
        <v>872</v>
      </c>
      <c r="N361" s="131"/>
      <c r="O361" s="131" t="s">
        <v>138</v>
      </c>
      <c r="P361" s="133" t="s">
        <v>904</v>
      </c>
      <c r="Q361" s="133" t="s">
        <v>815</v>
      </c>
      <c r="R361" s="131"/>
      <c r="S361" s="131"/>
      <c r="T361" s="131"/>
      <c r="U361" s="143"/>
      <c r="V361" s="131" t="e">
        <f>WEEKNUM([2]!CRM[[#This Row],[Fecha]])</f>
        <v>#REF!</v>
      </c>
      <c r="W361" s="144" t="s">
        <v>874</v>
      </c>
    </row>
    <row r="362" spans="1:23" ht="29.45" thickBot="1">
      <c r="A362" s="125">
        <v>25</v>
      </c>
      <c r="B362" s="126">
        <v>45944</v>
      </c>
      <c r="C362" s="127" t="s">
        <v>808</v>
      </c>
      <c r="D362" s="131" t="s">
        <v>905</v>
      </c>
      <c r="E362" s="131" t="s">
        <v>215</v>
      </c>
      <c r="F362" s="128">
        <v>969321393</v>
      </c>
      <c r="G362" s="129"/>
      <c r="H362" s="127" t="s">
        <v>906</v>
      </c>
      <c r="I362" s="130">
        <v>20557432745</v>
      </c>
      <c r="J362" s="131"/>
      <c r="K362" s="131" t="s">
        <v>26</v>
      </c>
      <c r="L362" s="131" t="s">
        <v>871</v>
      </c>
      <c r="M362" s="131" t="s">
        <v>872</v>
      </c>
      <c r="N362" s="131"/>
      <c r="O362" s="131" t="s">
        <v>138</v>
      </c>
      <c r="P362" s="133" t="s">
        <v>907</v>
      </c>
      <c r="Q362" s="133" t="s">
        <v>815</v>
      </c>
      <c r="R362" s="131"/>
      <c r="S362" s="131"/>
      <c r="T362" s="131"/>
      <c r="U362" s="143"/>
      <c r="V362" s="131" t="e">
        <f>WEEKNUM([2]!CRM[[#This Row],[Fecha]])</f>
        <v>#REF!</v>
      </c>
      <c r="W362" s="144">
        <v>3</v>
      </c>
    </row>
    <row r="363" spans="1:23" ht="29.45" thickBot="1">
      <c r="A363" s="125">
        <v>26</v>
      </c>
      <c r="B363" s="126">
        <v>45944</v>
      </c>
      <c r="C363" s="127" t="s">
        <v>808</v>
      </c>
      <c r="D363" s="131" t="s">
        <v>908</v>
      </c>
      <c r="E363" s="131" t="s">
        <v>215</v>
      </c>
      <c r="F363" s="128" t="s">
        <v>909</v>
      </c>
      <c r="G363" s="129" t="s">
        <v>910</v>
      </c>
      <c r="H363" s="127" t="s">
        <v>911</v>
      </c>
      <c r="I363" s="130">
        <v>20545748861</v>
      </c>
      <c r="J363" s="131"/>
      <c r="K363" s="131" t="s">
        <v>26</v>
      </c>
      <c r="L363" s="131" t="s">
        <v>871</v>
      </c>
      <c r="M363" s="131" t="s">
        <v>872</v>
      </c>
      <c r="N363" s="131"/>
      <c r="O363" s="131" t="s">
        <v>138</v>
      </c>
      <c r="P363" s="133" t="s">
        <v>912</v>
      </c>
      <c r="Q363" s="133" t="s">
        <v>815</v>
      </c>
      <c r="R363" s="131"/>
      <c r="S363" s="131"/>
      <c r="T363" s="131"/>
      <c r="U363" s="143"/>
      <c r="V363" s="131" t="e">
        <f>WEEKNUM([2]!CRM[[#This Row],[Fecha]])</f>
        <v>#REF!</v>
      </c>
      <c r="W363" s="144">
        <v>3</v>
      </c>
    </row>
    <row r="364" spans="1:23" ht="29.45" thickBot="1">
      <c r="A364" s="125">
        <v>27</v>
      </c>
      <c r="B364" s="126">
        <v>45944</v>
      </c>
      <c r="C364" s="127" t="s">
        <v>808</v>
      </c>
      <c r="D364" s="131" t="s">
        <v>913</v>
      </c>
      <c r="E364" s="131" t="s">
        <v>215</v>
      </c>
      <c r="F364" s="128">
        <v>993574549</v>
      </c>
      <c r="G364" s="129" t="s">
        <v>914</v>
      </c>
      <c r="H364" s="127" t="s">
        <v>915</v>
      </c>
      <c r="I364" s="130">
        <v>20573851031</v>
      </c>
      <c r="J364" s="131"/>
      <c r="K364" s="131" t="s">
        <v>26</v>
      </c>
      <c r="L364" s="131" t="s">
        <v>871</v>
      </c>
      <c r="M364" s="131" t="s">
        <v>872</v>
      </c>
      <c r="N364" s="131"/>
      <c r="O364" s="131" t="s">
        <v>138</v>
      </c>
      <c r="P364" s="133" t="s">
        <v>916</v>
      </c>
      <c r="Q364" s="133" t="s">
        <v>815</v>
      </c>
      <c r="R364" s="131"/>
      <c r="S364" s="131"/>
      <c r="T364" s="131"/>
      <c r="U364" s="143"/>
      <c r="V364" s="131" t="e">
        <f>WEEKNUM([2]!CRM[[#This Row],[Fecha]])</f>
        <v>#REF!</v>
      </c>
      <c r="W364" s="144" t="s">
        <v>874</v>
      </c>
    </row>
    <row r="365" spans="1:23" ht="29.45" thickBot="1">
      <c r="A365" s="125">
        <v>28</v>
      </c>
      <c r="B365" s="126">
        <v>45946</v>
      </c>
      <c r="C365" s="127" t="s">
        <v>808</v>
      </c>
      <c r="D365" s="131" t="s">
        <v>917</v>
      </c>
      <c r="E365" s="131" t="s">
        <v>215</v>
      </c>
      <c r="F365" s="128">
        <v>960644808</v>
      </c>
      <c r="G365" s="129" t="s">
        <v>918</v>
      </c>
      <c r="H365" s="127" t="s">
        <v>919</v>
      </c>
      <c r="I365" s="130">
        <v>20505955014</v>
      </c>
      <c r="J365" s="131"/>
      <c r="K365" s="131" t="s">
        <v>26</v>
      </c>
      <c r="L365" s="131" t="s">
        <v>920</v>
      </c>
      <c r="M365" s="131" t="s">
        <v>872</v>
      </c>
      <c r="N365" s="131"/>
      <c r="O365" s="131" t="s">
        <v>138</v>
      </c>
      <c r="P365" s="133" t="s">
        <v>921</v>
      </c>
      <c r="Q365" s="133" t="s">
        <v>815</v>
      </c>
      <c r="R365" s="131"/>
      <c r="S365" s="131"/>
      <c r="T365" s="131"/>
      <c r="U365" s="143">
        <v>45947</v>
      </c>
      <c r="V365" s="131" t="e">
        <f>WEEKNUM([2]!CRM[[#This Row],[Fecha]])</f>
        <v>#REF!</v>
      </c>
      <c r="W365" s="144"/>
    </row>
    <row r="366" spans="1:23" ht="29.45" thickBot="1">
      <c r="A366" s="125">
        <v>29</v>
      </c>
      <c r="B366" s="126">
        <v>45946</v>
      </c>
      <c r="C366" s="127" t="s">
        <v>808</v>
      </c>
      <c r="D366" s="131" t="s">
        <v>922</v>
      </c>
      <c r="E366" s="131" t="s">
        <v>215</v>
      </c>
      <c r="F366" s="128" t="s">
        <v>923</v>
      </c>
      <c r="G366" s="129" t="s">
        <v>924</v>
      </c>
      <c r="H366" s="127" t="s">
        <v>925</v>
      </c>
      <c r="I366" s="130">
        <v>20601983550</v>
      </c>
      <c r="J366" s="131"/>
      <c r="K366" s="131" t="s">
        <v>26</v>
      </c>
      <c r="L366" s="131" t="s">
        <v>920</v>
      </c>
      <c r="M366" s="131" t="s">
        <v>872</v>
      </c>
      <c r="N366" s="131"/>
      <c r="O366" s="131" t="s">
        <v>138</v>
      </c>
      <c r="P366" s="133" t="s">
        <v>926</v>
      </c>
      <c r="Q366" s="133" t="s">
        <v>815</v>
      </c>
      <c r="R366" s="131"/>
      <c r="S366" s="131"/>
      <c r="T366" s="131"/>
      <c r="U366" s="143">
        <v>45947</v>
      </c>
      <c r="V366" s="131" t="e">
        <f>WEEKNUM([2]!CRM[[#This Row],[Fecha]])</f>
        <v>#REF!</v>
      </c>
      <c r="W366" s="144"/>
    </row>
    <row r="367" spans="1:23" ht="29.45" thickBot="1">
      <c r="A367" s="125">
        <v>30</v>
      </c>
      <c r="B367" s="126">
        <v>45946</v>
      </c>
      <c r="C367" s="127" t="s">
        <v>808</v>
      </c>
      <c r="D367" s="131" t="s">
        <v>927</v>
      </c>
      <c r="E367" s="131" t="s">
        <v>215</v>
      </c>
      <c r="F367" s="128">
        <v>987233288</v>
      </c>
      <c r="G367" s="129"/>
      <c r="H367" s="127" t="s">
        <v>928</v>
      </c>
      <c r="I367" s="130">
        <v>20573851031</v>
      </c>
      <c r="J367" s="131"/>
      <c r="K367" s="131" t="s">
        <v>26</v>
      </c>
      <c r="L367" s="131" t="s">
        <v>920</v>
      </c>
      <c r="M367" s="131" t="s">
        <v>872</v>
      </c>
      <c r="N367" s="131"/>
      <c r="O367" s="131" t="s">
        <v>138</v>
      </c>
      <c r="P367" s="133" t="s">
        <v>929</v>
      </c>
      <c r="Q367" s="133" t="s">
        <v>815</v>
      </c>
      <c r="R367" s="131"/>
      <c r="S367" s="131"/>
      <c r="T367" s="131"/>
      <c r="U367" s="143">
        <v>45947</v>
      </c>
      <c r="V367" s="131" t="e">
        <f>WEEKNUM([2]!CRM[[#This Row],[Fecha]])</f>
        <v>#REF!</v>
      </c>
      <c r="W367" s="144"/>
    </row>
    <row r="368" spans="1:23" ht="29.45" thickBot="1">
      <c r="A368" s="125">
        <v>31</v>
      </c>
      <c r="B368" s="126">
        <v>45946</v>
      </c>
      <c r="C368" s="127" t="s">
        <v>808</v>
      </c>
      <c r="D368" s="131" t="s">
        <v>930</v>
      </c>
      <c r="E368" s="131" t="s">
        <v>215</v>
      </c>
      <c r="F368" s="128" t="s">
        <v>931</v>
      </c>
      <c r="G368" s="129" t="s">
        <v>932</v>
      </c>
      <c r="H368" s="127" t="s">
        <v>933</v>
      </c>
      <c r="I368" s="130">
        <v>20538527000</v>
      </c>
      <c r="J368" s="131"/>
      <c r="K368" s="131" t="s">
        <v>26</v>
      </c>
      <c r="L368" s="131" t="s">
        <v>934</v>
      </c>
      <c r="M368" s="131" t="s">
        <v>119</v>
      </c>
      <c r="N368" s="131"/>
      <c r="O368" s="131" t="s">
        <v>138</v>
      </c>
      <c r="P368" s="133" t="s">
        <v>935</v>
      </c>
      <c r="Q368" s="133" t="s">
        <v>815</v>
      </c>
      <c r="R368" s="131"/>
      <c r="S368" s="131"/>
      <c r="T368" s="131"/>
      <c r="U368" s="143">
        <v>45946</v>
      </c>
      <c r="V368" s="131" t="e">
        <f>WEEKNUM([2]!CRM[[#This Row],[Fecha]])</f>
        <v>#REF!</v>
      </c>
      <c r="W368" s="144">
        <v>12</v>
      </c>
    </row>
    <row r="369" spans="1:23" ht="44.1" thickBot="1">
      <c r="A369" s="125">
        <v>32</v>
      </c>
      <c r="B369" s="126">
        <v>45946</v>
      </c>
      <c r="C369" s="127" t="s">
        <v>808</v>
      </c>
      <c r="D369" s="131" t="s">
        <v>936</v>
      </c>
      <c r="E369" s="131" t="s">
        <v>215</v>
      </c>
      <c r="F369" s="128">
        <v>957598160</v>
      </c>
      <c r="G369" s="129" t="s">
        <v>937</v>
      </c>
      <c r="H369" s="127" t="s">
        <v>938</v>
      </c>
      <c r="I369" s="130">
        <v>20602446493</v>
      </c>
      <c r="J369" s="131"/>
      <c r="K369" s="131" t="s">
        <v>26</v>
      </c>
      <c r="L369" s="131" t="s">
        <v>934</v>
      </c>
      <c r="M369" s="131" t="s">
        <v>119</v>
      </c>
      <c r="N369" s="131"/>
      <c r="O369" s="131" t="s">
        <v>138</v>
      </c>
      <c r="P369" s="133" t="s">
        <v>939</v>
      </c>
      <c r="Q369" s="133" t="s">
        <v>815</v>
      </c>
      <c r="R369" s="131"/>
      <c r="S369" s="131"/>
      <c r="T369" s="131"/>
      <c r="U369" s="143">
        <v>45946</v>
      </c>
      <c r="V369" s="131" t="e">
        <f>WEEKNUM([2]!CRM[[#This Row],[Fecha]])</f>
        <v>#REF!</v>
      </c>
      <c r="W369" s="144">
        <v>3</v>
      </c>
    </row>
    <row r="370" spans="1:23" ht="29.45" thickBot="1">
      <c r="A370" s="125">
        <v>33</v>
      </c>
      <c r="B370" s="126">
        <v>45946</v>
      </c>
      <c r="C370" s="127" t="s">
        <v>808</v>
      </c>
      <c r="D370" s="131" t="s">
        <v>940</v>
      </c>
      <c r="E370" s="131" t="s">
        <v>215</v>
      </c>
      <c r="F370" s="128" t="s">
        <v>941</v>
      </c>
      <c r="G370" s="129" t="s">
        <v>942</v>
      </c>
      <c r="H370" s="127" t="s">
        <v>943</v>
      </c>
      <c r="I370" s="130">
        <v>20543890511</v>
      </c>
      <c r="J370" s="131"/>
      <c r="K370" s="131" t="s">
        <v>26</v>
      </c>
      <c r="L370" s="131" t="s">
        <v>934</v>
      </c>
      <c r="M370" s="131" t="s">
        <v>119</v>
      </c>
      <c r="N370" s="131"/>
      <c r="O370" s="131" t="s">
        <v>138</v>
      </c>
      <c r="P370" s="133" t="s">
        <v>944</v>
      </c>
      <c r="Q370" s="133" t="s">
        <v>815</v>
      </c>
      <c r="R370" s="131"/>
      <c r="S370" s="131"/>
      <c r="T370" s="131"/>
      <c r="U370" s="143">
        <v>45946</v>
      </c>
      <c r="V370" s="131" t="e">
        <f>WEEKNUM([2]!CRM[[#This Row],[Fecha]])</f>
        <v>#REF!</v>
      </c>
      <c r="W370" s="144" t="s">
        <v>306</v>
      </c>
    </row>
    <row r="371" spans="1:23" ht="29.45" thickBot="1">
      <c r="A371" s="125">
        <v>34</v>
      </c>
      <c r="B371" s="126">
        <v>45946</v>
      </c>
      <c r="C371" s="127" t="s">
        <v>808</v>
      </c>
      <c r="D371" s="131" t="s">
        <v>945</v>
      </c>
      <c r="E371" s="131" t="s">
        <v>215</v>
      </c>
      <c r="F371" s="128" t="s">
        <v>946</v>
      </c>
      <c r="G371" s="129"/>
      <c r="H371" s="127" t="s">
        <v>947</v>
      </c>
      <c r="I371" s="130">
        <v>20490632965</v>
      </c>
      <c r="J371" s="131"/>
      <c r="K371" s="131" t="s">
        <v>26</v>
      </c>
      <c r="L371" s="131" t="s">
        <v>934</v>
      </c>
      <c r="M371" s="131" t="s">
        <v>119</v>
      </c>
      <c r="N371" s="131"/>
      <c r="O371" s="131" t="s">
        <v>138</v>
      </c>
      <c r="P371" s="133" t="s">
        <v>948</v>
      </c>
      <c r="Q371" s="133" t="s">
        <v>815</v>
      </c>
      <c r="R371" s="131"/>
      <c r="S371" s="131"/>
      <c r="T371" s="131"/>
      <c r="U371" s="143">
        <v>45947</v>
      </c>
      <c r="V371" s="131" t="e">
        <f>WEEKNUM([2]!CRM[[#This Row],[Fecha]])</f>
        <v>#REF!</v>
      </c>
      <c r="W371" s="144">
        <v>8</v>
      </c>
    </row>
    <row r="372" spans="1:23" ht="29.45" thickBot="1">
      <c r="A372" s="125">
        <v>35</v>
      </c>
      <c r="B372" s="126">
        <v>45946</v>
      </c>
      <c r="C372" s="127" t="s">
        <v>808</v>
      </c>
      <c r="D372" s="131" t="s">
        <v>949</v>
      </c>
      <c r="E372" s="131" t="s">
        <v>950</v>
      </c>
      <c r="F372" s="128"/>
      <c r="G372" s="129"/>
      <c r="H372" s="127" t="s">
        <v>951</v>
      </c>
      <c r="I372" s="130">
        <v>20614329794</v>
      </c>
      <c r="J372" s="131"/>
      <c r="K372" s="131" t="s">
        <v>26</v>
      </c>
      <c r="L372" s="131" t="s">
        <v>934</v>
      </c>
      <c r="M372" s="131" t="s">
        <v>119</v>
      </c>
      <c r="N372" s="131"/>
      <c r="O372" s="131" t="s">
        <v>138</v>
      </c>
      <c r="P372" s="133" t="s">
        <v>952</v>
      </c>
      <c r="Q372" s="133" t="s">
        <v>815</v>
      </c>
      <c r="R372" s="131"/>
      <c r="S372" s="131"/>
      <c r="T372" s="131"/>
      <c r="U372" s="143">
        <v>45947</v>
      </c>
      <c r="V372" s="131" t="e">
        <f>WEEKNUM([2]!CRM[[#This Row],[Fecha]])</f>
        <v>#REF!</v>
      </c>
      <c r="W372" s="144"/>
    </row>
    <row r="373" spans="1:23" ht="29.45" thickBot="1">
      <c r="A373" s="125">
        <v>36</v>
      </c>
      <c r="B373" s="126">
        <v>45946</v>
      </c>
      <c r="C373" s="127" t="s">
        <v>808</v>
      </c>
      <c r="D373" s="131" t="s">
        <v>953</v>
      </c>
      <c r="E373" s="131" t="s">
        <v>950</v>
      </c>
      <c r="F373" s="128">
        <v>973486128</v>
      </c>
      <c r="G373" s="129" t="s">
        <v>954</v>
      </c>
      <c r="H373" s="127" t="s">
        <v>955</v>
      </c>
      <c r="I373" s="130">
        <v>20606705434</v>
      </c>
      <c r="J373" s="131"/>
      <c r="K373" s="131" t="s">
        <v>26</v>
      </c>
      <c r="L373" s="131" t="s">
        <v>934</v>
      </c>
      <c r="M373" s="131" t="s">
        <v>119</v>
      </c>
      <c r="N373" s="131"/>
      <c r="O373" s="131" t="s">
        <v>138</v>
      </c>
      <c r="P373" s="133" t="s">
        <v>956</v>
      </c>
      <c r="Q373" s="133" t="s">
        <v>815</v>
      </c>
      <c r="R373" s="131"/>
      <c r="S373" s="131"/>
      <c r="T373" s="131"/>
      <c r="U373" s="143">
        <v>45947</v>
      </c>
      <c r="V373" s="131" t="e">
        <f>WEEKNUM([2]!CRM[[#This Row],[Fecha]])</f>
        <v>#REF!</v>
      </c>
      <c r="W373" s="144"/>
    </row>
    <row r="374" spans="1:23" ht="29.45" thickBot="1">
      <c r="A374" s="125">
        <v>37</v>
      </c>
      <c r="B374" s="126">
        <v>45946</v>
      </c>
      <c r="C374" s="127" t="s">
        <v>808</v>
      </c>
      <c r="D374" s="131" t="s">
        <v>957</v>
      </c>
      <c r="E374" s="131" t="s">
        <v>215</v>
      </c>
      <c r="F374" s="128">
        <v>987099900</v>
      </c>
      <c r="G374" s="129" t="s">
        <v>958</v>
      </c>
      <c r="H374" s="127" t="s">
        <v>959</v>
      </c>
      <c r="I374" s="130" t="s">
        <v>960</v>
      </c>
      <c r="J374" s="131"/>
      <c r="K374" s="131" t="s">
        <v>26</v>
      </c>
      <c r="L374" s="131" t="s">
        <v>934</v>
      </c>
      <c r="M374" s="131" t="s">
        <v>119</v>
      </c>
      <c r="N374" s="131"/>
      <c r="O374" s="131" t="s">
        <v>138</v>
      </c>
      <c r="P374" s="133" t="s">
        <v>961</v>
      </c>
      <c r="Q374" s="133" t="s">
        <v>815</v>
      </c>
      <c r="R374" s="131"/>
      <c r="S374" s="131"/>
      <c r="T374" s="131"/>
      <c r="U374" s="143">
        <v>45947</v>
      </c>
      <c r="V374" s="131" t="e">
        <f>WEEKNUM([2]!CRM[[#This Row],[Fecha]])</f>
        <v>#REF!</v>
      </c>
      <c r="W374" s="144"/>
    </row>
    <row r="375" spans="1:23" ht="58.5" thickBot="1">
      <c r="A375" s="125">
        <v>38</v>
      </c>
      <c r="B375" s="126">
        <v>45950</v>
      </c>
      <c r="C375" s="127" t="s">
        <v>808</v>
      </c>
      <c r="D375" s="131" t="s">
        <v>816</v>
      </c>
      <c r="E375" s="131" t="s">
        <v>817</v>
      </c>
      <c r="F375" s="128">
        <v>924997650</v>
      </c>
      <c r="G375" s="129" t="s">
        <v>818</v>
      </c>
      <c r="H375" s="127" t="s">
        <v>819</v>
      </c>
      <c r="I375" s="130">
        <v>20547728824</v>
      </c>
      <c r="J375" s="131"/>
      <c r="K375" s="131" t="s">
        <v>26</v>
      </c>
      <c r="L375" s="131" t="s">
        <v>962</v>
      </c>
      <c r="M375" s="131" t="s">
        <v>136</v>
      </c>
      <c r="N375" s="131"/>
      <c r="O375" s="131" t="s">
        <v>138</v>
      </c>
      <c r="P375" s="133" t="s">
        <v>963</v>
      </c>
      <c r="Q375" s="133" t="s">
        <v>236</v>
      </c>
      <c r="R375" s="131"/>
      <c r="S375" s="131"/>
      <c r="T375" s="131"/>
      <c r="U375" s="143">
        <v>45962</v>
      </c>
      <c r="V375" s="131" t="e">
        <f>WEEKNUM([2]!CRM[[#This Row],[Fecha]])</f>
        <v>#REF!</v>
      </c>
      <c r="W375" s="144"/>
    </row>
    <row r="376" spans="1:23" ht="42.6" thickBot="1">
      <c r="A376" s="125">
        <v>39</v>
      </c>
      <c r="B376" s="126">
        <v>45950</v>
      </c>
      <c r="C376" s="127" t="s">
        <v>808</v>
      </c>
      <c r="D376" s="131" t="s">
        <v>837</v>
      </c>
      <c r="E376" s="131" t="s">
        <v>964</v>
      </c>
      <c r="F376" s="128">
        <v>970175949</v>
      </c>
      <c r="G376" s="129" t="s">
        <v>965</v>
      </c>
      <c r="H376" s="127" t="s">
        <v>839</v>
      </c>
      <c r="I376" s="130">
        <v>10774619271</v>
      </c>
      <c r="J376" s="131"/>
      <c r="K376" s="131" t="s">
        <v>206</v>
      </c>
      <c r="L376" s="131" t="s">
        <v>206</v>
      </c>
      <c r="M376" s="131" t="s">
        <v>28</v>
      </c>
      <c r="N376" s="131"/>
      <c r="O376" s="131" t="s">
        <v>138</v>
      </c>
      <c r="P376" s="133" t="s">
        <v>966</v>
      </c>
      <c r="Q376" s="133" t="s">
        <v>236</v>
      </c>
      <c r="R376" s="131"/>
      <c r="S376" s="131"/>
      <c r="T376" s="131"/>
      <c r="U376" s="143">
        <v>45962</v>
      </c>
      <c r="V376" s="131" t="e">
        <f>WEEKNUM([2]!CRM[[#This Row],[Fecha]])</f>
        <v>#REF!</v>
      </c>
      <c r="W376" s="144"/>
    </row>
    <row r="377" spans="1:23" ht="29.45" thickBot="1">
      <c r="A377" s="125">
        <v>40</v>
      </c>
      <c r="B377" s="126">
        <v>45950</v>
      </c>
      <c r="C377" s="127" t="s">
        <v>808</v>
      </c>
      <c r="D377" s="131" t="s">
        <v>857</v>
      </c>
      <c r="E377" s="131"/>
      <c r="F377" s="128">
        <v>961068366</v>
      </c>
      <c r="G377" s="129" t="s">
        <v>858</v>
      </c>
      <c r="H377" s="127" t="s">
        <v>857</v>
      </c>
      <c r="I377" s="130"/>
      <c r="J377" s="131"/>
      <c r="K377" s="131" t="s">
        <v>26</v>
      </c>
      <c r="L377" s="131" t="s">
        <v>920</v>
      </c>
      <c r="M377" s="131" t="s">
        <v>119</v>
      </c>
      <c r="N377" s="131"/>
      <c r="O377" s="131" t="s">
        <v>138</v>
      </c>
      <c r="P377" s="133" t="s">
        <v>967</v>
      </c>
      <c r="Q377" s="133" t="s">
        <v>32</v>
      </c>
      <c r="R377" s="131"/>
      <c r="S377" s="131"/>
      <c r="T377" s="131"/>
      <c r="U377" s="143"/>
      <c r="V377" s="131" t="e">
        <f>WEEKNUM([2]!CRM[[#This Row],[Fecha]])</f>
        <v>#REF!</v>
      </c>
      <c r="W377" s="144"/>
    </row>
    <row r="378" spans="1:23" ht="29.45" thickBot="1">
      <c r="A378" s="125">
        <v>41</v>
      </c>
      <c r="B378" s="126">
        <v>45950</v>
      </c>
      <c r="C378" s="127" t="s">
        <v>808</v>
      </c>
      <c r="D378" s="131" t="s">
        <v>860</v>
      </c>
      <c r="E378" s="131"/>
      <c r="F378" s="128">
        <v>933354736</v>
      </c>
      <c r="G378" s="129" t="s">
        <v>861</v>
      </c>
      <c r="H378" s="127" t="s">
        <v>860</v>
      </c>
      <c r="I378" s="130"/>
      <c r="J378" s="131"/>
      <c r="K378" s="131" t="s">
        <v>26</v>
      </c>
      <c r="L378" s="131" t="s">
        <v>920</v>
      </c>
      <c r="M378" s="131" t="s">
        <v>119</v>
      </c>
      <c r="N378" s="131"/>
      <c r="O378" s="131" t="s">
        <v>138</v>
      </c>
      <c r="P378" s="133" t="s">
        <v>968</v>
      </c>
      <c r="Q378" s="133" t="s">
        <v>815</v>
      </c>
      <c r="R378" s="131"/>
      <c r="S378" s="131"/>
      <c r="T378" s="131"/>
      <c r="U378" s="143"/>
      <c r="V378" s="131" t="e">
        <f>WEEKNUM([2]!CRM[[#This Row],[Fecha]])</f>
        <v>#REF!</v>
      </c>
      <c r="W378" s="144"/>
    </row>
    <row r="379" spans="1:23" ht="29.45" thickBot="1">
      <c r="A379" s="125">
        <v>42</v>
      </c>
      <c r="B379" s="126">
        <v>45950</v>
      </c>
      <c r="C379" s="127" t="s">
        <v>808</v>
      </c>
      <c r="D379" s="131" t="s">
        <v>863</v>
      </c>
      <c r="E379" s="131"/>
      <c r="F379" s="128">
        <v>943800284</v>
      </c>
      <c r="G379" s="129" t="s">
        <v>864</v>
      </c>
      <c r="H379" s="127" t="s">
        <v>863</v>
      </c>
      <c r="I379" s="130"/>
      <c r="J379" s="131"/>
      <c r="K379" s="131" t="s">
        <v>26</v>
      </c>
      <c r="L379" s="131" t="s">
        <v>920</v>
      </c>
      <c r="M379" s="131" t="s">
        <v>119</v>
      </c>
      <c r="N379" s="131"/>
      <c r="O379" s="131" t="s">
        <v>138</v>
      </c>
      <c r="P379" s="133" t="s">
        <v>969</v>
      </c>
      <c r="Q379" s="133" t="s">
        <v>815</v>
      </c>
      <c r="R379" s="131"/>
      <c r="S379" s="131"/>
      <c r="T379" s="131"/>
      <c r="U379" s="143"/>
      <c r="V379" s="131" t="e">
        <f>WEEKNUM([2]!CRM[[#This Row],[Fecha]])</f>
        <v>#REF!</v>
      </c>
      <c r="W379" s="144"/>
    </row>
    <row r="380" spans="1:23" ht="44.1" thickBot="1">
      <c r="A380" s="125">
        <v>43</v>
      </c>
      <c r="B380" s="126">
        <v>45950</v>
      </c>
      <c r="C380" s="127" t="s">
        <v>808</v>
      </c>
      <c r="D380" s="131" t="s">
        <v>875</v>
      </c>
      <c r="E380" s="131" t="s">
        <v>876</v>
      </c>
      <c r="F380" s="128">
        <v>934207138</v>
      </c>
      <c r="G380" s="129"/>
      <c r="H380" s="127" t="s">
        <v>877</v>
      </c>
      <c r="I380" s="130">
        <v>20521916703</v>
      </c>
      <c r="J380" s="131"/>
      <c r="K380" s="131" t="s">
        <v>26</v>
      </c>
      <c r="L380" s="131" t="s">
        <v>871</v>
      </c>
      <c r="M380" s="131" t="s">
        <v>878</v>
      </c>
      <c r="N380" s="131"/>
      <c r="O380" s="131" t="s">
        <v>138</v>
      </c>
      <c r="P380" s="133" t="s">
        <v>970</v>
      </c>
      <c r="Q380" s="133" t="s">
        <v>32</v>
      </c>
      <c r="R380" s="131"/>
      <c r="S380" s="131"/>
      <c r="T380" s="131"/>
      <c r="U380" s="143"/>
      <c r="V380" s="131" t="e">
        <f>WEEKNUM([2]!CRM[[#This Row],[Fecha]])</f>
        <v>#REF!</v>
      </c>
      <c r="W380" s="144"/>
    </row>
    <row r="381" spans="1:23" ht="29.45" thickBot="1">
      <c r="A381" s="125">
        <v>44</v>
      </c>
      <c r="B381" s="126">
        <v>45950</v>
      </c>
      <c r="C381" s="127" t="s">
        <v>808</v>
      </c>
      <c r="D381" s="131" t="s">
        <v>880</v>
      </c>
      <c r="E381" s="131" t="s">
        <v>215</v>
      </c>
      <c r="F381" s="128">
        <v>946164816</v>
      </c>
      <c r="G381" s="129"/>
      <c r="H381" s="127" t="s">
        <v>971</v>
      </c>
      <c r="I381" s="130">
        <v>20469472231</v>
      </c>
      <c r="J381" s="131"/>
      <c r="K381" s="131" t="s">
        <v>26</v>
      </c>
      <c r="L381" s="131" t="s">
        <v>871</v>
      </c>
      <c r="M381" s="131" t="s">
        <v>872</v>
      </c>
      <c r="N381" s="131"/>
      <c r="O381" s="131" t="s">
        <v>138</v>
      </c>
      <c r="P381" s="133" t="s">
        <v>972</v>
      </c>
      <c r="Q381" s="133" t="s">
        <v>32</v>
      </c>
      <c r="R381" s="131"/>
      <c r="S381" s="131"/>
      <c r="T381" s="131"/>
      <c r="U381" s="143"/>
      <c r="V381" s="131" t="e">
        <f>WEEKNUM([2]!CRM[[#This Row],[Fecha]])</f>
        <v>#REF!</v>
      </c>
      <c r="W381" s="144"/>
    </row>
    <row r="382" spans="1:23" ht="29.45" thickBot="1">
      <c r="A382" s="125">
        <v>45</v>
      </c>
      <c r="B382" s="126">
        <v>45950</v>
      </c>
      <c r="C382" s="127" t="s">
        <v>808</v>
      </c>
      <c r="D382" s="131" t="s">
        <v>883</v>
      </c>
      <c r="E382" s="131" t="s">
        <v>810</v>
      </c>
      <c r="F382" s="128">
        <v>993442216</v>
      </c>
      <c r="G382" s="129" t="s">
        <v>884</v>
      </c>
      <c r="H382" s="127" t="s">
        <v>885</v>
      </c>
      <c r="I382" s="130">
        <v>20603250681</v>
      </c>
      <c r="J382" s="131"/>
      <c r="K382" s="131" t="s">
        <v>26</v>
      </c>
      <c r="L382" s="131" t="s">
        <v>871</v>
      </c>
      <c r="M382" s="131" t="s">
        <v>872</v>
      </c>
      <c r="N382" s="131"/>
      <c r="O382" s="131" t="s">
        <v>138</v>
      </c>
      <c r="P382" s="133" t="s">
        <v>973</v>
      </c>
      <c r="Q382" s="133" t="s">
        <v>32</v>
      </c>
      <c r="R382" s="131"/>
      <c r="S382" s="131"/>
      <c r="T382" s="131"/>
      <c r="U382" s="143"/>
      <c r="V382" s="131" t="e">
        <f>WEEKNUM([2]!CRM[[#This Row],[Fecha]])</f>
        <v>#REF!</v>
      </c>
      <c r="W382" s="144"/>
    </row>
    <row r="383" spans="1:23" ht="44.1" thickBot="1">
      <c r="A383" s="125">
        <v>46</v>
      </c>
      <c r="B383" s="126">
        <v>45950</v>
      </c>
      <c r="C383" s="127" t="s">
        <v>808</v>
      </c>
      <c r="D383" s="131" t="s">
        <v>887</v>
      </c>
      <c r="E383" s="131" t="s">
        <v>888</v>
      </c>
      <c r="F383" s="128">
        <v>943697381</v>
      </c>
      <c r="G383" s="129" t="s">
        <v>889</v>
      </c>
      <c r="H383" s="127" t="s">
        <v>890</v>
      </c>
      <c r="I383" s="130">
        <v>20552429258</v>
      </c>
      <c r="J383" s="131"/>
      <c r="K383" s="131" t="s">
        <v>26</v>
      </c>
      <c r="L383" s="131" t="s">
        <v>871</v>
      </c>
      <c r="M383" s="131" t="s">
        <v>872</v>
      </c>
      <c r="N383" s="131"/>
      <c r="O383" s="131" t="s">
        <v>138</v>
      </c>
      <c r="P383" s="133" t="s">
        <v>974</v>
      </c>
      <c r="Q383" s="133" t="s">
        <v>32</v>
      </c>
      <c r="R383" s="131"/>
      <c r="S383" s="131"/>
      <c r="T383" s="131"/>
      <c r="U383" s="143"/>
      <c r="V383" s="131" t="e">
        <f>WEEKNUM([2]!CRM[[#This Row],[Fecha]])</f>
        <v>#REF!</v>
      </c>
      <c r="W383" s="144"/>
    </row>
    <row r="384" spans="1:23" ht="29.45" thickBot="1">
      <c r="A384" s="125">
        <v>47</v>
      </c>
      <c r="B384" s="126">
        <v>45950</v>
      </c>
      <c r="C384" s="127" t="s">
        <v>808</v>
      </c>
      <c r="D384" s="131" t="s">
        <v>892</v>
      </c>
      <c r="E384" s="131" t="s">
        <v>215</v>
      </c>
      <c r="F384" s="128" t="s">
        <v>893</v>
      </c>
      <c r="G384" s="129" t="s">
        <v>894</v>
      </c>
      <c r="H384" s="127" t="s">
        <v>895</v>
      </c>
      <c r="I384" s="130">
        <v>20547359799</v>
      </c>
      <c r="J384" s="131"/>
      <c r="K384" s="131" t="s">
        <v>26</v>
      </c>
      <c r="L384" s="131" t="s">
        <v>871</v>
      </c>
      <c r="M384" s="131" t="s">
        <v>872</v>
      </c>
      <c r="N384" s="131"/>
      <c r="O384" s="131" t="s">
        <v>138</v>
      </c>
      <c r="P384" s="133" t="s">
        <v>975</v>
      </c>
      <c r="Q384" s="133" t="s">
        <v>32</v>
      </c>
      <c r="R384" s="131"/>
      <c r="S384" s="131"/>
      <c r="T384" s="131"/>
      <c r="U384" s="143"/>
      <c r="V384" s="131" t="e">
        <f>WEEKNUM([2]!CRM[[#This Row],[Fecha]])</f>
        <v>#REF!</v>
      </c>
      <c r="W384" s="144"/>
    </row>
    <row r="385" spans="1:23" ht="29.45" thickBot="1">
      <c r="A385" s="125">
        <v>48</v>
      </c>
      <c r="B385" s="126">
        <v>45950</v>
      </c>
      <c r="C385" s="127" t="s">
        <v>808</v>
      </c>
      <c r="D385" s="131" t="s">
        <v>897</v>
      </c>
      <c r="E385" s="131" t="s">
        <v>215</v>
      </c>
      <c r="F385" s="128">
        <v>2250846</v>
      </c>
      <c r="G385" s="129" t="s">
        <v>898</v>
      </c>
      <c r="H385" s="127" t="s">
        <v>899</v>
      </c>
      <c r="I385" s="130">
        <v>20514633151</v>
      </c>
      <c r="J385" s="131"/>
      <c r="K385" s="131" t="s">
        <v>26</v>
      </c>
      <c r="L385" s="131" t="s">
        <v>871</v>
      </c>
      <c r="M385" s="131" t="s">
        <v>872</v>
      </c>
      <c r="N385" s="131"/>
      <c r="O385" s="131" t="s">
        <v>138</v>
      </c>
      <c r="P385" s="133" t="s">
        <v>976</v>
      </c>
      <c r="Q385" s="133" t="s">
        <v>32</v>
      </c>
      <c r="R385" s="131"/>
      <c r="S385" s="131"/>
      <c r="T385" s="131"/>
      <c r="U385" s="143"/>
      <c r="V385" s="131" t="e">
        <f>WEEKNUM([2]!CRM[[#This Row],[Fecha]])</f>
        <v>#REF!</v>
      </c>
      <c r="W385" s="144"/>
    </row>
    <row r="386" spans="1:23" ht="29.45" thickBot="1">
      <c r="A386" s="125">
        <v>49</v>
      </c>
      <c r="B386" s="126">
        <v>45950</v>
      </c>
      <c r="C386" s="127" t="s">
        <v>808</v>
      </c>
      <c r="D386" s="131" t="s">
        <v>901</v>
      </c>
      <c r="E386" s="131" t="s">
        <v>215</v>
      </c>
      <c r="F386" s="128">
        <v>945784187</v>
      </c>
      <c r="G386" s="129" t="s">
        <v>902</v>
      </c>
      <c r="H386" s="127" t="s">
        <v>977</v>
      </c>
      <c r="I386" s="130">
        <v>20548606412</v>
      </c>
      <c r="J386" s="131"/>
      <c r="K386" s="131" t="s">
        <v>26</v>
      </c>
      <c r="L386" s="131" t="s">
        <v>871</v>
      </c>
      <c r="M386" s="131" t="s">
        <v>872</v>
      </c>
      <c r="N386" s="131"/>
      <c r="O386" s="131" t="s">
        <v>138</v>
      </c>
      <c r="P386" s="133" t="s">
        <v>978</v>
      </c>
      <c r="Q386" s="133" t="s">
        <v>32</v>
      </c>
      <c r="R386" s="131"/>
      <c r="S386" s="131"/>
      <c r="T386" s="131"/>
      <c r="U386" s="143"/>
      <c r="V386" s="131" t="e">
        <f>WEEKNUM([2]!CRM[[#This Row],[Fecha]])</f>
        <v>#REF!</v>
      </c>
      <c r="W386" s="144"/>
    </row>
    <row r="387" spans="1:23" ht="29.45" thickBot="1">
      <c r="A387" s="125">
        <v>50</v>
      </c>
      <c r="B387" s="126">
        <v>45950</v>
      </c>
      <c r="C387" s="127" t="s">
        <v>808</v>
      </c>
      <c r="D387" s="131" t="s">
        <v>905</v>
      </c>
      <c r="E387" s="131" t="s">
        <v>215</v>
      </c>
      <c r="F387" s="128">
        <v>969321393</v>
      </c>
      <c r="G387" s="129"/>
      <c r="H387" s="127" t="s">
        <v>979</v>
      </c>
      <c r="I387" s="130">
        <v>20557432745</v>
      </c>
      <c r="J387" s="131"/>
      <c r="K387" s="131" t="s">
        <v>26</v>
      </c>
      <c r="L387" s="131" t="s">
        <v>871</v>
      </c>
      <c r="M387" s="131" t="s">
        <v>872</v>
      </c>
      <c r="N387" s="131"/>
      <c r="O387" s="131" t="s">
        <v>138</v>
      </c>
      <c r="P387" s="133" t="s">
        <v>978</v>
      </c>
      <c r="Q387" s="133" t="s">
        <v>32</v>
      </c>
      <c r="R387" s="131"/>
      <c r="S387" s="131"/>
      <c r="T387" s="131"/>
      <c r="U387" s="143"/>
      <c r="V387" s="131" t="e">
        <f>WEEKNUM([2]!CRM[[#This Row],[Fecha]])</f>
        <v>#REF!</v>
      </c>
      <c r="W387" s="144"/>
    </row>
    <row r="388" spans="1:23" ht="29.45" thickBot="1">
      <c r="A388" s="125">
        <v>51</v>
      </c>
      <c r="B388" s="126">
        <v>45950</v>
      </c>
      <c r="C388" s="127" t="s">
        <v>808</v>
      </c>
      <c r="D388" s="131" t="s">
        <v>908</v>
      </c>
      <c r="E388" s="131" t="s">
        <v>215</v>
      </c>
      <c r="F388" s="128" t="s">
        <v>909</v>
      </c>
      <c r="G388" s="129" t="s">
        <v>910</v>
      </c>
      <c r="H388" s="127" t="s">
        <v>911</v>
      </c>
      <c r="I388" s="130">
        <v>20545748861</v>
      </c>
      <c r="J388" s="131"/>
      <c r="K388" s="131" t="s">
        <v>26</v>
      </c>
      <c r="L388" s="131" t="s">
        <v>871</v>
      </c>
      <c r="M388" s="131" t="s">
        <v>872</v>
      </c>
      <c r="N388" s="131"/>
      <c r="O388" s="131" t="s">
        <v>138</v>
      </c>
      <c r="P388" s="133" t="s">
        <v>980</v>
      </c>
      <c r="Q388" s="133" t="s">
        <v>32</v>
      </c>
      <c r="R388" s="131"/>
      <c r="S388" s="131"/>
      <c r="T388" s="131"/>
      <c r="U388" s="143"/>
      <c r="V388" s="131" t="e">
        <f>WEEKNUM([2]!CRM[[#This Row],[Fecha]])</f>
        <v>#REF!</v>
      </c>
      <c r="W388" s="144"/>
    </row>
    <row r="389" spans="1:23" ht="29.45" thickBot="1">
      <c r="A389" s="125">
        <v>52</v>
      </c>
      <c r="B389" s="126">
        <v>45950</v>
      </c>
      <c r="C389" s="127" t="s">
        <v>808</v>
      </c>
      <c r="D389" s="131" t="s">
        <v>913</v>
      </c>
      <c r="E389" s="131" t="s">
        <v>215</v>
      </c>
      <c r="F389" s="128">
        <v>993574549</v>
      </c>
      <c r="G389" s="129" t="s">
        <v>914</v>
      </c>
      <c r="H389" s="127" t="s">
        <v>915</v>
      </c>
      <c r="I389" s="130">
        <v>20573851031</v>
      </c>
      <c r="J389" s="131"/>
      <c r="K389" s="131" t="s">
        <v>26</v>
      </c>
      <c r="L389" s="131" t="s">
        <v>871</v>
      </c>
      <c r="M389" s="131" t="s">
        <v>872</v>
      </c>
      <c r="N389" s="131"/>
      <c r="O389" s="131" t="s">
        <v>138</v>
      </c>
      <c r="P389" s="133" t="s">
        <v>980</v>
      </c>
      <c r="Q389" s="133" t="s">
        <v>32</v>
      </c>
      <c r="R389" s="131"/>
      <c r="S389" s="131"/>
      <c r="T389" s="131"/>
      <c r="U389" s="143"/>
      <c r="V389" s="131" t="e">
        <f>WEEKNUM([2]!CRM[[#This Row],[Fecha]])</f>
        <v>#REF!</v>
      </c>
      <c r="W389" s="144"/>
    </row>
    <row r="390" spans="1:23" ht="29.45" thickBot="1">
      <c r="A390" s="125">
        <v>53</v>
      </c>
      <c r="B390" s="126">
        <v>45950</v>
      </c>
      <c r="C390" s="127" t="s">
        <v>808</v>
      </c>
      <c r="D390" s="131" t="s">
        <v>868</v>
      </c>
      <c r="E390" s="131" t="s">
        <v>215</v>
      </c>
      <c r="F390" s="128">
        <v>947970444</v>
      </c>
      <c r="G390" s="129" t="s">
        <v>869</v>
      </c>
      <c r="H390" s="127" t="s">
        <v>870</v>
      </c>
      <c r="I390" s="130">
        <v>20101980112</v>
      </c>
      <c r="J390" s="131"/>
      <c r="K390" s="131" t="s">
        <v>26</v>
      </c>
      <c r="L390" s="131" t="s">
        <v>871</v>
      </c>
      <c r="M390" s="131" t="s">
        <v>872</v>
      </c>
      <c r="N390" s="131"/>
      <c r="O390" s="131" t="s">
        <v>138</v>
      </c>
      <c r="P390" s="133" t="s">
        <v>981</v>
      </c>
      <c r="Q390" s="133" t="s">
        <v>32</v>
      </c>
      <c r="R390" s="131"/>
      <c r="S390" s="131"/>
      <c r="T390" s="131"/>
      <c r="U390" s="143"/>
      <c r="V390" s="131" t="e">
        <f>WEEKNUM([2]!CRM[[#This Row],[Fecha]])</f>
        <v>#REF!</v>
      </c>
      <c r="W390" s="144"/>
    </row>
    <row r="391" spans="1:23" ht="29.45" thickBot="1">
      <c r="A391" s="125">
        <v>54</v>
      </c>
      <c r="B391" s="126">
        <v>45950</v>
      </c>
      <c r="C391" s="127" t="s">
        <v>808</v>
      </c>
      <c r="D391" s="131" t="s">
        <v>917</v>
      </c>
      <c r="E391" s="131" t="s">
        <v>215</v>
      </c>
      <c r="F391" s="128">
        <v>960644808</v>
      </c>
      <c r="G391" s="129" t="s">
        <v>918</v>
      </c>
      <c r="H391" s="127" t="s">
        <v>919</v>
      </c>
      <c r="I391" s="130">
        <v>20505955014</v>
      </c>
      <c r="J391" s="131"/>
      <c r="K391" s="131" t="s">
        <v>26</v>
      </c>
      <c r="L391" s="131" t="s">
        <v>920</v>
      </c>
      <c r="M391" s="131" t="s">
        <v>872</v>
      </c>
      <c r="N391" s="131"/>
      <c r="O391" s="131" t="s">
        <v>138</v>
      </c>
      <c r="P391" s="133" t="s">
        <v>982</v>
      </c>
      <c r="Q391" s="133" t="s">
        <v>32</v>
      </c>
      <c r="R391" s="131"/>
      <c r="S391" s="131"/>
      <c r="T391" s="131"/>
      <c r="U391" s="143"/>
      <c r="V391" s="131" t="e">
        <f>WEEKNUM([2]!CRM[[#This Row],[Fecha]])</f>
        <v>#REF!</v>
      </c>
      <c r="W391" s="144"/>
    </row>
    <row r="392" spans="1:23" ht="29.45" thickBot="1">
      <c r="A392" s="125">
        <v>55</v>
      </c>
      <c r="B392" s="126">
        <v>45950</v>
      </c>
      <c r="C392" s="127" t="s">
        <v>808</v>
      </c>
      <c r="D392" s="131" t="s">
        <v>922</v>
      </c>
      <c r="E392" s="131" t="s">
        <v>215</v>
      </c>
      <c r="F392" s="128" t="s">
        <v>923</v>
      </c>
      <c r="G392" s="129" t="s">
        <v>924</v>
      </c>
      <c r="H392" s="127" t="s">
        <v>925</v>
      </c>
      <c r="I392" s="130">
        <v>20601983550</v>
      </c>
      <c r="J392" s="131"/>
      <c r="K392" s="131" t="s">
        <v>26</v>
      </c>
      <c r="L392" s="131" t="s">
        <v>920</v>
      </c>
      <c r="M392" s="131" t="s">
        <v>872</v>
      </c>
      <c r="N392" s="131"/>
      <c r="O392" s="131" t="s">
        <v>138</v>
      </c>
      <c r="P392" s="133" t="s">
        <v>983</v>
      </c>
      <c r="Q392" s="133" t="s">
        <v>32</v>
      </c>
      <c r="R392" s="131"/>
      <c r="S392" s="131"/>
      <c r="T392" s="131"/>
      <c r="U392" s="143"/>
      <c r="V392" s="131" t="e">
        <f>WEEKNUM([2]!CRM[[#This Row],[Fecha]])</f>
        <v>#REF!</v>
      </c>
      <c r="W392" s="144"/>
    </row>
    <row r="393" spans="1:23" ht="29.45" thickBot="1">
      <c r="A393" s="125">
        <v>56</v>
      </c>
      <c r="B393" s="126">
        <v>45950</v>
      </c>
      <c r="C393" s="127" t="s">
        <v>808</v>
      </c>
      <c r="D393" s="131" t="s">
        <v>927</v>
      </c>
      <c r="E393" s="131" t="s">
        <v>215</v>
      </c>
      <c r="F393" s="128">
        <v>987233288</v>
      </c>
      <c r="G393" s="129"/>
      <c r="H393" s="127" t="s">
        <v>928</v>
      </c>
      <c r="I393" s="130">
        <v>20573851031</v>
      </c>
      <c r="J393" s="131"/>
      <c r="K393" s="131" t="s">
        <v>26</v>
      </c>
      <c r="L393" s="131" t="s">
        <v>920</v>
      </c>
      <c r="M393" s="131" t="s">
        <v>872</v>
      </c>
      <c r="N393" s="131"/>
      <c r="O393" s="131" t="s">
        <v>138</v>
      </c>
      <c r="P393" s="133" t="s">
        <v>984</v>
      </c>
      <c r="Q393" s="133" t="s">
        <v>32</v>
      </c>
      <c r="R393" s="131"/>
      <c r="S393" s="131"/>
      <c r="T393" s="131"/>
      <c r="U393" s="143"/>
      <c r="V393" s="131" t="e">
        <f>WEEKNUM([2]!CRM[[#This Row],[Fecha]])</f>
        <v>#REF!</v>
      </c>
      <c r="W393" s="144"/>
    </row>
    <row r="394" spans="1:23" ht="29.45" thickBot="1">
      <c r="A394" s="125">
        <v>57</v>
      </c>
      <c r="B394" s="126">
        <v>45950</v>
      </c>
      <c r="C394" s="127" t="s">
        <v>808</v>
      </c>
      <c r="D394" s="131" t="s">
        <v>930</v>
      </c>
      <c r="E394" s="131" t="s">
        <v>215</v>
      </c>
      <c r="F394" s="128" t="s">
        <v>931</v>
      </c>
      <c r="G394" s="129" t="s">
        <v>932</v>
      </c>
      <c r="H394" s="127" t="s">
        <v>933</v>
      </c>
      <c r="I394" s="130">
        <v>20538527000</v>
      </c>
      <c r="J394" s="131"/>
      <c r="K394" s="131" t="s">
        <v>26</v>
      </c>
      <c r="L394" s="131" t="s">
        <v>934</v>
      </c>
      <c r="M394" s="131" t="s">
        <v>119</v>
      </c>
      <c r="N394" s="131"/>
      <c r="O394" s="131" t="s">
        <v>138</v>
      </c>
      <c r="P394" s="133" t="s">
        <v>984</v>
      </c>
      <c r="Q394" s="133" t="s">
        <v>32</v>
      </c>
      <c r="R394" s="131"/>
      <c r="S394" s="131"/>
      <c r="T394" s="131"/>
      <c r="U394" s="143"/>
      <c r="V394" s="131" t="e">
        <f>WEEKNUM([2]!CRM[[#This Row],[Fecha]])</f>
        <v>#REF!</v>
      </c>
      <c r="W394" s="144"/>
    </row>
    <row r="395" spans="1:23" ht="44.1" thickBot="1">
      <c r="A395" s="125">
        <v>58</v>
      </c>
      <c r="B395" s="126">
        <v>45950</v>
      </c>
      <c r="C395" s="127" t="s">
        <v>808</v>
      </c>
      <c r="D395" s="131" t="s">
        <v>936</v>
      </c>
      <c r="E395" s="131" t="s">
        <v>215</v>
      </c>
      <c r="F395" s="128">
        <v>957598160</v>
      </c>
      <c r="G395" s="129" t="s">
        <v>937</v>
      </c>
      <c r="H395" s="127" t="s">
        <v>938</v>
      </c>
      <c r="I395" s="130">
        <v>20602446493</v>
      </c>
      <c r="J395" s="131"/>
      <c r="K395" s="131" t="s">
        <v>26</v>
      </c>
      <c r="L395" s="131" t="s">
        <v>934</v>
      </c>
      <c r="M395" s="131" t="s">
        <v>119</v>
      </c>
      <c r="N395" s="131"/>
      <c r="O395" s="131" t="s">
        <v>138</v>
      </c>
      <c r="P395" s="133"/>
      <c r="Q395" s="133" t="s">
        <v>32</v>
      </c>
      <c r="R395" s="131"/>
      <c r="S395" s="131"/>
      <c r="T395" s="131"/>
      <c r="U395" s="143"/>
      <c r="V395" s="131" t="e">
        <f>WEEKNUM([2]!CRM[[#This Row],[Fecha]])</f>
        <v>#REF!</v>
      </c>
      <c r="W395" s="144"/>
    </row>
    <row r="396" spans="1:23" ht="29.45" thickBot="1">
      <c r="A396" s="125">
        <v>59</v>
      </c>
      <c r="B396" s="126">
        <v>45950</v>
      </c>
      <c r="C396" s="127" t="s">
        <v>808</v>
      </c>
      <c r="D396" s="131" t="s">
        <v>940</v>
      </c>
      <c r="E396" s="131" t="s">
        <v>215</v>
      </c>
      <c r="F396" s="128" t="s">
        <v>941</v>
      </c>
      <c r="G396" s="129" t="s">
        <v>942</v>
      </c>
      <c r="H396" s="127" t="s">
        <v>943</v>
      </c>
      <c r="I396" s="130">
        <v>20543890511</v>
      </c>
      <c r="J396" s="131"/>
      <c r="K396" s="131" t="s">
        <v>26</v>
      </c>
      <c r="L396" s="131" t="s">
        <v>934</v>
      </c>
      <c r="M396" s="131" t="s">
        <v>119</v>
      </c>
      <c r="N396" s="131"/>
      <c r="O396" s="131" t="s">
        <v>138</v>
      </c>
      <c r="P396" s="133" t="s">
        <v>985</v>
      </c>
      <c r="Q396" s="133" t="s">
        <v>32</v>
      </c>
      <c r="R396" s="131"/>
      <c r="S396" s="131"/>
      <c r="T396" s="131"/>
      <c r="U396" s="143"/>
      <c r="V396" s="131" t="e">
        <f>WEEKNUM([2]!CRM[[#This Row],[Fecha]])</f>
        <v>#REF!</v>
      </c>
      <c r="W396" s="144"/>
    </row>
    <row r="397" spans="1:23" ht="29.45" thickBot="1">
      <c r="A397" s="125">
        <v>60</v>
      </c>
      <c r="B397" s="126">
        <v>45950</v>
      </c>
      <c r="C397" s="127" t="s">
        <v>808</v>
      </c>
      <c r="D397" s="131" t="s">
        <v>945</v>
      </c>
      <c r="E397" s="131" t="s">
        <v>215</v>
      </c>
      <c r="F397" s="128" t="s">
        <v>946</v>
      </c>
      <c r="G397" s="129"/>
      <c r="H397" s="127" t="s">
        <v>947</v>
      </c>
      <c r="I397" s="130">
        <v>20490632965</v>
      </c>
      <c r="J397" s="131"/>
      <c r="K397" s="131" t="s">
        <v>26</v>
      </c>
      <c r="L397" s="131" t="s">
        <v>934</v>
      </c>
      <c r="M397" s="131" t="s">
        <v>119</v>
      </c>
      <c r="N397" s="131"/>
      <c r="O397" s="131" t="s">
        <v>138</v>
      </c>
      <c r="P397" s="133" t="s">
        <v>986</v>
      </c>
      <c r="Q397" s="133" t="s">
        <v>32</v>
      </c>
      <c r="R397" s="131"/>
      <c r="S397" s="131"/>
      <c r="T397" s="131"/>
      <c r="U397" s="143"/>
      <c r="V397" s="131" t="e">
        <f>WEEKNUM([2]!CRM[[#This Row],[Fecha]])</f>
        <v>#REF!</v>
      </c>
      <c r="W397" s="144"/>
    </row>
    <row r="398" spans="1:23" ht="29.45" thickBot="1">
      <c r="A398" s="125">
        <v>61</v>
      </c>
      <c r="B398" s="126">
        <v>45950</v>
      </c>
      <c r="C398" s="127" t="s">
        <v>808</v>
      </c>
      <c r="D398" s="131" t="s">
        <v>953</v>
      </c>
      <c r="E398" s="131" t="s">
        <v>950</v>
      </c>
      <c r="F398" s="128">
        <v>973486128</v>
      </c>
      <c r="G398" s="129" t="s">
        <v>954</v>
      </c>
      <c r="H398" s="127" t="s">
        <v>955</v>
      </c>
      <c r="I398" s="130">
        <v>20606705434</v>
      </c>
      <c r="J398" s="131"/>
      <c r="K398" s="131" t="s">
        <v>26</v>
      </c>
      <c r="L398" s="131" t="s">
        <v>934</v>
      </c>
      <c r="M398" s="131" t="s">
        <v>119</v>
      </c>
      <c r="N398" s="131"/>
      <c r="O398" s="131" t="s">
        <v>138</v>
      </c>
      <c r="P398" s="133" t="s">
        <v>987</v>
      </c>
      <c r="Q398" s="133" t="s">
        <v>32</v>
      </c>
      <c r="R398" s="131"/>
      <c r="S398" s="131"/>
      <c r="T398" s="131"/>
      <c r="U398" s="143"/>
      <c r="V398" s="131" t="e">
        <f>WEEKNUM([2]!CRM[[#This Row],[Fecha]])</f>
        <v>#REF!</v>
      </c>
      <c r="W398" s="144"/>
    </row>
    <row r="399" spans="1:23" ht="72.95" thickBot="1">
      <c r="A399" s="125">
        <v>62</v>
      </c>
      <c r="B399" s="126">
        <v>45950</v>
      </c>
      <c r="C399" s="127" t="s">
        <v>808</v>
      </c>
      <c r="D399" s="131"/>
      <c r="E399" s="131" t="s">
        <v>215</v>
      </c>
      <c r="F399" s="128">
        <v>904811109</v>
      </c>
      <c r="G399" s="129"/>
      <c r="H399" s="127" t="s">
        <v>305</v>
      </c>
      <c r="I399" s="130" t="s">
        <v>306</v>
      </c>
      <c r="J399" s="131" t="s">
        <v>304</v>
      </c>
      <c r="K399" s="131" t="s">
        <v>26</v>
      </c>
      <c r="L399" s="131" t="s">
        <v>247</v>
      </c>
      <c r="M399" s="131" t="s">
        <v>872</v>
      </c>
      <c r="N399" s="131"/>
      <c r="O399" s="131" t="s">
        <v>138</v>
      </c>
      <c r="P399" s="133" t="s">
        <v>307</v>
      </c>
      <c r="Q399" s="133" t="s">
        <v>32</v>
      </c>
      <c r="R399" s="131"/>
      <c r="S399" s="131"/>
      <c r="T399" s="131"/>
      <c r="U399" s="143"/>
      <c r="V399" s="131" t="e">
        <f>WEEKNUM([2]!CRM[[#This Row],[Fecha]])</f>
        <v>#REF!</v>
      </c>
      <c r="W399" s="144">
        <v>1</v>
      </c>
    </row>
    <row r="400" spans="1:23" ht="29.45" thickBot="1">
      <c r="A400" s="125">
        <v>63</v>
      </c>
      <c r="B400" s="126">
        <v>45950</v>
      </c>
      <c r="C400" s="127" t="s">
        <v>808</v>
      </c>
      <c r="D400" s="131"/>
      <c r="E400" s="131" t="s">
        <v>215</v>
      </c>
      <c r="F400" s="128">
        <v>978142785</v>
      </c>
      <c r="G400" s="129"/>
      <c r="H400" s="127" t="s">
        <v>988</v>
      </c>
      <c r="I400" s="130"/>
      <c r="J400" s="131"/>
      <c r="K400" s="131" t="s">
        <v>26</v>
      </c>
      <c r="L400" s="131" t="s">
        <v>247</v>
      </c>
      <c r="M400" s="131" t="s">
        <v>872</v>
      </c>
      <c r="N400" s="131"/>
      <c r="O400" s="131" t="s">
        <v>138</v>
      </c>
      <c r="P400" s="133" t="s">
        <v>989</v>
      </c>
      <c r="Q400" s="133" t="s">
        <v>32</v>
      </c>
      <c r="R400" s="131"/>
      <c r="S400" s="131"/>
      <c r="T400" s="131"/>
      <c r="U400" s="143"/>
      <c r="V400" s="131" t="e">
        <f>WEEKNUM([2]!CRM[[#This Row],[Fecha]])</f>
        <v>#REF!</v>
      </c>
      <c r="W400" s="144">
        <v>1</v>
      </c>
    </row>
    <row r="401" spans="1:23" ht="29.45" thickBot="1">
      <c r="A401" s="125">
        <v>64</v>
      </c>
      <c r="B401" s="126">
        <v>45950</v>
      </c>
      <c r="C401" s="127" t="s">
        <v>808</v>
      </c>
      <c r="D401" s="131" t="s">
        <v>990</v>
      </c>
      <c r="E401" s="131" t="s">
        <v>215</v>
      </c>
      <c r="F401" s="128">
        <v>931226096</v>
      </c>
      <c r="G401" s="129" t="s">
        <v>991</v>
      </c>
      <c r="H401" s="127" t="s">
        <v>992</v>
      </c>
      <c r="I401" s="130">
        <v>20522693694</v>
      </c>
      <c r="J401" s="131"/>
      <c r="K401" s="131" t="s">
        <v>26</v>
      </c>
      <c r="L401" s="131" t="s">
        <v>247</v>
      </c>
      <c r="M401" s="131" t="s">
        <v>872</v>
      </c>
      <c r="N401" s="131"/>
      <c r="O401" s="131" t="s">
        <v>138</v>
      </c>
      <c r="P401" s="133" t="s">
        <v>993</v>
      </c>
      <c r="Q401" s="133" t="s">
        <v>32</v>
      </c>
      <c r="R401" s="131"/>
      <c r="S401" s="131"/>
      <c r="T401" s="131"/>
      <c r="U401" s="143"/>
      <c r="V401" s="131" t="e">
        <f>WEEKNUM([2]!CRM[[#This Row],[Fecha]])</f>
        <v>#REF!</v>
      </c>
      <c r="W401" s="144">
        <v>3</v>
      </c>
    </row>
    <row r="402" spans="1:23" ht="29.45" thickBot="1">
      <c r="A402" s="125">
        <v>65</v>
      </c>
      <c r="B402" s="126">
        <v>45950</v>
      </c>
      <c r="C402" s="127" t="s">
        <v>808</v>
      </c>
      <c r="D402" s="131" t="s">
        <v>994</v>
      </c>
      <c r="E402" s="131" t="s">
        <v>215</v>
      </c>
      <c r="F402" s="128" t="s">
        <v>995</v>
      </c>
      <c r="G402" s="129" t="s">
        <v>996</v>
      </c>
      <c r="H402" s="127" t="s">
        <v>997</v>
      </c>
      <c r="I402" s="130">
        <v>20604456666</v>
      </c>
      <c r="J402" s="131"/>
      <c r="K402" s="131" t="s">
        <v>26</v>
      </c>
      <c r="L402" s="131" t="s">
        <v>247</v>
      </c>
      <c r="M402" s="131" t="s">
        <v>872</v>
      </c>
      <c r="N402" s="131"/>
      <c r="O402" s="131" t="s">
        <v>138</v>
      </c>
      <c r="P402" s="133" t="s">
        <v>998</v>
      </c>
      <c r="Q402" s="133" t="s">
        <v>32</v>
      </c>
      <c r="R402" s="131"/>
      <c r="S402" s="131"/>
      <c r="T402" s="131"/>
      <c r="U402" s="143"/>
      <c r="V402" s="131" t="e">
        <f>WEEKNUM([2]!CRM[[#This Row],[Fecha]])</f>
        <v>#REF!</v>
      </c>
      <c r="W402" s="144">
        <v>1</v>
      </c>
    </row>
    <row r="403" spans="1:23" ht="29.45" thickBot="1">
      <c r="A403" s="125">
        <v>66</v>
      </c>
      <c r="B403" s="126">
        <v>45950</v>
      </c>
      <c r="C403" s="127" t="s">
        <v>808</v>
      </c>
      <c r="D403" s="131" t="s">
        <v>999</v>
      </c>
      <c r="E403" s="131" t="s">
        <v>215</v>
      </c>
      <c r="F403" s="128">
        <v>917788584</v>
      </c>
      <c r="G403" s="129" t="s">
        <v>1000</v>
      </c>
      <c r="H403" s="127" t="s">
        <v>1001</v>
      </c>
      <c r="I403" s="130">
        <v>20101027156</v>
      </c>
      <c r="J403" s="131"/>
      <c r="K403" s="131" t="s">
        <v>26</v>
      </c>
      <c r="L403" s="131" t="s">
        <v>247</v>
      </c>
      <c r="M403" s="131" t="s">
        <v>872</v>
      </c>
      <c r="N403" s="131"/>
      <c r="O403" s="131" t="s">
        <v>138</v>
      </c>
      <c r="P403" s="133" t="s">
        <v>1002</v>
      </c>
      <c r="Q403" s="133" t="s">
        <v>32</v>
      </c>
      <c r="R403" s="131"/>
      <c r="S403" s="131"/>
      <c r="T403" s="131"/>
      <c r="U403" s="143"/>
      <c r="V403" s="131" t="e">
        <f>WEEKNUM([2]!CRM[[#This Row],[Fecha]])</f>
        <v>#REF!</v>
      </c>
      <c r="W403" s="144">
        <v>1</v>
      </c>
    </row>
    <row r="404" spans="1:23" ht="29.45" thickBot="1">
      <c r="A404" s="125">
        <v>67</v>
      </c>
      <c r="B404" s="126">
        <v>45950</v>
      </c>
      <c r="C404" s="127" t="s">
        <v>808</v>
      </c>
      <c r="D404" s="131" t="s">
        <v>1003</v>
      </c>
      <c r="E404" s="131" t="s">
        <v>215</v>
      </c>
      <c r="F404" s="128" t="s">
        <v>1004</v>
      </c>
      <c r="G404" s="129" t="s">
        <v>1005</v>
      </c>
      <c r="H404" s="127" t="s">
        <v>1006</v>
      </c>
      <c r="I404" s="130">
        <v>20614049775</v>
      </c>
      <c r="J404" s="131"/>
      <c r="K404" s="131" t="s">
        <v>26</v>
      </c>
      <c r="L404" s="131" t="s">
        <v>247</v>
      </c>
      <c r="M404" s="131" t="s">
        <v>1007</v>
      </c>
      <c r="N404" s="131"/>
      <c r="O404" s="131" t="s">
        <v>138</v>
      </c>
      <c r="P404" s="133" t="s">
        <v>1008</v>
      </c>
      <c r="Q404" s="133" t="s">
        <v>32</v>
      </c>
      <c r="R404" s="131"/>
      <c r="S404" s="131"/>
      <c r="T404" s="131"/>
      <c r="U404" s="143"/>
      <c r="V404" s="131" t="e">
        <f>WEEKNUM([2]!CRM[[#This Row],[Fecha]])</f>
        <v>#REF!</v>
      </c>
      <c r="W404" s="144"/>
    </row>
    <row r="405" spans="1:23" ht="29.45" thickBot="1">
      <c r="A405" s="125">
        <v>68</v>
      </c>
      <c r="B405" s="126">
        <v>45950</v>
      </c>
      <c r="C405" s="127" t="s">
        <v>808</v>
      </c>
      <c r="D405" s="131" t="s">
        <v>1009</v>
      </c>
      <c r="E405" s="131" t="s">
        <v>215</v>
      </c>
      <c r="F405" s="128">
        <v>993522135</v>
      </c>
      <c r="G405" s="129" t="s">
        <v>1010</v>
      </c>
      <c r="H405" s="127" t="s">
        <v>1011</v>
      </c>
      <c r="I405" s="130">
        <v>20552651783</v>
      </c>
      <c r="J405" s="131"/>
      <c r="K405" s="131" t="s">
        <v>26</v>
      </c>
      <c r="L405" s="131" t="s">
        <v>247</v>
      </c>
      <c r="M405" s="131" t="s">
        <v>1007</v>
      </c>
      <c r="N405" s="131"/>
      <c r="O405" s="131" t="s">
        <v>138</v>
      </c>
      <c r="P405" s="133" t="s">
        <v>1012</v>
      </c>
      <c r="Q405" s="133" t="s">
        <v>32</v>
      </c>
      <c r="R405" s="131"/>
      <c r="S405" s="131"/>
      <c r="T405" s="131"/>
      <c r="U405" s="143"/>
      <c r="V405" s="131" t="e">
        <f>WEEKNUM([2]!CRM[[#This Row],[Fecha]])</f>
        <v>#REF!</v>
      </c>
      <c r="W405" s="144">
        <v>8</v>
      </c>
    </row>
    <row r="406" spans="1:23" ht="29.45" thickBot="1">
      <c r="A406" s="125">
        <v>69</v>
      </c>
      <c r="B406" s="126">
        <v>45950</v>
      </c>
      <c r="C406" s="127" t="s">
        <v>808</v>
      </c>
      <c r="D406" s="131" t="s">
        <v>1013</v>
      </c>
      <c r="E406" s="131" t="s">
        <v>215</v>
      </c>
      <c r="F406" s="128" t="s">
        <v>1014</v>
      </c>
      <c r="G406" s="129"/>
      <c r="H406" s="127" t="s">
        <v>1015</v>
      </c>
      <c r="I406" s="130">
        <v>20306514726</v>
      </c>
      <c r="J406" s="131"/>
      <c r="K406" s="131" t="s">
        <v>26</v>
      </c>
      <c r="L406" s="131" t="s">
        <v>247</v>
      </c>
      <c r="M406" s="131" t="s">
        <v>1007</v>
      </c>
      <c r="N406" s="131"/>
      <c r="O406" s="131" t="s">
        <v>138</v>
      </c>
      <c r="P406" s="133" t="s">
        <v>1016</v>
      </c>
      <c r="Q406" s="133" t="s">
        <v>32</v>
      </c>
      <c r="R406" s="131"/>
      <c r="S406" s="131"/>
      <c r="T406" s="131"/>
      <c r="U406" s="143"/>
      <c r="V406" s="131" t="e">
        <f>WEEKNUM([2]!CRM[[#This Row],[Fecha]])</f>
        <v>#REF!</v>
      </c>
      <c r="W406" s="144"/>
    </row>
    <row r="407" spans="1:23" ht="29.45" thickBot="1">
      <c r="A407" s="125">
        <v>70</v>
      </c>
      <c r="B407" s="126">
        <v>45950</v>
      </c>
      <c r="C407" s="127" t="s">
        <v>808</v>
      </c>
      <c r="D407" s="131" t="s">
        <v>1017</v>
      </c>
      <c r="E407" s="131" t="s">
        <v>215</v>
      </c>
      <c r="F407" s="128">
        <v>958669848</v>
      </c>
      <c r="G407" s="129" t="s">
        <v>1018</v>
      </c>
      <c r="H407" s="127" t="s">
        <v>1019</v>
      </c>
      <c r="I407" s="130">
        <v>20335862130</v>
      </c>
      <c r="J407" s="131"/>
      <c r="K407" s="131" t="s">
        <v>26</v>
      </c>
      <c r="L407" s="131" t="s">
        <v>247</v>
      </c>
      <c r="M407" s="131" t="s">
        <v>1007</v>
      </c>
      <c r="N407" s="131"/>
      <c r="O407" s="131" t="s">
        <v>138</v>
      </c>
      <c r="P407" s="133" t="s">
        <v>1016</v>
      </c>
      <c r="Q407" s="133" t="s">
        <v>32</v>
      </c>
      <c r="R407" s="131"/>
      <c r="S407" s="131"/>
      <c r="T407" s="131"/>
      <c r="U407" s="143"/>
      <c r="V407" s="131" t="e">
        <f>WEEKNUM([2]!CRM[[#This Row],[Fecha]])</f>
        <v>#REF!</v>
      </c>
      <c r="W407" s="144"/>
    </row>
    <row r="408" spans="1:23" ht="72.95" thickBot="1">
      <c r="A408" s="125">
        <v>71</v>
      </c>
      <c r="B408" s="126">
        <v>45950</v>
      </c>
      <c r="C408" s="127" t="s">
        <v>808</v>
      </c>
      <c r="D408" s="131" t="s">
        <v>1020</v>
      </c>
      <c r="E408" s="131" t="s">
        <v>215</v>
      </c>
      <c r="F408" s="128">
        <v>977965858</v>
      </c>
      <c r="G408" s="129"/>
      <c r="H408" s="127" t="s">
        <v>1021</v>
      </c>
      <c r="I408" s="130">
        <v>20503886031</v>
      </c>
      <c r="J408" s="131" t="s">
        <v>1022</v>
      </c>
      <c r="K408" s="131" t="s">
        <v>26</v>
      </c>
      <c r="L408" s="131" t="s">
        <v>247</v>
      </c>
      <c r="M408" s="131" t="s">
        <v>1007</v>
      </c>
      <c r="N408" s="131"/>
      <c r="O408" s="131" t="s">
        <v>138</v>
      </c>
      <c r="P408" s="133" t="s">
        <v>1023</v>
      </c>
      <c r="Q408" s="133" t="s">
        <v>32</v>
      </c>
      <c r="R408" s="131"/>
      <c r="S408" s="131"/>
      <c r="T408" s="131"/>
      <c r="U408" s="143"/>
      <c r="V408" s="131" t="e">
        <f>WEEKNUM([2]!CRM[[#This Row],[Fecha]])</f>
        <v>#REF!</v>
      </c>
      <c r="W408" s="144"/>
    </row>
    <row r="409" spans="1:23" ht="44.1" thickBot="1">
      <c r="A409" s="125">
        <v>72</v>
      </c>
      <c r="B409" s="126">
        <v>45950</v>
      </c>
      <c r="C409" s="127" t="s">
        <v>808</v>
      </c>
      <c r="D409" s="131" t="s">
        <v>1024</v>
      </c>
      <c r="E409" s="131"/>
      <c r="F409" s="128" t="s">
        <v>1025</v>
      </c>
      <c r="G409" s="129" t="s">
        <v>1026</v>
      </c>
      <c r="H409" s="127" t="s">
        <v>343</v>
      </c>
      <c r="I409" s="130">
        <v>20106753751</v>
      </c>
      <c r="J409" s="131"/>
      <c r="K409" s="131" t="s">
        <v>26</v>
      </c>
      <c r="L409" s="131" t="s">
        <v>934</v>
      </c>
      <c r="M409" s="131" t="s">
        <v>1007</v>
      </c>
      <c r="N409" s="131"/>
      <c r="O409" s="131" t="s">
        <v>345</v>
      </c>
      <c r="P409" s="133" t="s">
        <v>1027</v>
      </c>
      <c r="Q409" s="133" t="s">
        <v>32</v>
      </c>
      <c r="R409" s="131"/>
      <c r="S409" s="131"/>
      <c r="T409" s="131"/>
      <c r="U409" s="143"/>
      <c r="V409" s="131" t="e">
        <f>WEEKNUM([2]!CRM[[#This Row],[Fecha]])</f>
        <v>#REF!</v>
      </c>
      <c r="W409" s="144">
        <v>187</v>
      </c>
    </row>
    <row r="410" spans="1:23" ht="35.1" thickBot="1">
      <c r="A410" s="125">
        <v>73</v>
      </c>
      <c r="B410" s="126">
        <v>45956</v>
      </c>
      <c r="C410" s="127" t="s">
        <v>808</v>
      </c>
      <c r="D410" s="131" t="s">
        <v>1028</v>
      </c>
      <c r="E410" s="131" t="s">
        <v>215</v>
      </c>
      <c r="F410" s="128" t="s">
        <v>1029</v>
      </c>
      <c r="G410" s="129"/>
      <c r="H410" s="127" t="s">
        <v>1030</v>
      </c>
      <c r="I410" s="130" t="s">
        <v>1031</v>
      </c>
      <c r="J410" s="131"/>
      <c r="K410" s="131" t="s">
        <v>26</v>
      </c>
      <c r="L410" s="131" t="s">
        <v>1032</v>
      </c>
      <c r="M410" s="131" t="s">
        <v>28</v>
      </c>
      <c r="N410" s="131"/>
      <c r="O410" s="131" t="s">
        <v>138</v>
      </c>
      <c r="P410" s="133" t="s">
        <v>1033</v>
      </c>
      <c r="Q410" s="133" t="s">
        <v>32</v>
      </c>
      <c r="R410" s="131"/>
      <c r="S410" s="131"/>
      <c r="T410" s="131"/>
      <c r="U410" s="143"/>
      <c r="V410" s="131">
        <v>43</v>
      </c>
      <c r="W410" s="144">
        <v>2</v>
      </c>
    </row>
    <row r="411" spans="1:23" ht="29.45" thickBot="1">
      <c r="A411" s="125">
        <v>74</v>
      </c>
      <c r="B411" s="126">
        <v>45956</v>
      </c>
      <c r="C411" s="127" t="s">
        <v>808</v>
      </c>
      <c r="D411" s="131"/>
      <c r="E411" s="131" t="s">
        <v>215</v>
      </c>
      <c r="F411" s="128" t="s">
        <v>1034</v>
      </c>
      <c r="G411" s="129"/>
      <c r="H411" s="127" t="s">
        <v>1035</v>
      </c>
      <c r="I411" s="130">
        <v>10096555097</v>
      </c>
      <c r="J411" s="131"/>
      <c r="K411" s="131" t="s">
        <v>26</v>
      </c>
      <c r="L411" s="131" t="s">
        <v>1032</v>
      </c>
      <c r="M411" s="131" t="s">
        <v>119</v>
      </c>
      <c r="N411" s="131"/>
      <c r="O411" s="131" t="s">
        <v>138</v>
      </c>
      <c r="P411" s="133" t="s">
        <v>1036</v>
      </c>
      <c r="Q411" s="133" t="s">
        <v>32</v>
      </c>
      <c r="R411" s="131"/>
      <c r="S411" s="131"/>
      <c r="T411" s="131"/>
      <c r="U411" s="143"/>
      <c r="V411" s="131" t="e">
        <f>WEEKNUM([2]!CRM[[#This Row],[Fecha]])</f>
        <v>#REF!</v>
      </c>
      <c r="W411" s="144">
        <v>1</v>
      </c>
    </row>
    <row r="412" spans="1:23" ht="29.45" thickBot="1">
      <c r="A412" s="125">
        <v>75</v>
      </c>
      <c r="B412" s="126">
        <v>45956</v>
      </c>
      <c r="C412" s="127" t="s">
        <v>808</v>
      </c>
      <c r="D412" s="131" t="s">
        <v>1037</v>
      </c>
      <c r="E412" s="131" t="s">
        <v>215</v>
      </c>
      <c r="F412" s="128">
        <v>933571245</v>
      </c>
      <c r="G412" s="129" t="s">
        <v>1038</v>
      </c>
      <c r="H412" s="127" t="s">
        <v>1039</v>
      </c>
      <c r="I412" s="130" t="s">
        <v>1040</v>
      </c>
      <c r="J412" s="131"/>
      <c r="K412" s="131" t="s">
        <v>26</v>
      </c>
      <c r="L412" s="131" t="s">
        <v>298</v>
      </c>
      <c r="M412" s="131" t="s">
        <v>119</v>
      </c>
      <c r="N412" s="131"/>
      <c r="O412" s="131" t="s">
        <v>138</v>
      </c>
      <c r="P412" s="133" t="s">
        <v>1041</v>
      </c>
      <c r="Q412" s="133" t="s">
        <v>32</v>
      </c>
      <c r="R412" s="131"/>
      <c r="S412" s="131"/>
      <c r="T412" s="131"/>
      <c r="U412" s="143"/>
      <c r="V412" s="131" t="e">
        <f>WEEKNUM([2]!CRM[[#This Row],[Fecha]])</f>
        <v>#REF!</v>
      </c>
      <c r="W412" s="144" t="s">
        <v>1042</v>
      </c>
    </row>
    <row r="413" spans="1:23" ht="29.45" thickBot="1">
      <c r="A413" s="125">
        <v>76</v>
      </c>
      <c r="B413" s="126">
        <v>45956</v>
      </c>
      <c r="C413" s="127" t="s">
        <v>808</v>
      </c>
      <c r="D413" s="131" t="s">
        <v>1043</v>
      </c>
      <c r="E413" s="131" t="s">
        <v>215</v>
      </c>
      <c r="F413" s="128">
        <v>989277383</v>
      </c>
      <c r="G413" s="129"/>
      <c r="H413" s="127" t="s">
        <v>1044</v>
      </c>
      <c r="I413" s="130" t="s">
        <v>1045</v>
      </c>
      <c r="J413" s="131"/>
      <c r="K413" s="131" t="s">
        <v>26</v>
      </c>
      <c r="L413" s="131" t="s">
        <v>298</v>
      </c>
      <c r="M413" s="131" t="s">
        <v>119</v>
      </c>
      <c r="N413" s="131"/>
      <c r="O413" s="131" t="s">
        <v>138</v>
      </c>
      <c r="P413" s="133" t="s">
        <v>1046</v>
      </c>
      <c r="Q413" s="133" t="s">
        <v>32</v>
      </c>
      <c r="R413" s="131"/>
      <c r="S413" s="131"/>
      <c r="T413" s="131"/>
      <c r="U413" s="143"/>
      <c r="V413" s="131" t="e">
        <f>WEEKNUM([2]!CRM[[#This Row],[Fecha]])</f>
        <v>#REF!</v>
      </c>
      <c r="W413" s="144">
        <v>4</v>
      </c>
    </row>
    <row r="414" spans="1:23" ht="29.45" thickBot="1">
      <c r="A414" s="125">
        <v>77</v>
      </c>
      <c r="B414" s="126">
        <v>45956</v>
      </c>
      <c r="C414" s="127" t="s">
        <v>808</v>
      </c>
      <c r="D414" s="131"/>
      <c r="E414" s="131" t="s">
        <v>215</v>
      </c>
      <c r="F414" s="128">
        <v>991574766</v>
      </c>
      <c r="G414" s="129"/>
      <c r="H414" s="127" t="s">
        <v>297</v>
      </c>
      <c r="I414" s="130">
        <v>20603582552</v>
      </c>
      <c r="J414" s="131"/>
      <c r="K414" s="131" t="s">
        <v>26</v>
      </c>
      <c r="L414" s="131" t="s">
        <v>298</v>
      </c>
      <c r="M414" s="131" t="s">
        <v>119</v>
      </c>
      <c r="N414" s="131"/>
      <c r="O414" s="131" t="s">
        <v>138</v>
      </c>
      <c r="P414" s="133" t="s">
        <v>299</v>
      </c>
      <c r="Q414" s="133" t="s">
        <v>150</v>
      </c>
      <c r="R414" s="131"/>
      <c r="S414" s="131"/>
      <c r="T414" s="131"/>
      <c r="U414" s="143"/>
      <c r="V414" s="131" t="e">
        <f>WEEKNUM([2]!CRM[[#This Row],[Fecha]])</f>
        <v>#REF!</v>
      </c>
      <c r="W414" s="144">
        <v>2</v>
      </c>
    </row>
    <row r="415" spans="1:23" ht="29.45" thickBot="1">
      <c r="A415" s="125">
        <v>78</v>
      </c>
      <c r="B415" s="126">
        <v>45956</v>
      </c>
      <c r="C415" s="127" t="s">
        <v>808</v>
      </c>
      <c r="D415" s="131" t="s">
        <v>1047</v>
      </c>
      <c r="E415" s="131" t="s">
        <v>215</v>
      </c>
      <c r="F415" s="128" t="s">
        <v>1048</v>
      </c>
      <c r="G415" s="129"/>
      <c r="H415" s="127" t="s">
        <v>1049</v>
      </c>
      <c r="I415" s="130">
        <v>20555003120</v>
      </c>
      <c r="J415" s="131"/>
      <c r="K415" s="131" t="s">
        <v>26</v>
      </c>
      <c r="L415" s="131" t="s">
        <v>298</v>
      </c>
      <c r="M415" s="131" t="s">
        <v>119</v>
      </c>
      <c r="N415" s="131"/>
      <c r="O415" s="131" t="s">
        <v>138</v>
      </c>
      <c r="P415" s="133" t="s">
        <v>1050</v>
      </c>
      <c r="Q415" s="133" t="s">
        <v>32</v>
      </c>
      <c r="R415" s="131"/>
      <c r="S415" s="131"/>
      <c r="T415" s="131"/>
      <c r="U415" s="143"/>
      <c r="V415" s="131" t="e">
        <f>WEEKNUM([2]!CRM[[#This Row],[Fecha]])</f>
        <v>#REF!</v>
      </c>
      <c r="W415" s="144" t="s">
        <v>1051</v>
      </c>
    </row>
    <row r="416" spans="1:23" ht="58.5" thickBot="1">
      <c r="A416" s="125">
        <v>79</v>
      </c>
      <c r="B416" s="126">
        <v>45956</v>
      </c>
      <c r="C416" s="127" t="s">
        <v>808</v>
      </c>
      <c r="D416" s="131" t="s">
        <v>1052</v>
      </c>
      <c r="E416" s="131" t="s">
        <v>215</v>
      </c>
      <c r="F416" s="128">
        <v>913474275</v>
      </c>
      <c r="G416" s="129"/>
      <c r="H416" s="127" t="s">
        <v>1053</v>
      </c>
      <c r="I416" s="130">
        <v>20604456666</v>
      </c>
      <c r="J416" s="131" t="s">
        <v>1054</v>
      </c>
      <c r="K416" s="131" t="s">
        <v>26</v>
      </c>
      <c r="L416" s="131" t="s">
        <v>298</v>
      </c>
      <c r="M416" s="131" t="s">
        <v>119</v>
      </c>
      <c r="N416" s="131"/>
      <c r="O416" s="131" t="s">
        <v>138</v>
      </c>
      <c r="P416" s="133" t="s">
        <v>1055</v>
      </c>
      <c r="Q416" s="133" t="s">
        <v>32</v>
      </c>
      <c r="R416" s="131"/>
      <c r="S416" s="131"/>
      <c r="T416" s="131"/>
      <c r="U416" s="143"/>
      <c r="V416" s="131" t="e">
        <f>WEEKNUM([2]!CRM[[#This Row],[Fecha]])</f>
        <v>#REF!</v>
      </c>
      <c r="W416" s="144" t="s">
        <v>1051</v>
      </c>
    </row>
    <row r="417" spans="1:23" ht="29.45" thickBot="1">
      <c r="A417" s="125">
        <v>80</v>
      </c>
      <c r="B417" s="126">
        <v>45956</v>
      </c>
      <c r="C417" s="127" t="s">
        <v>808</v>
      </c>
      <c r="D417" s="131" t="s">
        <v>1056</v>
      </c>
      <c r="E417" s="131" t="s">
        <v>215</v>
      </c>
      <c r="F417" s="128" t="s">
        <v>1057</v>
      </c>
      <c r="G417" s="129"/>
      <c r="H417" s="127" t="s">
        <v>1058</v>
      </c>
      <c r="I417" s="130">
        <v>20610356100</v>
      </c>
      <c r="J417" s="131"/>
      <c r="K417" s="131" t="s">
        <v>26</v>
      </c>
      <c r="L417" s="131" t="s">
        <v>298</v>
      </c>
      <c r="M417" s="131" t="s">
        <v>28</v>
      </c>
      <c r="N417" s="131"/>
      <c r="O417" s="131" t="s">
        <v>138</v>
      </c>
      <c r="P417" s="133" t="s">
        <v>1059</v>
      </c>
      <c r="Q417" s="133" t="s">
        <v>32</v>
      </c>
      <c r="R417" s="131"/>
      <c r="S417" s="131"/>
      <c r="T417" s="131"/>
      <c r="U417" s="143"/>
      <c r="V417" s="131" t="e">
        <f>WEEKNUM([2]!CRM[[#This Row],[Fecha]])</f>
        <v>#REF!</v>
      </c>
      <c r="W417" s="144">
        <v>3</v>
      </c>
    </row>
    <row r="418" spans="1:23" ht="29.45" thickBot="1">
      <c r="A418" s="125">
        <v>81</v>
      </c>
      <c r="B418" s="126">
        <v>45956</v>
      </c>
      <c r="C418" s="127" t="s">
        <v>808</v>
      </c>
      <c r="D418" s="131" t="s">
        <v>1060</v>
      </c>
      <c r="E418" s="131" t="s">
        <v>215</v>
      </c>
      <c r="F418" s="128" t="s">
        <v>1061</v>
      </c>
      <c r="G418" s="129" t="s">
        <v>1062</v>
      </c>
      <c r="H418" s="127" t="s">
        <v>1063</v>
      </c>
      <c r="I418" s="130">
        <v>20516019396</v>
      </c>
      <c r="J418" s="131"/>
      <c r="K418" s="131" t="s">
        <v>26</v>
      </c>
      <c r="L418" s="131" t="s">
        <v>298</v>
      </c>
      <c r="M418" s="131" t="s">
        <v>28</v>
      </c>
      <c r="N418" s="131"/>
      <c r="O418" s="131" t="s">
        <v>138</v>
      </c>
      <c r="P418" s="133" t="s">
        <v>1064</v>
      </c>
      <c r="Q418" s="133" t="s">
        <v>32</v>
      </c>
      <c r="R418" s="131"/>
      <c r="S418" s="131"/>
      <c r="T418" s="131"/>
      <c r="U418" s="143"/>
      <c r="V418" s="131" t="e">
        <f>WEEKNUM([2]!CRM[[#This Row],[Fecha]])</f>
        <v>#REF!</v>
      </c>
      <c r="W418" s="144">
        <v>3</v>
      </c>
    </row>
    <row r="419" spans="1:23" ht="29.45" thickBot="1">
      <c r="A419" s="125">
        <v>82</v>
      </c>
      <c r="B419" s="126">
        <v>45957</v>
      </c>
      <c r="C419" s="127" t="s">
        <v>808</v>
      </c>
      <c r="D419" s="131" t="s">
        <v>1065</v>
      </c>
      <c r="E419" s="131" t="s">
        <v>215</v>
      </c>
      <c r="F419" s="128" t="s">
        <v>1066</v>
      </c>
      <c r="G419" s="129"/>
      <c r="H419" s="127" t="s">
        <v>1067</v>
      </c>
      <c r="I419" s="130">
        <v>20380790697</v>
      </c>
      <c r="J419" s="131"/>
      <c r="K419" s="131" t="s">
        <v>26</v>
      </c>
      <c r="L419" s="131" t="s">
        <v>1068</v>
      </c>
      <c r="M419" s="131" t="s">
        <v>28</v>
      </c>
      <c r="N419" s="131"/>
      <c r="O419" s="131" t="s">
        <v>138</v>
      </c>
      <c r="P419" s="133" t="s">
        <v>1069</v>
      </c>
      <c r="Q419" s="133" t="s">
        <v>32</v>
      </c>
      <c r="R419" s="131"/>
      <c r="S419" s="131"/>
      <c r="T419" s="131"/>
      <c r="U419" s="143"/>
      <c r="V419" s="131" t="e">
        <f>WEEKNUM([2]!CRM[[#This Row],[Fecha]])</f>
        <v>#REF!</v>
      </c>
      <c r="W419" s="144">
        <v>4</v>
      </c>
    </row>
    <row r="420" spans="1:23" ht="29.45" thickBot="1">
      <c r="A420" s="125">
        <v>83</v>
      </c>
      <c r="B420" s="126">
        <v>45957</v>
      </c>
      <c r="C420" s="127" t="s">
        <v>808</v>
      </c>
      <c r="D420" s="131" t="s">
        <v>1070</v>
      </c>
      <c r="E420" s="131" t="s">
        <v>215</v>
      </c>
      <c r="F420" s="128">
        <v>936145836</v>
      </c>
      <c r="G420" s="129" t="s">
        <v>1071</v>
      </c>
      <c r="H420" s="127" t="s">
        <v>1072</v>
      </c>
      <c r="I420" s="130">
        <v>20503369649</v>
      </c>
      <c r="J420" s="131"/>
      <c r="K420" s="131" t="s">
        <v>26</v>
      </c>
      <c r="L420" s="131" t="s">
        <v>1068</v>
      </c>
      <c r="M420" s="131" t="s">
        <v>28</v>
      </c>
      <c r="N420" s="131"/>
      <c r="O420" s="131" t="s">
        <v>138</v>
      </c>
      <c r="P420" s="133" t="s">
        <v>1073</v>
      </c>
      <c r="Q420" s="133" t="s">
        <v>32</v>
      </c>
      <c r="R420" s="131"/>
      <c r="S420" s="131"/>
      <c r="T420" s="131"/>
      <c r="U420" s="143"/>
      <c r="V420" s="131" t="e">
        <f>WEEKNUM([2]!CRM[[#This Row],[Fecha]])</f>
        <v>#REF!</v>
      </c>
      <c r="W420" s="144">
        <v>5</v>
      </c>
    </row>
    <row r="421" spans="1:23" ht="29.45" thickBot="1">
      <c r="A421" s="125">
        <v>84</v>
      </c>
      <c r="B421" s="126">
        <v>45957</v>
      </c>
      <c r="C421" s="127" t="s">
        <v>808</v>
      </c>
      <c r="D421" s="131" t="s">
        <v>1074</v>
      </c>
      <c r="E421" s="131" t="s">
        <v>215</v>
      </c>
      <c r="F421" s="128">
        <v>905442227</v>
      </c>
      <c r="G421" s="129"/>
      <c r="H421" s="127" t="s">
        <v>1075</v>
      </c>
      <c r="I421" s="130">
        <v>20526890401</v>
      </c>
      <c r="J421" s="131"/>
      <c r="K421" s="131" t="s">
        <v>26</v>
      </c>
      <c r="L421" s="131" t="s">
        <v>1068</v>
      </c>
      <c r="M421" s="131" t="s">
        <v>28</v>
      </c>
      <c r="N421" s="131"/>
      <c r="O421" s="131" t="s">
        <v>138</v>
      </c>
      <c r="P421" s="133" t="s">
        <v>1076</v>
      </c>
      <c r="Q421" s="133" t="s">
        <v>32</v>
      </c>
      <c r="R421" s="131"/>
      <c r="S421" s="131"/>
      <c r="T421" s="131"/>
      <c r="U421" s="143"/>
      <c r="V421" s="131" t="e">
        <f>WEEKNUM([2]!CRM[[#This Row],[Fecha]])</f>
        <v>#REF!</v>
      </c>
      <c r="W421" s="144">
        <v>4</v>
      </c>
    </row>
    <row r="422" spans="1:23" ht="29.45" thickBot="1">
      <c r="A422" s="125">
        <v>85</v>
      </c>
      <c r="B422" s="126">
        <v>45957</v>
      </c>
      <c r="C422" s="127" t="s">
        <v>808</v>
      </c>
      <c r="D422" s="131" t="s">
        <v>1077</v>
      </c>
      <c r="E422" s="131" t="s">
        <v>215</v>
      </c>
      <c r="F422" s="128" t="s">
        <v>1078</v>
      </c>
      <c r="G422" s="129"/>
      <c r="H422" s="127" t="s">
        <v>1079</v>
      </c>
      <c r="I422" s="130">
        <v>20393721007</v>
      </c>
      <c r="J422" s="131"/>
      <c r="K422" s="131" t="s">
        <v>26</v>
      </c>
      <c r="L422" s="131" t="s">
        <v>1080</v>
      </c>
      <c r="M422" s="131" t="s">
        <v>28</v>
      </c>
      <c r="N422" s="131"/>
      <c r="O422" s="131" t="s">
        <v>138</v>
      </c>
      <c r="P422" s="133" t="s">
        <v>1081</v>
      </c>
      <c r="Q422" s="133" t="s">
        <v>32</v>
      </c>
      <c r="R422" s="131"/>
      <c r="S422" s="131"/>
      <c r="T422" s="131"/>
      <c r="U422" s="143"/>
      <c r="V422" s="131" t="e">
        <f>WEEKNUM([2]!CRM[[#This Row],[Fecha]])</f>
        <v>#REF!</v>
      </c>
      <c r="W422" s="144">
        <v>3</v>
      </c>
    </row>
    <row r="423" spans="1:23" ht="29.45" thickBot="1">
      <c r="A423" s="125">
        <v>86</v>
      </c>
      <c r="B423" s="126">
        <v>45957</v>
      </c>
      <c r="C423" s="127" t="s">
        <v>808</v>
      </c>
      <c r="D423" s="131"/>
      <c r="E423" s="131" t="s">
        <v>1082</v>
      </c>
      <c r="F423" s="128">
        <v>960632429</v>
      </c>
      <c r="G423" s="129"/>
      <c r="H423" s="127" t="s">
        <v>1083</v>
      </c>
      <c r="I423" s="130" t="s">
        <v>1084</v>
      </c>
      <c r="J423" s="131"/>
      <c r="K423" s="131" t="s">
        <v>26</v>
      </c>
      <c r="L423" s="131" t="s">
        <v>1068</v>
      </c>
      <c r="M423" s="131" t="s">
        <v>119</v>
      </c>
      <c r="N423" s="131"/>
      <c r="O423" s="131" t="s">
        <v>138</v>
      </c>
      <c r="P423" s="133" t="s">
        <v>1085</v>
      </c>
      <c r="Q423" s="133" t="s">
        <v>32</v>
      </c>
      <c r="R423" s="131"/>
      <c r="S423" s="131"/>
      <c r="T423" s="131"/>
      <c r="U423" s="143"/>
      <c r="V423" s="131" t="e">
        <f>WEEKNUM([2]!CRM[[#This Row],[Fecha]])</f>
        <v>#REF!</v>
      </c>
      <c r="W423" s="144"/>
    </row>
    <row r="424" spans="1:23" ht="29.45" thickBot="1">
      <c r="A424" s="125">
        <v>87</v>
      </c>
      <c r="B424" s="126">
        <v>45957</v>
      </c>
      <c r="C424" s="127" t="s">
        <v>808</v>
      </c>
      <c r="D424" s="131" t="s">
        <v>1086</v>
      </c>
      <c r="E424" s="131" t="s">
        <v>215</v>
      </c>
      <c r="F424" s="128" t="s">
        <v>1087</v>
      </c>
      <c r="G424" s="129"/>
      <c r="H424" s="127" t="s">
        <v>1088</v>
      </c>
      <c r="I424" s="130">
        <v>20612883018</v>
      </c>
      <c r="J424" s="131"/>
      <c r="K424" s="131" t="s">
        <v>26</v>
      </c>
      <c r="L424" s="131" t="s">
        <v>1068</v>
      </c>
      <c r="M424" s="131" t="s">
        <v>872</v>
      </c>
      <c r="N424" s="131"/>
      <c r="O424" s="131" t="s">
        <v>138</v>
      </c>
      <c r="P424" s="133" t="s">
        <v>1089</v>
      </c>
      <c r="Q424" s="133" t="s">
        <v>32</v>
      </c>
      <c r="R424" s="131"/>
      <c r="S424" s="131"/>
      <c r="T424" s="131"/>
      <c r="U424" s="143"/>
      <c r="V424" s="131">
        <v>44</v>
      </c>
      <c r="W424" s="144">
        <v>4</v>
      </c>
    </row>
    <row r="425" spans="1:23" ht="58.5" thickBot="1">
      <c r="A425" s="125">
        <v>88</v>
      </c>
      <c r="B425" s="126">
        <v>45957</v>
      </c>
      <c r="C425" s="127" t="s">
        <v>808</v>
      </c>
      <c r="D425" s="131" t="s">
        <v>1090</v>
      </c>
      <c r="E425" s="131" t="s">
        <v>1091</v>
      </c>
      <c r="F425" s="128" t="s">
        <v>1092</v>
      </c>
      <c r="G425" s="129"/>
      <c r="H425" s="127" t="s">
        <v>1093</v>
      </c>
      <c r="I425" s="130" t="s">
        <v>1084</v>
      </c>
      <c r="J425" s="131" t="s">
        <v>1094</v>
      </c>
      <c r="K425" s="131" t="s">
        <v>26</v>
      </c>
      <c r="L425" s="131" t="s">
        <v>1068</v>
      </c>
      <c r="M425" s="131" t="s">
        <v>872</v>
      </c>
      <c r="N425" s="131"/>
      <c r="O425" s="131" t="s">
        <v>138</v>
      </c>
      <c r="P425" s="133" t="s">
        <v>1095</v>
      </c>
      <c r="Q425" s="133" t="s">
        <v>32</v>
      </c>
      <c r="R425" s="131"/>
      <c r="S425" s="131"/>
      <c r="T425" s="131"/>
      <c r="U425" s="143"/>
      <c r="V425" s="131">
        <v>44</v>
      </c>
      <c r="W425" s="144"/>
    </row>
    <row r="426" spans="1:23" ht="29.45" thickBot="1">
      <c r="A426" s="125">
        <v>89</v>
      </c>
      <c r="B426" s="126">
        <v>45957</v>
      </c>
      <c r="C426" s="127" t="s">
        <v>808</v>
      </c>
      <c r="D426" s="131" t="s">
        <v>1096</v>
      </c>
      <c r="E426" s="131" t="s">
        <v>1097</v>
      </c>
      <c r="F426" s="128">
        <v>923824797</v>
      </c>
      <c r="G426" s="129"/>
      <c r="H426" s="127" t="s">
        <v>1098</v>
      </c>
      <c r="I426" s="130">
        <v>20521909081</v>
      </c>
      <c r="J426" s="131"/>
      <c r="K426" s="131" t="s">
        <v>26</v>
      </c>
      <c r="L426" s="131" t="s">
        <v>1068</v>
      </c>
      <c r="M426" s="131" t="s">
        <v>28</v>
      </c>
      <c r="N426" s="131"/>
      <c r="O426" s="131" t="s">
        <v>138</v>
      </c>
      <c r="P426" s="133" t="s">
        <v>1099</v>
      </c>
      <c r="Q426" s="133" t="s">
        <v>32</v>
      </c>
      <c r="R426" s="131"/>
      <c r="S426" s="131"/>
      <c r="T426" s="131"/>
      <c r="U426" s="143"/>
      <c r="V426" s="131">
        <v>44</v>
      </c>
      <c r="W426" s="144">
        <v>5</v>
      </c>
    </row>
    <row r="427" spans="1:23" ht="102" thickBot="1">
      <c r="A427" s="125">
        <v>90</v>
      </c>
      <c r="B427" s="126">
        <v>45957</v>
      </c>
      <c r="C427" s="127" t="s">
        <v>808</v>
      </c>
      <c r="D427" s="131" t="s">
        <v>1100</v>
      </c>
      <c r="E427" s="131" t="s">
        <v>215</v>
      </c>
      <c r="F427" s="128" t="s">
        <v>1101</v>
      </c>
      <c r="G427" s="129" t="s">
        <v>1102</v>
      </c>
      <c r="H427" s="127" t="s">
        <v>1103</v>
      </c>
      <c r="I427" s="130">
        <v>20603682271</v>
      </c>
      <c r="J427" s="131" t="s">
        <v>1104</v>
      </c>
      <c r="K427" s="131" t="s">
        <v>26</v>
      </c>
      <c r="L427" s="131" t="s">
        <v>1068</v>
      </c>
      <c r="M427" s="131" t="s">
        <v>28</v>
      </c>
      <c r="N427" s="131"/>
      <c r="O427" s="131" t="s">
        <v>138</v>
      </c>
      <c r="P427" s="133" t="s">
        <v>1105</v>
      </c>
      <c r="Q427" s="133" t="s">
        <v>32</v>
      </c>
      <c r="R427" s="131"/>
      <c r="S427" s="131"/>
      <c r="T427" s="131"/>
      <c r="U427" s="143"/>
      <c r="V427" s="131">
        <v>44</v>
      </c>
      <c r="W427" s="144">
        <v>9</v>
      </c>
    </row>
    <row r="428" spans="1:23" ht="29.45" thickBot="1">
      <c r="A428" s="125">
        <v>91</v>
      </c>
      <c r="B428" s="126">
        <v>45957</v>
      </c>
      <c r="C428" s="127" t="s">
        <v>808</v>
      </c>
      <c r="D428" s="131" t="s">
        <v>1106</v>
      </c>
      <c r="E428" s="131" t="s">
        <v>215</v>
      </c>
      <c r="F428" s="128" t="s">
        <v>1107</v>
      </c>
      <c r="G428" s="129" t="s">
        <v>1108</v>
      </c>
      <c r="H428" s="127" t="s">
        <v>1109</v>
      </c>
      <c r="I428" s="130">
        <v>20522371221</v>
      </c>
      <c r="J428" s="131"/>
      <c r="K428" s="131" t="s">
        <v>26</v>
      </c>
      <c r="L428" s="131" t="s">
        <v>1068</v>
      </c>
      <c r="M428" s="131" t="s">
        <v>28</v>
      </c>
      <c r="N428" s="131"/>
      <c r="O428" s="131" t="s">
        <v>138</v>
      </c>
      <c r="P428" s="133" t="s">
        <v>1110</v>
      </c>
      <c r="Q428" s="133" t="s">
        <v>32</v>
      </c>
      <c r="R428" s="131"/>
      <c r="S428" s="131"/>
      <c r="T428" s="131"/>
      <c r="U428" s="143"/>
      <c r="V428" s="131">
        <v>44</v>
      </c>
      <c r="W428" s="144">
        <v>4</v>
      </c>
    </row>
    <row r="429" spans="1:23" ht="116.45" thickBot="1">
      <c r="A429" s="125">
        <v>92</v>
      </c>
      <c r="B429" s="126">
        <v>45957</v>
      </c>
      <c r="C429" s="127" t="s">
        <v>808</v>
      </c>
      <c r="D429" s="131" t="s">
        <v>1111</v>
      </c>
      <c r="E429" s="131" t="s">
        <v>1112</v>
      </c>
      <c r="F429" s="128">
        <v>920172148</v>
      </c>
      <c r="G429" s="129" t="s">
        <v>1113</v>
      </c>
      <c r="H429" s="127" t="s">
        <v>1111</v>
      </c>
      <c r="I429" s="130">
        <v>72344467</v>
      </c>
      <c r="J429" s="131" t="s">
        <v>1114</v>
      </c>
      <c r="K429" s="131" t="s">
        <v>26</v>
      </c>
      <c r="L429" s="131" t="s">
        <v>445</v>
      </c>
      <c r="M429" s="131" t="s">
        <v>219</v>
      </c>
      <c r="N429" s="131"/>
      <c r="O429" s="131" t="s">
        <v>345</v>
      </c>
      <c r="P429" s="133" t="s">
        <v>1115</v>
      </c>
      <c r="Q429" s="133" t="s">
        <v>157</v>
      </c>
      <c r="R429" s="131"/>
      <c r="S429" s="131"/>
      <c r="T429" s="131"/>
      <c r="U429" s="143"/>
      <c r="V429" s="131" t="e">
        <f>WEEKNUM([2]!CRM[[#This Row],[Fecha]])</f>
        <v>#REF!</v>
      </c>
      <c r="W429" s="144"/>
    </row>
    <row r="430" spans="1:23" ht="145.5" thickBot="1">
      <c r="A430" s="125">
        <v>93</v>
      </c>
      <c r="B430" s="126">
        <v>45957</v>
      </c>
      <c r="C430" s="127" t="s">
        <v>808</v>
      </c>
      <c r="D430" s="131" t="s">
        <v>1116</v>
      </c>
      <c r="E430" s="131" t="s">
        <v>1117</v>
      </c>
      <c r="F430" s="128">
        <v>930812622</v>
      </c>
      <c r="G430" s="129" t="s">
        <v>1118</v>
      </c>
      <c r="H430" s="127" t="s">
        <v>1116</v>
      </c>
      <c r="I430" s="130">
        <v>42889736</v>
      </c>
      <c r="J430" s="131" t="s">
        <v>1119</v>
      </c>
      <c r="K430" s="131" t="s">
        <v>1120</v>
      </c>
      <c r="L430" s="131" t="s">
        <v>1120</v>
      </c>
      <c r="M430" s="131" t="s">
        <v>44</v>
      </c>
      <c r="N430" s="131"/>
      <c r="O430" s="131" t="s">
        <v>345</v>
      </c>
      <c r="P430" s="133" t="s">
        <v>1121</v>
      </c>
      <c r="Q430" s="133" t="s">
        <v>157</v>
      </c>
      <c r="R430" s="131"/>
      <c r="S430" s="131"/>
      <c r="T430" s="131"/>
      <c r="U430" s="143"/>
      <c r="V430" s="131" t="e">
        <f>WEEKNUM([2]!CRM[[#This Row],[Fecha]])</f>
        <v>#REF!</v>
      </c>
      <c r="W430" s="144"/>
    </row>
    <row r="431" spans="1:23" ht="72.95" thickBot="1">
      <c r="A431" s="125">
        <v>94</v>
      </c>
      <c r="B431" s="126">
        <v>45957</v>
      </c>
      <c r="C431" s="127" t="s">
        <v>808</v>
      </c>
      <c r="D431" s="131" t="s">
        <v>1122</v>
      </c>
      <c r="E431" s="131" t="s">
        <v>215</v>
      </c>
      <c r="F431" s="128" t="s">
        <v>1034</v>
      </c>
      <c r="G431" s="129" t="s">
        <v>1123</v>
      </c>
      <c r="H431" s="127" t="s">
        <v>1124</v>
      </c>
      <c r="I431" s="130">
        <v>20341509239</v>
      </c>
      <c r="J431" s="131" t="s">
        <v>1125</v>
      </c>
      <c r="K431" s="131" t="s">
        <v>26</v>
      </c>
      <c r="L431" s="131" t="s">
        <v>1126</v>
      </c>
      <c r="M431" s="131" t="s">
        <v>317</v>
      </c>
      <c r="N431" s="131"/>
      <c r="O431" s="131" t="s">
        <v>345</v>
      </c>
      <c r="P431" s="133" t="s">
        <v>1127</v>
      </c>
      <c r="Q431" s="133" t="s">
        <v>32</v>
      </c>
      <c r="R431" s="131"/>
      <c r="S431" s="131"/>
      <c r="T431" s="131"/>
      <c r="U431" s="143"/>
      <c r="V431" s="131" t="e">
        <f>WEEKNUM([2]!CRM[[#This Row],[Fecha]])</f>
        <v>#REF!</v>
      </c>
      <c r="W431" s="144">
        <v>11</v>
      </c>
    </row>
    <row r="432" spans="1:23" ht="70.5" thickBot="1">
      <c r="A432" s="125">
        <v>95</v>
      </c>
      <c r="B432" s="126">
        <v>45957</v>
      </c>
      <c r="C432" s="127" t="s">
        <v>808</v>
      </c>
      <c r="D432" s="131" t="s">
        <v>839</v>
      </c>
      <c r="E432" s="131" t="s">
        <v>204</v>
      </c>
      <c r="F432" s="128" t="s">
        <v>1128</v>
      </c>
      <c r="G432" s="129" t="s">
        <v>965</v>
      </c>
      <c r="H432" s="127" t="s">
        <v>839</v>
      </c>
      <c r="I432" s="130">
        <v>10774619271</v>
      </c>
      <c r="J432" s="131"/>
      <c r="K432" s="131" t="s">
        <v>206</v>
      </c>
      <c r="L432" s="131" t="s">
        <v>206</v>
      </c>
      <c r="M432" s="131" t="s">
        <v>28</v>
      </c>
      <c r="N432" s="131"/>
      <c r="O432" s="131" t="s">
        <v>345</v>
      </c>
      <c r="P432" s="133" t="s">
        <v>1129</v>
      </c>
      <c r="Q432" s="133" t="s">
        <v>534</v>
      </c>
      <c r="R432" s="131"/>
      <c r="S432" s="131"/>
      <c r="T432" s="131"/>
      <c r="U432" s="143"/>
      <c r="V432" s="131" t="e">
        <f>WEEKNUM([2]!CRM[[#This Row],[Fecha]])</f>
        <v>#REF!</v>
      </c>
      <c r="W432" s="144">
        <v>3</v>
      </c>
    </row>
    <row r="433" spans="1:23" ht="58.5" thickBot="1">
      <c r="A433" s="125">
        <v>96</v>
      </c>
      <c r="B433" s="126">
        <v>45957</v>
      </c>
      <c r="C433" s="127" t="s">
        <v>808</v>
      </c>
      <c r="D433" s="131" t="s">
        <v>816</v>
      </c>
      <c r="E433" s="131" t="s">
        <v>817</v>
      </c>
      <c r="F433" s="128">
        <v>924997650</v>
      </c>
      <c r="G433" s="129" t="s">
        <v>818</v>
      </c>
      <c r="H433" s="127" t="s">
        <v>819</v>
      </c>
      <c r="I433" s="130">
        <v>20547728824</v>
      </c>
      <c r="J433" s="131"/>
      <c r="K433" s="131" t="s">
        <v>26</v>
      </c>
      <c r="L433" s="131" t="s">
        <v>26</v>
      </c>
      <c r="M433" s="131" t="s">
        <v>136</v>
      </c>
      <c r="N433" s="131"/>
      <c r="O433" s="131" t="s">
        <v>9</v>
      </c>
      <c r="P433" s="133" t="s">
        <v>1130</v>
      </c>
      <c r="Q433" s="133" t="s">
        <v>321</v>
      </c>
      <c r="R433" s="131"/>
      <c r="S433" s="131"/>
      <c r="T433" s="131"/>
      <c r="U433" s="143"/>
      <c r="V433" s="131" t="e">
        <f>WEEKNUM([2]!CRM[[#This Row],[Fecha]])</f>
        <v>#REF!</v>
      </c>
      <c r="W433" s="144"/>
    </row>
    <row r="434" spans="1:23" ht="29.45" thickBot="1">
      <c r="A434" s="125">
        <v>97</v>
      </c>
      <c r="B434" s="126">
        <v>45957</v>
      </c>
      <c r="C434" s="127" t="s">
        <v>808</v>
      </c>
      <c r="D434" s="131"/>
      <c r="E434" s="131" t="s">
        <v>215</v>
      </c>
      <c r="F434" s="128">
        <v>991574766</v>
      </c>
      <c r="G434" s="129"/>
      <c r="H434" s="127" t="s">
        <v>297</v>
      </c>
      <c r="I434" s="130">
        <v>20603582552</v>
      </c>
      <c r="J434" s="131"/>
      <c r="K434" s="131" t="s">
        <v>26</v>
      </c>
      <c r="L434" s="131" t="s">
        <v>298</v>
      </c>
      <c r="M434" s="131" t="s">
        <v>119</v>
      </c>
      <c r="N434" s="131"/>
      <c r="O434" s="131" t="s">
        <v>345</v>
      </c>
      <c r="P434" s="133" t="s">
        <v>1131</v>
      </c>
      <c r="Q434" s="133" t="s">
        <v>32</v>
      </c>
      <c r="R434" s="131"/>
      <c r="S434" s="131"/>
      <c r="T434" s="131"/>
      <c r="U434" s="143"/>
      <c r="V434" s="131" t="e">
        <f>WEEKNUM([2]!CRM[[#This Row],[Fecha]])</f>
        <v>#REF!</v>
      </c>
      <c r="W434" s="144"/>
    </row>
    <row r="435" spans="1:23" ht="42.6" thickBot="1">
      <c r="A435" s="125">
        <v>98</v>
      </c>
      <c r="B435" s="126">
        <v>45957</v>
      </c>
      <c r="C435" s="127" t="s">
        <v>808</v>
      </c>
      <c r="D435" s="131" t="s">
        <v>839</v>
      </c>
      <c r="E435" s="131" t="s">
        <v>204</v>
      </c>
      <c r="F435" s="128" t="s">
        <v>1128</v>
      </c>
      <c r="G435" s="129" t="s">
        <v>965</v>
      </c>
      <c r="H435" s="127" t="s">
        <v>839</v>
      </c>
      <c r="I435" s="130">
        <v>10774619271</v>
      </c>
      <c r="J435" s="131"/>
      <c r="K435" s="131" t="s">
        <v>206</v>
      </c>
      <c r="L435" s="131" t="s">
        <v>206</v>
      </c>
      <c r="M435" s="131" t="s">
        <v>28</v>
      </c>
      <c r="N435" s="131"/>
      <c r="O435" s="131" t="s">
        <v>345</v>
      </c>
      <c r="P435" s="133" t="s">
        <v>1132</v>
      </c>
      <c r="Q435" s="133" t="s">
        <v>32</v>
      </c>
      <c r="R435" s="131"/>
      <c r="S435" s="131"/>
      <c r="T435" s="131"/>
      <c r="U435" s="143"/>
      <c r="V435" s="131">
        <v>44</v>
      </c>
      <c r="W435" s="144"/>
    </row>
    <row r="436" spans="1:23" ht="29.45" thickBot="1">
      <c r="A436" s="125">
        <v>99</v>
      </c>
      <c r="B436" s="126">
        <v>45957</v>
      </c>
      <c r="C436" s="127" t="s">
        <v>808</v>
      </c>
      <c r="D436" s="131" t="s">
        <v>1037</v>
      </c>
      <c r="E436" s="131" t="s">
        <v>215</v>
      </c>
      <c r="F436" s="128">
        <v>933571245</v>
      </c>
      <c r="G436" s="129" t="s">
        <v>1038</v>
      </c>
      <c r="H436" s="127" t="s">
        <v>1039</v>
      </c>
      <c r="I436" s="130" t="s">
        <v>1040</v>
      </c>
      <c r="J436" s="131"/>
      <c r="K436" s="131" t="s">
        <v>26</v>
      </c>
      <c r="L436" s="131" t="s">
        <v>298</v>
      </c>
      <c r="M436" s="131" t="s">
        <v>119</v>
      </c>
      <c r="N436" s="131"/>
      <c r="O436" s="131" t="s">
        <v>345</v>
      </c>
      <c r="P436" s="133" t="s">
        <v>1133</v>
      </c>
      <c r="Q436" s="133" t="s">
        <v>32</v>
      </c>
      <c r="R436" s="131"/>
      <c r="S436" s="131"/>
      <c r="T436" s="131"/>
      <c r="U436" s="143"/>
      <c r="V436" s="131" t="e">
        <f>WEEKNUM([2]!CRM[[#This Row],[Fecha]])</f>
        <v>#REF!</v>
      </c>
      <c r="W436" s="144"/>
    </row>
    <row r="437" spans="1:23" ht="29.45" thickBot="1">
      <c r="A437" s="125">
        <v>100</v>
      </c>
      <c r="B437" s="126">
        <v>45957</v>
      </c>
      <c r="C437" s="127" t="s">
        <v>808</v>
      </c>
      <c r="D437" s="131" t="s">
        <v>1052</v>
      </c>
      <c r="E437" s="131" t="s">
        <v>215</v>
      </c>
      <c r="F437" s="128">
        <v>913474275</v>
      </c>
      <c r="G437" s="129"/>
      <c r="H437" s="127" t="s">
        <v>1134</v>
      </c>
      <c r="I437" s="130">
        <v>20604456666</v>
      </c>
      <c r="J437" s="131"/>
      <c r="K437" s="131" t="s">
        <v>26</v>
      </c>
      <c r="L437" s="131" t="s">
        <v>298</v>
      </c>
      <c r="M437" s="131" t="s">
        <v>119</v>
      </c>
      <c r="N437" s="131"/>
      <c r="O437" s="131" t="s">
        <v>345</v>
      </c>
      <c r="P437" s="133" t="s">
        <v>1135</v>
      </c>
      <c r="Q437" s="133" t="s">
        <v>32</v>
      </c>
      <c r="R437" s="131"/>
      <c r="S437" s="131"/>
      <c r="T437" s="131"/>
      <c r="U437" s="143"/>
      <c r="V437" s="131" t="e">
        <f>WEEKNUM([2]!CRM[[#This Row],[Fecha]])</f>
        <v>#REF!</v>
      </c>
      <c r="W437" s="144">
        <v>3</v>
      </c>
    </row>
    <row r="438" spans="1:23" ht="29.45" thickBot="1">
      <c r="A438" s="125">
        <v>101</v>
      </c>
      <c r="B438" s="126">
        <v>45957</v>
      </c>
      <c r="C438" s="127" t="s">
        <v>808</v>
      </c>
      <c r="D438" s="131" t="s">
        <v>1056</v>
      </c>
      <c r="E438" s="131" t="s">
        <v>215</v>
      </c>
      <c r="F438" s="128" t="s">
        <v>1057</v>
      </c>
      <c r="G438" s="129"/>
      <c r="H438" s="127" t="s">
        <v>1058</v>
      </c>
      <c r="I438" s="130">
        <v>20610356100</v>
      </c>
      <c r="J438" s="131"/>
      <c r="K438" s="131" t="s">
        <v>26</v>
      </c>
      <c r="L438" s="131" t="s">
        <v>298</v>
      </c>
      <c r="M438" s="131" t="s">
        <v>28</v>
      </c>
      <c r="N438" s="131"/>
      <c r="O438" s="131" t="s">
        <v>345</v>
      </c>
      <c r="P438" s="133" t="s">
        <v>1136</v>
      </c>
      <c r="Q438" s="133" t="s">
        <v>32</v>
      </c>
      <c r="R438" s="131"/>
      <c r="S438" s="131"/>
      <c r="T438" s="131"/>
      <c r="U438" s="143"/>
      <c r="V438" s="131" t="e">
        <f>WEEKNUM([2]!CRM[[#This Row],[Fecha]])</f>
        <v>#REF!</v>
      </c>
      <c r="W438" s="144"/>
    </row>
    <row r="439" spans="1:23" ht="42.6" thickBot="1">
      <c r="A439" s="125">
        <v>102</v>
      </c>
      <c r="B439" s="126">
        <v>45957</v>
      </c>
      <c r="C439" s="127" t="s">
        <v>808</v>
      </c>
      <c r="D439" s="131" t="s">
        <v>1003</v>
      </c>
      <c r="E439" s="131" t="s">
        <v>215</v>
      </c>
      <c r="F439" s="128" t="s">
        <v>1004</v>
      </c>
      <c r="G439" s="129" t="s">
        <v>1005</v>
      </c>
      <c r="H439" s="127" t="s">
        <v>1006</v>
      </c>
      <c r="I439" s="130">
        <v>20614049775</v>
      </c>
      <c r="J439" s="131"/>
      <c r="K439" s="131" t="s">
        <v>26</v>
      </c>
      <c r="L439" s="131" t="s">
        <v>247</v>
      </c>
      <c r="M439" s="131" t="s">
        <v>1007</v>
      </c>
      <c r="N439" s="131"/>
      <c r="O439" s="131" t="s">
        <v>345</v>
      </c>
      <c r="P439" s="133" t="s">
        <v>1137</v>
      </c>
      <c r="Q439" s="133" t="s">
        <v>32</v>
      </c>
      <c r="R439" s="131"/>
      <c r="S439" s="131"/>
      <c r="T439" s="131"/>
      <c r="U439" s="143"/>
      <c r="V439" s="131">
        <v>44</v>
      </c>
      <c r="W439" s="144">
        <v>3</v>
      </c>
    </row>
    <row r="440" spans="1:23" ht="29.45" thickBot="1">
      <c r="A440" s="125">
        <v>103</v>
      </c>
      <c r="B440" s="126">
        <v>45957</v>
      </c>
      <c r="C440" s="127" t="s">
        <v>808</v>
      </c>
      <c r="D440" s="131" t="s">
        <v>880</v>
      </c>
      <c r="E440" s="131" t="s">
        <v>215</v>
      </c>
      <c r="F440" s="128">
        <v>946164816</v>
      </c>
      <c r="G440" s="129"/>
      <c r="H440" s="127" t="s">
        <v>881</v>
      </c>
      <c r="I440" s="130">
        <v>20469472231</v>
      </c>
      <c r="J440" s="131"/>
      <c r="K440" s="131" t="s">
        <v>26</v>
      </c>
      <c r="L440" s="131" t="s">
        <v>871</v>
      </c>
      <c r="M440" s="131" t="s">
        <v>872</v>
      </c>
      <c r="N440" s="131"/>
      <c r="O440" s="131" t="s">
        <v>1138</v>
      </c>
      <c r="P440" s="133" t="s">
        <v>1139</v>
      </c>
      <c r="Q440" s="133" t="s">
        <v>32</v>
      </c>
      <c r="R440" s="131"/>
      <c r="S440" s="131"/>
      <c r="T440" s="131"/>
      <c r="U440" s="143"/>
      <c r="V440" s="131">
        <v>44</v>
      </c>
      <c r="W440" s="144">
        <v>4</v>
      </c>
    </row>
    <row r="441" spans="1:23" ht="29.45" thickBot="1">
      <c r="A441" s="125">
        <v>104</v>
      </c>
      <c r="B441" s="126">
        <v>45957</v>
      </c>
      <c r="C441" s="127" t="s">
        <v>808</v>
      </c>
      <c r="D441" s="131" t="s">
        <v>922</v>
      </c>
      <c r="E441" s="131" t="s">
        <v>215</v>
      </c>
      <c r="F441" s="128" t="s">
        <v>923</v>
      </c>
      <c r="G441" s="129" t="s">
        <v>924</v>
      </c>
      <c r="H441" s="127" t="s">
        <v>925</v>
      </c>
      <c r="I441" s="130">
        <v>20601983550</v>
      </c>
      <c r="J441" s="131"/>
      <c r="K441" s="131" t="s">
        <v>26</v>
      </c>
      <c r="L441" s="131" t="s">
        <v>920</v>
      </c>
      <c r="M441" s="131" t="s">
        <v>872</v>
      </c>
      <c r="N441" s="131"/>
      <c r="O441" s="131" t="s">
        <v>1138</v>
      </c>
      <c r="P441" s="133" t="s">
        <v>1140</v>
      </c>
      <c r="Q441" s="133" t="s">
        <v>32</v>
      </c>
      <c r="R441" s="131"/>
      <c r="S441" s="131"/>
      <c r="T441" s="131"/>
      <c r="U441" s="143"/>
      <c r="V441" s="131">
        <v>44</v>
      </c>
      <c r="W441" s="144">
        <v>1</v>
      </c>
    </row>
    <row r="442" spans="1:23" ht="42.6" thickBot="1">
      <c r="A442" s="125">
        <v>105</v>
      </c>
      <c r="B442" s="126">
        <v>45957</v>
      </c>
      <c r="C442" s="127" t="s">
        <v>808</v>
      </c>
      <c r="D442" s="131" t="s">
        <v>1043</v>
      </c>
      <c r="E442" s="131" t="s">
        <v>215</v>
      </c>
      <c r="F442" s="128">
        <v>989277383</v>
      </c>
      <c r="G442" s="129"/>
      <c r="H442" s="127" t="s">
        <v>1044</v>
      </c>
      <c r="I442" s="130" t="s">
        <v>1045</v>
      </c>
      <c r="J442" s="131"/>
      <c r="K442" s="131" t="s">
        <v>26</v>
      </c>
      <c r="L442" s="131" t="s">
        <v>298</v>
      </c>
      <c r="M442" s="131" t="s">
        <v>119</v>
      </c>
      <c r="N442" s="131"/>
      <c r="O442" s="131" t="s">
        <v>1138</v>
      </c>
      <c r="P442" s="133" t="s">
        <v>1141</v>
      </c>
      <c r="Q442" s="133" t="s">
        <v>32</v>
      </c>
      <c r="R442" s="131"/>
      <c r="S442" s="131"/>
      <c r="T442" s="131"/>
      <c r="U442" s="143"/>
      <c r="V442" s="131">
        <v>44</v>
      </c>
      <c r="W442" s="144">
        <v>3</v>
      </c>
    </row>
    <row r="443" spans="1:23" ht="58.5" thickBot="1">
      <c r="A443" s="125">
        <v>106</v>
      </c>
      <c r="B443" s="126">
        <v>45959</v>
      </c>
      <c r="C443" s="127" t="s">
        <v>808</v>
      </c>
      <c r="D443" s="131" t="s">
        <v>1142</v>
      </c>
      <c r="E443" s="131" t="s">
        <v>215</v>
      </c>
      <c r="F443" s="128" t="s">
        <v>1143</v>
      </c>
      <c r="G443" s="129"/>
      <c r="H443" s="127" t="s">
        <v>1144</v>
      </c>
      <c r="I443" s="130">
        <v>20335862130</v>
      </c>
      <c r="J443" s="131" t="s">
        <v>1145</v>
      </c>
      <c r="K443" s="131" t="s">
        <v>26</v>
      </c>
      <c r="L443" s="131" t="s">
        <v>1146</v>
      </c>
      <c r="M443" s="131" t="s">
        <v>872</v>
      </c>
      <c r="N443" s="131"/>
      <c r="O443" s="131" t="s">
        <v>138</v>
      </c>
      <c r="P443" s="133" t="s">
        <v>1147</v>
      </c>
      <c r="Q443" s="133" t="s">
        <v>157</v>
      </c>
      <c r="R443" s="131"/>
      <c r="S443" s="131"/>
      <c r="T443" s="131"/>
      <c r="U443" s="143"/>
      <c r="V443" s="131">
        <v>44</v>
      </c>
      <c r="W443" s="144">
        <v>3</v>
      </c>
    </row>
    <row r="444" spans="1:23" ht="44.1" thickBot="1">
      <c r="A444" s="125">
        <v>107</v>
      </c>
      <c r="B444" s="126">
        <v>45959</v>
      </c>
      <c r="C444" s="127" t="s">
        <v>808</v>
      </c>
      <c r="D444" s="131" t="s">
        <v>1148</v>
      </c>
      <c r="E444" s="131" t="s">
        <v>215</v>
      </c>
      <c r="F444" s="128">
        <v>998345586</v>
      </c>
      <c r="G444" s="129" t="s">
        <v>1149</v>
      </c>
      <c r="H444" s="127" t="s">
        <v>1150</v>
      </c>
      <c r="I444" s="130">
        <v>20535520641</v>
      </c>
      <c r="J444" s="131" t="s">
        <v>1151</v>
      </c>
      <c r="K444" s="131" t="s">
        <v>26</v>
      </c>
      <c r="L444" s="131" t="s">
        <v>1146</v>
      </c>
      <c r="M444" s="131" t="s">
        <v>1152</v>
      </c>
      <c r="N444" s="131"/>
      <c r="O444" s="131" t="s">
        <v>138</v>
      </c>
      <c r="P444" s="133" t="s">
        <v>1153</v>
      </c>
      <c r="Q444" s="133" t="s">
        <v>815</v>
      </c>
      <c r="R444" s="131"/>
      <c r="S444" s="131"/>
      <c r="T444" s="131"/>
      <c r="U444" s="143"/>
      <c r="V444" s="131">
        <v>44</v>
      </c>
      <c r="W444" s="144">
        <v>6</v>
      </c>
    </row>
    <row r="445" spans="1:23" ht="44.1" thickBot="1">
      <c r="A445" s="125">
        <v>108</v>
      </c>
      <c r="B445" s="126">
        <v>45959</v>
      </c>
      <c r="C445" s="127" t="s">
        <v>808</v>
      </c>
      <c r="D445" s="131" t="s">
        <v>1154</v>
      </c>
      <c r="E445" s="131" t="s">
        <v>215</v>
      </c>
      <c r="F445" s="128" t="s">
        <v>1155</v>
      </c>
      <c r="G445" s="129" t="s">
        <v>1156</v>
      </c>
      <c r="H445" s="127" t="s">
        <v>1157</v>
      </c>
      <c r="I445" s="130">
        <v>20101153704</v>
      </c>
      <c r="J445" s="131" t="s">
        <v>1156</v>
      </c>
      <c r="K445" s="131" t="s">
        <v>26</v>
      </c>
      <c r="L445" s="131" t="s">
        <v>1146</v>
      </c>
      <c r="M445" s="131" t="s">
        <v>1158</v>
      </c>
      <c r="N445" s="131"/>
      <c r="O445" s="131" t="s">
        <v>138</v>
      </c>
      <c r="P445" s="133" t="s">
        <v>1159</v>
      </c>
      <c r="Q445" s="133" t="s">
        <v>157</v>
      </c>
      <c r="R445" s="131"/>
      <c r="S445" s="131"/>
      <c r="T445" s="131"/>
      <c r="U445" s="143"/>
      <c r="V445" s="131">
        <v>44</v>
      </c>
      <c r="W445" s="144">
        <v>8</v>
      </c>
    </row>
    <row r="446" spans="1:23" ht="42.6" thickBot="1">
      <c r="A446" s="125">
        <v>109</v>
      </c>
      <c r="B446" s="126">
        <v>45959</v>
      </c>
      <c r="C446" s="127" t="s">
        <v>808</v>
      </c>
      <c r="D446" s="131" t="s">
        <v>1160</v>
      </c>
      <c r="E446" s="131" t="s">
        <v>215</v>
      </c>
      <c r="F446" s="128">
        <v>993227367</v>
      </c>
      <c r="G446" s="129"/>
      <c r="H446" s="127" t="s">
        <v>1161</v>
      </c>
      <c r="I446" s="130">
        <v>20550079349</v>
      </c>
      <c r="J446" s="131" t="s">
        <v>1162</v>
      </c>
      <c r="K446" s="131" t="s">
        <v>26</v>
      </c>
      <c r="L446" s="131" t="s">
        <v>1163</v>
      </c>
      <c r="M446" s="131" t="s">
        <v>119</v>
      </c>
      <c r="N446" s="131"/>
      <c r="O446" s="131" t="s">
        <v>138</v>
      </c>
      <c r="P446" s="133" t="s">
        <v>1164</v>
      </c>
      <c r="Q446" s="133" t="s">
        <v>157</v>
      </c>
      <c r="R446" s="131"/>
      <c r="S446" s="131"/>
      <c r="T446" s="131"/>
      <c r="U446" s="143"/>
      <c r="V446" s="131">
        <v>44</v>
      </c>
      <c r="W446" s="144">
        <v>5</v>
      </c>
    </row>
    <row r="447" spans="1:23" ht="70.5" thickBot="1">
      <c r="A447" s="125">
        <v>110</v>
      </c>
      <c r="B447" s="126">
        <v>45959</v>
      </c>
      <c r="C447" s="127" t="s">
        <v>808</v>
      </c>
      <c r="D447" s="131"/>
      <c r="E447" s="131" t="s">
        <v>215</v>
      </c>
      <c r="F447" s="128" t="s">
        <v>1165</v>
      </c>
      <c r="G447" s="129" t="s">
        <v>1166</v>
      </c>
      <c r="H447" s="127" t="s">
        <v>1167</v>
      </c>
      <c r="I447" s="130">
        <v>20603760507</v>
      </c>
      <c r="J447" s="131" t="s">
        <v>1166</v>
      </c>
      <c r="K447" s="131" t="s">
        <v>26</v>
      </c>
      <c r="L447" s="131" t="s">
        <v>1146</v>
      </c>
      <c r="M447" s="131" t="s">
        <v>872</v>
      </c>
      <c r="N447" s="131"/>
      <c r="O447" s="131" t="s">
        <v>138</v>
      </c>
      <c r="P447" s="133" t="s">
        <v>1168</v>
      </c>
      <c r="Q447" s="133" t="s">
        <v>157</v>
      </c>
      <c r="R447" s="131"/>
      <c r="S447" s="131"/>
      <c r="T447" s="131"/>
      <c r="U447" s="143"/>
      <c r="V447" s="131">
        <v>44</v>
      </c>
      <c r="W447" s="144">
        <v>1</v>
      </c>
    </row>
    <row r="448" spans="1:23" ht="56.45" thickBot="1">
      <c r="A448" s="125">
        <v>111</v>
      </c>
      <c r="B448" s="126">
        <v>45959</v>
      </c>
      <c r="C448" s="127" t="s">
        <v>808</v>
      </c>
      <c r="D448" s="131" t="s">
        <v>1169</v>
      </c>
      <c r="E448" s="131" t="s">
        <v>215</v>
      </c>
      <c r="F448" s="128" t="s">
        <v>1170</v>
      </c>
      <c r="G448" s="129" t="s">
        <v>1171</v>
      </c>
      <c r="H448" s="127" t="s">
        <v>1172</v>
      </c>
      <c r="I448" s="130">
        <v>20602664946</v>
      </c>
      <c r="J448" s="131" t="s">
        <v>1171</v>
      </c>
      <c r="K448" s="131" t="s">
        <v>26</v>
      </c>
      <c r="L448" s="131" t="s">
        <v>1146</v>
      </c>
      <c r="M448" s="131" t="s">
        <v>28</v>
      </c>
      <c r="N448" s="131"/>
      <c r="O448" s="131" t="s">
        <v>138</v>
      </c>
      <c r="P448" s="133" t="s">
        <v>1173</v>
      </c>
      <c r="Q448" s="133" t="s">
        <v>157</v>
      </c>
      <c r="R448" s="131"/>
      <c r="S448" s="131"/>
      <c r="T448" s="131"/>
      <c r="U448" s="143"/>
      <c r="V448" s="131">
        <v>44</v>
      </c>
      <c r="W448" s="144">
        <v>2</v>
      </c>
    </row>
    <row r="449" spans="1:23" ht="72.95" thickBot="1">
      <c r="A449" s="125">
        <v>112</v>
      </c>
      <c r="B449" s="126">
        <v>45959</v>
      </c>
      <c r="C449" s="127" t="s">
        <v>808</v>
      </c>
      <c r="D449" s="131"/>
      <c r="E449" s="131" t="s">
        <v>215</v>
      </c>
      <c r="F449" s="128" t="s">
        <v>1174</v>
      </c>
      <c r="G449" s="129"/>
      <c r="H449" s="127" t="s">
        <v>1175</v>
      </c>
      <c r="I449" s="130">
        <v>20100210909</v>
      </c>
      <c r="J449" s="131" t="s">
        <v>1176</v>
      </c>
      <c r="K449" s="131" t="s">
        <v>26</v>
      </c>
      <c r="L449" s="131" t="s">
        <v>1146</v>
      </c>
      <c r="M449" s="131" t="s">
        <v>872</v>
      </c>
      <c r="N449" s="131"/>
      <c r="O449" s="131" t="s">
        <v>138</v>
      </c>
      <c r="P449" s="133" t="s">
        <v>1177</v>
      </c>
      <c r="Q449" s="133" t="s">
        <v>157</v>
      </c>
      <c r="R449" s="131"/>
      <c r="S449" s="131"/>
      <c r="T449" s="131"/>
      <c r="U449" s="143"/>
      <c r="V449" s="131">
        <v>44</v>
      </c>
      <c r="W449" s="144">
        <v>3</v>
      </c>
    </row>
    <row r="450" spans="1:23" ht="29.45" thickBot="1">
      <c r="A450" s="125">
        <v>113</v>
      </c>
      <c r="B450" s="126">
        <v>45959</v>
      </c>
      <c r="C450" s="127" t="s">
        <v>808</v>
      </c>
      <c r="D450" s="131" t="s">
        <v>1178</v>
      </c>
      <c r="E450" s="131" t="s">
        <v>215</v>
      </c>
      <c r="F450" s="128" t="s">
        <v>1179</v>
      </c>
      <c r="G450" s="129"/>
      <c r="H450" s="127" t="s">
        <v>1180</v>
      </c>
      <c r="I450" s="130">
        <v>20601716721</v>
      </c>
      <c r="J450" s="131"/>
      <c r="K450" s="131" t="s">
        <v>26</v>
      </c>
      <c r="L450" s="131" t="s">
        <v>1146</v>
      </c>
      <c r="M450" s="131" t="s">
        <v>28</v>
      </c>
      <c r="N450" s="131"/>
      <c r="O450" s="131" t="s">
        <v>138</v>
      </c>
      <c r="P450" s="133" t="s">
        <v>1181</v>
      </c>
      <c r="Q450" s="133" t="s">
        <v>157</v>
      </c>
      <c r="R450" s="131"/>
      <c r="S450" s="131"/>
      <c r="T450" s="131"/>
      <c r="U450" s="143"/>
      <c r="V450" s="131">
        <v>44</v>
      </c>
      <c r="W450" s="144">
        <v>3</v>
      </c>
    </row>
    <row r="451" spans="1:23" ht="72.95" thickBot="1">
      <c r="A451" s="125">
        <v>114</v>
      </c>
      <c r="B451" s="126">
        <v>45959</v>
      </c>
      <c r="C451" s="127" t="s">
        <v>808</v>
      </c>
      <c r="D451" s="131" t="s">
        <v>1182</v>
      </c>
      <c r="E451" s="131" t="s">
        <v>215</v>
      </c>
      <c r="F451" s="128">
        <v>967942534</v>
      </c>
      <c r="G451" s="129"/>
      <c r="H451" s="127" t="s">
        <v>1183</v>
      </c>
      <c r="I451" s="130">
        <v>20506309434</v>
      </c>
      <c r="J451" s="131" t="s">
        <v>1184</v>
      </c>
      <c r="K451" s="131" t="s">
        <v>26</v>
      </c>
      <c r="L451" s="131" t="s">
        <v>1146</v>
      </c>
      <c r="M451" s="131" t="s">
        <v>872</v>
      </c>
      <c r="N451" s="131"/>
      <c r="O451" s="131" t="s">
        <v>138</v>
      </c>
      <c r="P451" s="133" t="s">
        <v>1185</v>
      </c>
      <c r="Q451" s="133" t="s">
        <v>157</v>
      </c>
      <c r="R451" s="131"/>
      <c r="S451" s="131"/>
      <c r="T451" s="131"/>
      <c r="U451" s="143"/>
      <c r="V451" s="131">
        <v>44</v>
      </c>
      <c r="W451" s="144">
        <v>3</v>
      </c>
    </row>
    <row r="452" spans="1:23" ht="29.45" thickBot="1">
      <c r="A452" s="125">
        <v>115</v>
      </c>
      <c r="B452" s="126">
        <v>45940</v>
      </c>
      <c r="C452" s="127" t="s">
        <v>23</v>
      </c>
      <c r="D452" s="131" t="s">
        <v>839</v>
      </c>
      <c r="E452" s="131" t="s">
        <v>204</v>
      </c>
      <c r="F452" s="128" t="s">
        <v>1128</v>
      </c>
      <c r="G452" s="129" t="s">
        <v>965</v>
      </c>
      <c r="H452" s="127" t="s">
        <v>839</v>
      </c>
      <c r="I452" s="130">
        <v>10774619271</v>
      </c>
      <c r="J452" s="131"/>
      <c r="K452" s="131" t="s">
        <v>206</v>
      </c>
      <c r="L452" s="131" t="s">
        <v>206</v>
      </c>
      <c r="M452" s="131" t="s">
        <v>28</v>
      </c>
      <c r="N452" s="131"/>
      <c r="O452" s="131" t="s">
        <v>345</v>
      </c>
      <c r="P452" s="133" t="s">
        <v>1186</v>
      </c>
      <c r="Q452" s="133" t="s">
        <v>534</v>
      </c>
      <c r="R452" s="131"/>
      <c r="S452" s="131"/>
      <c r="T452" s="131"/>
      <c r="U452" s="143"/>
      <c r="V452" s="131" t="e">
        <f>WEEKNUM([2]!CRM[[#This Row],[Fecha]])</f>
        <v>#REF!</v>
      </c>
      <c r="W452" s="144">
        <v>3</v>
      </c>
    </row>
    <row r="453" spans="1:23" ht="29.45" thickBot="1">
      <c r="A453" s="125">
        <v>116</v>
      </c>
      <c r="B453" s="126">
        <v>45975</v>
      </c>
      <c r="C453" s="127" t="s">
        <v>808</v>
      </c>
      <c r="D453" s="131" t="s">
        <v>300</v>
      </c>
      <c r="E453" s="131" t="s">
        <v>215</v>
      </c>
      <c r="F453" s="128">
        <v>991574766</v>
      </c>
      <c r="G453" s="129"/>
      <c r="H453" s="127" t="s">
        <v>297</v>
      </c>
      <c r="I453" s="130">
        <v>20603582552</v>
      </c>
      <c r="J453" s="131"/>
      <c r="K453" s="131" t="s">
        <v>26</v>
      </c>
      <c r="L453" s="131" t="s">
        <v>298</v>
      </c>
      <c r="M453" s="131" t="s">
        <v>119</v>
      </c>
      <c r="N453" s="131"/>
      <c r="O453" s="131" t="s">
        <v>138</v>
      </c>
      <c r="P453" s="133" t="s">
        <v>1187</v>
      </c>
      <c r="Q453" s="133" t="s">
        <v>150</v>
      </c>
      <c r="R453" s="131"/>
      <c r="S453" s="131"/>
      <c r="T453" s="131"/>
      <c r="U453" s="143"/>
      <c r="V453" s="131" t="e">
        <f>WEEKNUM([2]!CRM[[#This Row],[Fecha]])</f>
        <v>#REF!</v>
      </c>
      <c r="W453" s="144">
        <v>2</v>
      </c>
    </row>
  </sheetData>
  <hyperlinks>
    <hyperlink ref="J4" r:id="rId1" xr:uid="{B78C2353-5D46-4791-A159-901231FFA172}"/>
    <hyperlink ref="G4" r:id="rId2" xr:uid="{FC6C02BA-CFC5-42F0-8592-E8452A0AFAFA}"/>
    <hyperlink ref="J5" r:id="rId3" xr:uid="{879C4FD0-B7D2-47B8-A449-0033B4D0ADCF}"/>
    <hyperlink ref="G5" r:id="rId4" xr:uid="{0ECA8F0A-772B-4D09-AE26-6F42D149BB1B}"/>
    <hyperlink ref="J6" r:id="rId5" xr:uid="{BA8A2257-68E9-4FEC-8CDA-13BC48E66F84}"/>
    <hyperlink ref="J7" r:id="rId6" xr:uid="{908F6A2B-024C-409B-AAFB-F35CFFABC9A6}"/>
    <hyperlink ref="J9" r:id="rId7" xr:uid="{94653BAD-D698-4744-8A10-BD3B738D1975}"/>
    <hyperlink ref="J8" r:id="rId8" xr:uid="{47C5B50F-5E11-41CD-9EBB-C138D648A4F7}"/>
    <hyperlink ref="J10" r:id="rId9" xr:uid="{86520E99-0C76-46FF-9157-C919CADC5164}"/>
    <hyperlink ref="G10" r:id="rId10" xr:uid="{1B3A3E98-8086-4C7E-B34A-DBDBF02970D9}"/>
    <hyperlink ref="J11" r:id="rId11" xr:uid="{50F92FA1-0207-47A4-8CD6-2888CF57CFB9}"/>
    <hyperlink ref="G11" r:id="rId12" display="informes@sanjose.com.pe" xr:uid="{0A2D43F0-5ED1-403D-86D1-3D4C9ACF58CC}"/>
    <hyperlink ref="G12" r:id="rId13" xr:uid="{E76FCBB4-F15F-458E-8766-0B1BDE68BC03}"/>
    <hyperlink ref="G13" r:id="rId14" xr:uid="{AAFD0E61-5FFF-4BBB-B173-523B2C90D390}"/>
    <hyperlink ref="J13" r:id="rId15" xr:uid="{B8131A3E-4DCB-4F41-A2B7-D1094509E0B8}"/>
    <hyperlink ref="J14" r:id="rId16" xr:uid="{35FA7835-88C6-4123-9D97-6D0C6EDDA05F}"/>
    <hyperlink ref="J15" r:id="rId17" xr:uid="{5A123AC2-9C39-4E73-B1F7-81A3C48F4B3A}"/>
    <hyperlink ref="G15" r:id="rId18" xr:uid="{A3178C93-39A3-4048-9660-57F9AC0C074B}"/>
    <hyperlink ref="J16" r:id="rId19" xr:uid="{805AF0B4-B1D5-4E60-8692-1AA18D584852}"/>
    <hyperlink ref="G16" r:id="rId20" xr:uid="{C63D68C5-C084-4567-9844-1B32F1E29D2B}"/>
    <hyperlink ref="J17" r:id="rId21" xr:uid="{14CB72BD-2D31-4535-943B-44B7777B858E}"/>
    <hyperlink ref="J18" r:id="rId22" xr:uid="{66A69EF4-D697-458B-A3F4-160F0B8341C1}"/>
    <hyperlink ref="J19" r:id="rId23" xr:uid="{2E0D5E3A-4114-4374-BDB4-24B355D76422}"/>
    <hyperlink ref="G19" r:id="rId24" xr:uid="{459A9867-CEA6-4333-83CF-8E5DFE1F5F7C}"/>
    <hyperlink ref="J20" r:id="rId25" xr:uid="{76523BC0-96B5-4624-92F3-BED7B88BFA33}"/>
    <hyperlink ref="J21" r:id="rId26" xr:uid="{414EF435-5C31-4B2A-AEB2-A0E9BBC74112}"/>
    <hyperlink ref="J23" r:id="rId27" xr:uid="{F807FF52-28F1-4BE9-8082-E968945F95BE}"/>
    <hyperlink ref="J24" r:id="rId28" xr:uid="{57F00758-1ED1-4D73-8DCA-3BBCD431BC02}"/>
    <hyperlink ref="J25" r:id="rId29" xr:uid="{49D1CB0F-5A6E-421F-80CF-5E1CE72A4551}"/>
    <hyperlink ref="G26" r:id="rId30" xr:uid="{4379CBAA-FB61-41D7-9F91-0094F0545917}"/>
    <hyperlink ref="J27" r:id="rId31" xr:uid="{5D5A8E14-AA2E-4784-99A0-2677CAD694C9}"/>
    <hyperlink ref="G28" r:id="rId32" xr:uid="{49FE7903-34EC-4D3D-810B-301F6395538B}"/>
    <hyperlink ref="J28" r:id="rId33" xr:uid="{3DC2C2E7-58F2-4326-89A3-B1CBD00AEF8C}"/>
    <hyperlink ref="G33" r:id="rId34" xr:uid="{0810591D-AEA3-4792-97D5-CE69DE3DB0FC}"/>
    <hyperlink ref="G32" r:id="rId35" xr:uid="{1DCF0ADC-82AC-482D-888E-D337CDEE03CC}"/>
    <hyperlink ref="G34" r:id="rId36" xr:uid="{BDC7C23C-D586-4B59-8528-C0A5DF1C3D20}"/>
    <hyperlink ref="G37" r:id="rId37" xr:uid="{F2C86799-5CF6-44F4-8672-877E47504679}"/>
    <hyperlink ref="G38" r:id="rId38" xr:uid="{4D4F8545-F114-4CDA-9BE8-BC922C12B2B6}"/>
    <hyperlink ref="G39" r:id="rId39" xr:uid="{3A9BC903-FC94-4FFB-B625-83EED7D186B4}"/>
    <hyperlink ref="G40" r:id="rId40" xr:uid="{EB1E89F2-2E55-49A6-B7D4-6C3190192C6E}"/>
    <hyperlink ref="J40" r:id="rId41" xr:uid="{CD9DCB3A-C6DA-414F-AE46-2D22975F486C}"/>
    <hyperlink ref="G41" r:id="rId42" xr:uid="{74BB84C3-4C83-43E1-AD08-AC768131EFA5}"/>
    <hyperlink ref="G42" r:id="rId43" xr:uid="{154DAE98-68E8-4492-A128-D4539741E06D}"/>
    <hyperlink ref="J43" r:id="rId44" xr:uid="{181F052A-48D1-408D-8E3E-E5DC69386583}"/>
    <hyperlink ref="J44" r:id="rId45" xr:uid="{19580946-D794-4CDE-B667-DFC1DC676E34}"/>
    <hyperlink ref="G45" r:id="rId46" xr:uid="{01D588FD-AAF7-417B-99AE-66C99C36A1B4}"/>
    <hyperlink ref="G46" r:id="rId47" xr:uid="{5501C556-EA02-4461-BBE2-1D86B92B3FBA}"/>
    <hyperlink ref="G47" r:id="rId48" display="leonardo.rodriguez@decapolisperu.com" xr:uid="{CED27BE3-E233-451A-9B13-A8B3774F74DE}"/>
    <hyperlink ref="G48" r:id="rId49" xr:uid="{40AA473B-38DC-442C-9D7E-09568E222666}"/>
    <hyperlink ref="J48" r:id="rId50" xr:uid="{5103D2D6-B5BE-472D-8A2A-AE866506FF03}"/>
    <hyperlink ref="G49" r:id="rId51" xr:uid="{EF95F6F6-CF67-4A06-B21F-B73AD0053359}"/>
    <hyperlink ref="G50" r:id="rId52" xr:uid="{528A5688-EABD-4C97-9E0D-E11CADA66974}"/>
    <hyperlink ref="G51" r:id="rId53" xr:uid="{C7B6E38B-4A5D-431F-BB4B-E706ACC38901}"/>
    <hyperlink ref="G52" r:id="rId54" xr:uid="{00563A41-CDB4-4584-ABF7-6C1EC61988BC}"/>
    <hyperlink ref="G57" r:id="rId55" xr:uid="{46B90808-6039-4DC2-9E16-908586EBB565}"/>
    <hyperlink ref="G59" r:id="rId56" xr:uid="{537558EA-0CAB-4F37-8008-008255C437DD}"/>
    <hyperlink ref="G60" r:id="rId57" xr:uid="{21E717EC-8CDD-47B2-86B4-7209C801EFA9}"/>
    <hyperlink ref="J60" r:id="rId58" xr:uid="{E90D3DDD-AEEF-4AB4-AE2E-FF73D4085C22}"/>
    <hyperlink ref="G62" r:id="rId59" xr:uid="{8D8EE171-E4CA-4000-AEA4-6F202B74D340}"/>
    <hyperlink ref="G63" r:id="rId60" xr:uid="{497AEC4A-567F-46CE-94AF-B396F28128FA}"/>
    <hyperlink ref="J64" r:id="rId61" xr:uid="{0C48A8FD-C893-45A0-97F6-982C4A477210}"/>
    <hyperlink ref="G61" r:id="rId62" xr:uid="{51C6C7F6-F77C-42EA-9F4C-BD8751F9899E}"/>
    <hyperlink ref="G67" r:id="rId63" xr:uid="{0774E234-7D16-411A-9D16-BE95EE1B1DBE}"/>
    <hyperlink ref="G68" r:id="rId64" xr:uid="{24FFC2B0-C166-4FDC-8860-8056E141DB2B}"/>
    <hyperlink ref="G69" r:id="rId65" xr:uid="{56F4D55B-133E-4268-9928-0BBEBA5D7C7F}"/>
    <hyperlink ref="G70" r:id="rId66" xr:uid="{7E2F084A-7439-4229-8B33-A7AF93BD1A66}"/>
    <hyperlink ref="G71" r:id="rId67" xr:uid="{3BE9EC23-3398-46E1-A578-7450401BCBF3}"/>
    <hyperlink ref="G72" r:id="rId68" xr:uid="{D64F8534-1232-43F0-AE3C-491E8D9D6524}"/>
    <hyperlink ref="G74" r:id="rId69" xr:uid="{51867FF7-3100-409A-827F-601E28EC3822}"/>
    <hyperlink ref="G75" r:id="rId70" xr:uid="{73626612-6A57-4A1A-AC45-8BA2B8507188}"/>
    <hyperlink ref="G77" r:id="rId71" xr:uid="{0CBB9939-F437-4814-A54D-E48C63AE2598}"/>
    <hyperlink ref="G81" r:id="rId72" xr:uid="{3C0E92B4-2D29-4C8E-ADFF-23452F4BCBC6}"/>
    <hyperlink ref="G82" r:id="rId73" xr:uid="{A8CD1303-5778-49FC-A873-BF3F428476C8}"/>
    <hyperlink ref="G87" r:id="rId74" xr:uid="{2BB1FECE-2173-4DED-B121-AC1BAAEEA6F0}"/>
    <hyperlink ref="G88" r:id="rId75" xr:uid="{149333FB-EC45-4678-A669-CE47FE07AF55}"/>
    <hyperlink ref="G90" r:id="rId76" xr:uid="{0D71A27D-3000-4F8B-97FE-A33F8EFD82DE}"/>
    <hyperlink ref="G91" r:id="rId77" xr:uid="{8CB2C6E6-6152-4423-881F-5C53B8B25959}"/>
    <hyperlink ref="G93" r:id="rId78" xr:uid="{56600D66-D60A-43F0-9DC2-BB5DE2E619BC}"/>
    <hyperlink ref="G97" r:id="rId79" display="gserquen@aquanqa,pe" xr:uid="{36E43EB5-D2E2-4517-BFA7-72BBD721DAB0}"/>
    <hyperlink ref="G99" r:id="rId80" xr:uid="{B5976EEE-B396-4345-B34E-7A9AD5C25C1D}"/>
    <hyperlink ref="G100" r:id="rId81" xr:uid="{843C745B-EAB6-4208-A7F6-9B2D737EB13D}"/>
    <hyperlink ref="G101" r:id="rId82" xr:uid="{32E4EB7B-93E6-4FFD-8E42-48AF50339B4A}"/>
    <hyperlink ref="G110" r:id="rId83" xr:uid="{648D0E06-F25D-4252-B837-7D4855ADE5F9}"/>
    <hyperlink ref="G111" r:id="rId84" xr:uid="{81861A3F-4D15-48C3-BA7F-0F5404E70EC7}"/>
    <hyperlink ref="G112" r:id="rId85" xr:uid="{13A947C9-F26A-4D7B-A312-98527EBCB8B0}"/>
    <hyperlink ref="G113" r:id="rId86" xr:uid="{DD2EF6FC-230D-4073-B148-E12ED0D43E15}"/>
    <hyperlink ref="G114" r:id="rId87" xr:uid="{E123DAFE-86F4-4173-B513-81C7BF77849A}"/>
    <hyperlink ref="G115" r:id="rId88" xr:uid="{D3A0F8BF-D739-4861-8CC4-11695E9EC4FB}"/>
    <hyperlink ref="G116" r:id="rId89" xr:uid="{787A480D-988B-44F4-9E1A-FDEA42C73C12}"/>
    <hyperlink ref="G117" r:id="rId90" xr:uid="{3E57058A-F6F3-4847-BF37-28450AFBBE37}"/>
    <hyperlink ref="G118" r:id="rId91" xr:uid="{CDDB1150-D666-40BD-BF0D-85336E93002B}"/>
    <hyperlink ref="G119" r:id="rId92" xr:uid="{86B5E419-69DA-4A48-881F-6D00AFB71B42}"/>
    <hyperlink ref="G121" r:id="rId93" xr:uid="{182377C3-0418-4396-9225-F4133CF1F8AE}"/>
    <hyperlink ref="G122" r:id="rId94" xr:uid="{48354C35-7294-4693-A87E-4093F80392C0}"/>
    <hyperlink ref="G123" r:id="rId95" xr:uid="{3BE13CD1-AAAE-4953-908B-084A0FFF7525}"/>
    <hyperlink ref="G124" r:id="rId96" xr:uid="{251A028A-27C0-4001-8F8B-F009747C2981}"/>
    <hyperlink ref="G127" r:id="rId97" xr:uid="{679BE66E-0108-449F-BB4D-1B01B124082B}"/>
    <hyperlink ref="G133" r:id="rId98" xr:uid="{62C507B7-AFCA-4687-A9E4-A91F0CE7B852}"/>
    <hyperlink ref="G134" r:id="rId99" xr:uid="{0B1A96F4-A540-4960-BFBB-C202F322606B}"/>
    <hyperlink ref="G135" r:id="rId100" xr:uid="{94044246-DB64-4644-92D7-25682D359BB6}"/>
    <hyperlink ref="G136" r:id="rId101" xr:uid="{FEC0E218-B051-4937-8084-DCA4CB65EFCA}"/>
    <hyperlink ref="G137" r:id="rId102" xr:uid="{4E208395-1D79-4C69-816A-BB0C2D176923}"/>
    <hyperlink ref="G138" r:id="rId103" xr:uid="{78388DA2-6919-4196-89B4-B3E923F9F4B3}"/>
    <hyperlink ref="G139" r:id="rId104" xr:uid="{AE971C99-216D-4C29-B44F-345AFC0B74B6}"/>
    <hyperlink ref="G140" r:id="rId105" xr:uid="{D04D9D25-8480-4ACF-B58C-54FA0DA0DCEE}"/>
    <hyperlink ref="G141" r:id="rId106" xr:uid="{A163D73B-BAA1-402D-B0E7-73674066ED02}"/>
    <hyperlink ref="G142" r:id="rId107" xr:uid="{13A78C59-6023-4D76-A805-49DE7C772A0F}"/>
    <hyperlink ref="G144" r:id="rId108" xr:uid="{22C62DDD-D756-4ABA-B831-453B51E560F3}"/>
    <hyperlink ref="G145" r:id="rId109" xr:uid="{7ECABDE0-D3A9-44B3-8630-E39C8B3F2C4C}"/>
    <hyperlink ref="G146" r:id="rId110" xr:uid="{058C7C01-3DB3-4276-A554-938D3DA1704B}"/>
    <hyperlink ref="G147" r:id="rId111" xr:uid="{D5657B99-AF46-4978-A9CB-421E3C63A488}"/>
    <hyperlink ref="G148" r:id="rId112" xr:uid="{2869C645-3B57-41BB-A9A0-F5AAE169D013}"/>
    <hyperlink ref="G149" r:id="rId113" xr:uid="{E433BB8B-23A1-495F-90D4-7558F4DBD550}"/>
    <hyperlink ref="G150" r:id="rId114" xr:uid="{B3FC2AEF-10FA-4B0A-8F1C-784B4BA7B541}"/>
    <hyperlink ref="G151" r:id="rId115" xr:uid="{FA26990A-1C98-4E1E-80A7-6731880F966E}"/>
    <hyperlink ref="G153" r:id="rId116" xr:uid="{B46FC71C-54C3-495D-8B4E-A9EC50F83E10}"/>
    <hyperlink ref="G158" r:id="rId117" xr:uid="{67B0E875-3189-4B31-AA0F-28A1C8AF4D44}"/>
    <hyperlink ref="G164" r:id="rId118" xr:uid="{60C50C74-CEC4-4B61-A0A8-1D97CD473D15}"/>
    <hyperlink ref="G165" r:id="rId119" xr:uid="{1C8F188B-267F-474B-817A-61154D98C671}"/>
    <hyperlink ref="G166" r:id="rId120" xr:uid="{CDA9A30F-8FD2-49AA-8BAF-B4B7F2908E6A}"/>
    <hyperlink ref="G167" r:id="rId121" xr:uid="{26B654DC-DED4-45DB-8BE8-DDD0373A5D14}"/>
    <hyperlink ref="G168" r:id="rId122" xr:uid="{727C147F-6DC6-443F-A3A9-B5E9882135F9}"/>
    <hyperlink ref="G169" r:id="rId123" xr:uid="{FCFAD024-E2F7-4D26-B227-4D1E66C75F93}"/>
    <hyperlink ref="G170" r:id="rId124" xr:uid="{8CA84B13-8D90-4CB0-8C6C-DB3FCD63F1E8}"/>
    <hyperlink ref="G171" r:id="rId125" xr:uid="{01CC742B-07F1-4E85-B828-E4BB3ACEE903}"/>
    <hyperlink ref="G172" r:id="rId126" xr:uid="{999CA18D-B8FD-4145-858D-BAB37951C781}"/>
    <hyperlink ref="G174" r:id="rId127" xr:uid="{AE910958-A670-4A73-890E-449C5C9CE26F}"/>
    <hyperlink ref="G175" r:id="rId128" xr:uid="{9E9B1D8D-5D52-4111-8863-00620FD1A83D}"/>
    <hyperlink ref="G176" r:id="rId129" xr:uid="{4058F326-D66E-47C1-8B7C-D3FD52071B60}"/>
    <hyperlink ref="G177" r:id="rId130" xr:uid="{3C0972EF-2A7C-4C6D-9BBD-BCE6A657A542}"/>
    <hyperlink ref="G178" r:id="rId131" xr:uid="{25A9576E-EC5E-4B28-A279-B3667736625F}"/>
    <hyperlink ref="G179" r:id="rId132" xr:uid="{33C7D3EA-B0AB-4EDB-B7EC-56425216155D}"/>
    <hyperlink ref="G181" r:id="rId133" xr:uid="{065649FF-814F-4C4C-AD6F-626758021E8D}"/>
    <hyperlink ref="G185" r:id="rId134" xr:uid="{DAC89201-D8E8-4080-967F-5FD46BE19921}"/>
    <hyperlink ref="G186" r:id="rId135" xr:uid="{5598D841-DC63-4E29-851D-B7FDACDB4400}"/>
    <hyperlink ref="G187" r:id="rId136" xr:uid="{4142C6C8-9165-4DAE-B994-BC6474F94FE6}"/>
    <hyperlink ref="G188" r:id="rId137" xr:uid="{DF560D2D-ACD0-443D-B1E0-3A32B6AA3ED8}"/>
    <hyperlink ref="G190" r:id="rId138" xr:uid="{3EBAEF34-51C0-4FAB-BCDD-93B82AF0E574}"/>
    <hyperlink ref="G191" r:id="rId139" xr:uid="{05A11F1E-FBB2-4BAF-8162-62BE2794E5B0}"/>
    <hyperlink ref="G192" r:id="rId140" xr:uid="{D8BB5BA0-FAF5-47A9-BD3A-57A36080FCF6}"/>
    <hyperlink ref="G193" r:id="rId141" xr:uid="{5D673EEC-2ABE-4226-845C-8BEA6322717D}"/>
    <hyperlink ref="G194" r:id="rId142" xr:uid="{FA4E21E0-99C0-4D28-A2D6-C129C71F3267}"/>
    <hyperlink ref="G195" r:id="rId143" xr:uid="{D0C0201D-1C41-4C31-9438-59BD8D2A590C}"/>
    <hyperlink ref="G196" r:id="rId144" xr:uid="{52CBDDCA-40C8-4763-87DA-E051F6EB13B6}"/>
    <hyperlink ref="G197" r:id="rId145" xr:uid="{CF470928-BEA0-4CD9-B23C-A922FE7DA60A}"/>
    <hyperlink ref="G198" r:id="rId146" xr:uid="{57DDF819-EE79-41E9-ABFC-5F1C9717E8F3}"/>
    <hyperlink ref="G189" r:id="rId147" xr:uid="{8315C19E-B069-4E25-96AC-B84AEC712558}"/>
    <hyperlink ref="G201" r:id="rId148" xr:uid="{CEF75E6F-4E10-4445-9FC0-19CDDEAB13F1}"/>
    <hyperlink ref="G202" r:id="rId149" xr:uid="{F5016C10-DCE5-498E-9A90-C259AE2FBCB0}"/>
    <hyperlink ref="G205" r:id="rId150" xr:uid="{7F6795B9-045F-44F8-8160-C3F8FB7F60C8}"/>
    <hyperlink ref="G206" r:id="rId151" xr:uid="{168E2584-6F68-41A2-B6CA-CDF1C6300383}"/>
    <hyperlink ref="G204" r:id="rId152" xr:uid="{2F9AF2BE-0FB0-4C85-9C7A-06066F3D6B3C}"/>
    <hyperlink ref="G207" r:id="rId153" xr:uid="{7EE2E5FB-5A78-472A-BCF8-31DEAD0DA5F3}"/>
    <hyperlink ref="G209" r:id="rId154" xr:uid="{FA6B9E81-A594-4396-B17E-813C37A15B7D}"/>
    <hyperlink ref="G212" r:id="rId155" xr:uid="{47EDE66B-73D4-4A52-8058-4BEC8FC24972}"/>
    <hyperlink ref="G213" r:id="rId156" xr:uid="{69806868-FB4E-4604-A823-434596B6B8EB}"/>
    <hyperlink ref="G233" r:id="rId157" xr:uid="{97329BE5-E763-4A96-933B-3619E467B4C2}"/>
    <hyperlink ref="G235" r:id="rId158" xr:uid="{D1C25FC7-DFBB-419C-8E6A-D2DDEC8A2682}"/>
    <hyperlink ref="G238" r:id="rId159" xr:uid="{F335937B-996B-449B-81A2-E823E82C3513}"/>
    <hyperlink ref="G239" r:id="rId160" xr:uid="{17D30210-2BA7-4EC3-8BC5-73F29F33D9C8}"/>
    <hyperlink ref="G257" r:id="rId161" xr:uid="{5E753C9E-0495-4686-BD85-4186C985F6B8}"/>
    <hyperlink ref="G259" r:id="rId162" xr:uid="{B590EB3C-B07A-4453-A577-A575D946E947}"/>
    <hyperlink ref="G247" r:id="rId163" xr:uid="{8264781F-2B7E-4EC1-90E5-1CF1F9D00D23}"/>
    <hyperlink ref="G263" r:id="rId164" xr:uid="{CFF55EDB-6270-4EEC-B870-F400653EEAC8}"/>
    <hyperlink ref="G264" r:id="rId165" xr:uid="{0C169210-A5D6-447E-A206-32AF75139F18}"/>
    <hyperlink ref="G265" r:id="rId166" xr:uid="{88B12450-7974-48AD-A2B3-4379591A6FC7}"/>
    <hyperlink ref="G266" r:id="rId167" xr:uid="{48A2AE8F-B9DD-4474-9FBD-C03721329172}"/>
    <hyperlink ref="G267" r:id="rId168" xr:uid="{3847D6C9-D6CC-4CE4-8153-3BBD4BCC1190}"/>
    <hyperlink ref="G268" r:id="rId169" xr:uid="{D7AE85E7-B57D-45DE-8C4E-E887617A4D0A}"/>
    <hyperlink ref="G270" r:id="rId170" xr:uid="{ED6FE32F-6146-4128-ABE8-497B1C07557B}"/>
    <hyperlink ref="G273" r:id="rId171" xr:uid="{5EA6D4A8-C968-48E1-AE05-40963F111CF6}"/>
    <hyperlink ref="G274" r:id="rId172" xr:uid="{C3D2F886-3C59-4C48-8883-7862FF8D14F4}"/>
    <hyperlink ref="G295" r:id="rId173" xr:uid="{DD15D94E-82BC-48D4-B2F1-AA500ADB1891}"/>
    <hyperlink ref="G296" r:id="rId174" display="leonardo.rodriguez@decapolisperu.com" xr:uid="{03B469D3-9C17-4CDE-BFE7-64E059B7350F}"/>
    <hyperlink ref="G329" r:id="rId175" xr:uid="{187DF41F-687A-47AA-B4C3-EDFB97CE34D2}"/>
    <hyperlink ref="G331" r:id="rId176" xr:uid="{D6A7F64D-0FFA-4469-AB8C-59361A878772}"/>
    <hyperlink ref="G332" r:id="rId177" xr:uid="{4FF82142-4D03-4564-889E-D76CA55AF9C1}"/>
    <hyperlink ref="G334" r:id="rId178" xr:uid="{E6E4149B-550F-462A-AEB2-55172A77A620}"/>
    <hyperlink ref="G335" r:id="rId179" display="leonardo.rodriguez@decapolisperu.com" xr:uid="{0438F631-9F03-4E6F-AC83-BA26A64D671B}"/>
    <hyperlink ref="G338" r:id="rId180" display="mailto:transportes.jasa61@gmail.com" xr:uid="{DE0751D4-9AC1-4EFD-B13D-7AE81DB42F37}"/>
    <hyperlink ref="G339" r:id="rId181" display="mailto:davidmoreno7353@gmail.com" xr:uid="{06724C58-5F1B-4A41-8736-CD919828EAFC}"/>
    <hyperlink ref="G340" r:id="rId182" display="mailto:patriciaalarcon889@gmail.com" xr:uid="{7E8F2E7F-2B0E-4A4D-A55C-DD19805C9DAB}"/>
    <hyperlink ref="G341" r:id="rId183" display="mailto:PAREDESMATTA90@GMAIL.COM" xr:uid="{B859E0A0-E383-4433-8BF5-9EF40F93C22E}"/>
    <hyperlink ref="G342" r:id="rId184" display="mailto:skemyherlinyolimar@gmail.com" xr:uid="{E9439CE6-B654-47D6-AF02-C48A8AB11ABC}"/>
    <hyperlink ref="F343" r:id="rId185" display="https://www.google.com/search?q=los+incas+numero%7D+hoteal%7D&amp;sca_esv=679517c3ba0a5d08&amp;rlz=1C1VDKB_esPE1178PE1178&amp;sxsrf=AE3TifMcPEY3K4KC2QrIaBjfb7qTc91ZxQ%3A1760136697285&amp;ei=-Y3paNSZEfGq5OUPv7m0CQ&amp;ved=0ahUKEwiU-uOU3JqQAxVxFbkGHb8cLQEQ4dUDCBA&amp;uact=5&amp;oq=los+incas+numero%7D+hoteal%7D&amp;gs_lp=Egxnd3Mtd2l6LXNlcnAiGWxvcyBpbmNhcyBudW1lcm99IGhvdGVhbH0yBxAhGKABGAoyBxAhGKABGAoyBxAhGKABGAoyBxAhGKABGAoyBRAhGJ8FMgUQIRifBTIFECEYnwUyBRAhGJ8FMgUQIRifBTIFECEYnwVItRlQpwFYqhJwAXgBkAEAmAGCAqABzQmqAQUwLjcuMbgBA8gBAPgBAZgCCaACjQrCAgoQABiwAxjWBBhHwgIEECMYJ8ICBRAAGO8FwgIFECEYoAGYAwCIBgGQBgiSBwUxLjcuMaAH9BiyBwUwLjcuMbgHhwrCBwUwLjIuN8gHIQ&amp;sclient=gws-wiz-serp&amp;lqi=Chhsb3MgaW5jYXMgbnVtZXJvfSBob3RlbH0iAhABSMTIhufrgICACFofEAAQARgAGAEiC2luY2FzIGhvdGVsKgQIAxABMgJlc5IBBWhvdGVsqgFFEAEqDyILaW5jYXMgaG90ZWwoDjIfEAEiG_CRY0X3qS3b0X-ZUFuepwY7cM1R5_uI6BgmHzIPEAIiC2luY2FzIGhvdGVs" xr:uid="{9AF9A848-BD09-4589-8DCE-02C3ACF0A179}"/>
    <hyperlink ref="G344" r:id="rId186" display="mailto:jcosanatan@gmail.com" xr:uid="{0E31F668-06C7-4211-A046-A940E1E1E82B}"/>
    <hyperlink ref="G345" r:id="rId187" display="mailto:karilin4369@gmail.com" xr:uid="{258C3E34-AA87-431F-A2BE-CBF334C7CF34}"/>
    <hyperlink ref="G346" r:id="rId188" display="mailto:ruthvc335@gmail.com" xr:uid="{811FD71E-3083-4C2A-B051-7BA0EFA3DD44}"/>
    <hyperlink ref="G347" r:id="rId189" display="mailto:Anthonygarcia982@gmail.com" xr:uid="{C25274B1-9BC8-4D0A-8B2D-614D073CD957}"/>
    <hyperlink ref="G354" r:id="rId190" display="https://l.facebook.com/l.php?u=http%3A%2F%2Fwww.lavanderiacityplus.com%2F&amp;h=AT3fAok9QRhB9Kl2aGN7wiSpP6CkJEwzlLJ48-MW2dyyW_vfAiP2UEF6RwezuBX-zdbUUSUyxAH166ziDEuvJn34U96ciJQFHhxq0INC-DZKk54H0vL-tdO47OIy-GyWUTWW-ZnPhrucd0RLdOGiHA" xr:uid="{F597513E-D2A8-4888-883E-DB4BA23654E8}"/>
    <hyperlink ref="G368" r:id="rId191" display="mailto:servicios.lavagyn@gmail.com" xr:uid="{1C13B06F-E21D-40F6-9778-31A4E583B1D7}"/>
    <hyperlink ref="G369" r:id="rId192" display="mailto:informes@ecocleangestion.com.pe" xr:uid="{75FDEA8B-4E2D-441C-89F5-B1004BB4744C}"/>
    <hyperlink ref="G370" r:id="rId193" display="mailto:lavadorita.peru@gmail.com" xr:uid="{7F20F5D6-3098-42E8-A074-5501CF734B40}"/>
    <hyperlink ref="F371" r:id="rId194" display="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xr:uid="{45D6703D-44E4-4766-AF1A-A70D461358CC}"/>
    <hyperlink ref="G374" r:id="rId195" display="mailto:lavanderiarivasplata@gmail.com" xr:uid="{168E7D67-263C-4D05-B1C8-FBFBDC90E741}"/>
    <hyperlink ref="G375" r:id="rId196" display="mailto:davidmoreno7353@gmail.com" xr:uid="{A7BF57E1-8F65-46C2-993D-A7AF67D152DF}"/>
    <hyperlink ref="G376" r:id="rId197" xr:uid="{3D0F4129-E56A-4196-9E28-6F39B7D63DD2}"/>
    <hyperlink ref="G390" r:id="rId198" display="https://l.facebook.com/l.php?u=http%3A%2F%2Fwww.lavanderiacityplus.com%2F&amp;h=AT3fAok9QRhB9Kl2aGN7wiSpP6CkJEwzlLJ48-MW2dyyW_vfAiP2UEF6RwezuBX-zdbUUSUyxAH166ziDEuvJn34U96ciJQFHhxq0INC-DZKk54H0vL-tdO47OIy-GyWUTWW-ZnPhrucd0RLdOGiHA" xr:uid="{E7CC5010-8E12-46D1-ADB3-5F3AD9F36744}"/>
    <hyperlink ref="G394" r:id="rId199" display="mailto:servicios.lavagyn@gmail.com" xr:uid="{4981B648-1271-48CD-AFAF-935030B5B065}"/>
    <hyperlink ref="G395" r:id="rId200" display="mailto:informes@ecocleangestion.com.pe" xr:uid="{A4E22828-DDFB-4990-9FA5-6F2D8C3E8CC9}"/>
    <hyperlink ref="G396" r:id="rId201" display="mailto:lavadorita.peru@gmail.com" xr:uid="{06FF7DA4-F87F-4329-9070-0F207E880051}"/>
    <hyperlink ref="F397" r:id="rId202" display="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xr:uid="{2B41F3D4-6BA0-47D2-9940-A7CA16B0D451}"/>
    <hyperlink ref="J399" r:id="rId203" xr:uid="{4DD9FA11-132C-41D5-90CC-9ACFB4D2D81D}"/>
    <hyperlink ref="G402" r:id="rId204" display="https://l.facebook.com/l.php?u=https%3A%2F%2Fwww.instagram.com%2Flavanderialavalux_%2F&amp;h=AT01zNSlSK0g6_5HNS6nZCERFvB2pkC06WFLYX20MuCx7DNvmbPAEGUmT3qCVZ_3gk1_OO_6a9Hu9Kah9LK-lhceD6r_5fJOH60y8mT0UAKmmHUCACeVj1vc_Gw95y-cHDYblk7uRj6frP6nqVBvDw" xr:uid="{DFA7D322-694B-4248-AFC4-764BFC6F21A5}"/>
    <hyperlink ref="J408" r:id="rId205" xr:uid="{D5160423-54FD-4584-BC73-2FC1E5F984BA}"/>
    <hyperlink ref="G343" r:id="rId206" xr:uid="{8355791C-2A06-4E08-BDD7-ACC439871449}"/>
    <hyperlink ref="G412" r:id="rId207" xr:uid="{C2456CF5-0759-4F8A-BE40-F80706371EB6}"/>
    <hyperlink ref="G418" r:id="rId208" xr:uid="{39CFDAE5-BD5F-4B6A-9682-893E5C5E6263}"/>
    <hyperlink ref="G427" r:id="rId209" xr:uid="{223BC817-49AC-4CA0-B6FF-E6418103181D}"/>
    <hyperlink ref="J427" r:id="rId210" xr:uid="{AC255EE1-1CBD-48A2-A20D-6DFCFE4530C2}"/>
    <hyperlink ref="G428" r:id="rId211" xr:uid="{33ACC169-9F85-47E4-8CCE-F240A6230AB0}"/>
    <hyperlink ref="G429" r:id="rId212" xr:uid="{E68A1A08-2D78-4210-BEA3-96E739191A84}"/>
    <hyperlink ref="J429" r:id="rId213" xr:uid="{5A5E279B-C20D-4A9B-9B09-F60417016601}"/>
    <hyperlink ref="G430" r:id="rId214" xr:uid="{4F70B76D-CAB3-4E53-A6C4-6C3B273CB7F1}"/>
    <hyperlink ref="J430" r:id="rId215" xr:uid="{67245FB7-4BBF-4BBA-A508-BA47883553F7}"/>
    <hyperlink ref="J431" r:id="rId216" xr:uid="{7B01D79A-A98D-48A7-9B42-0BFAA708573F}"/>
    <hyperlink ref="G432" r:id="rId217" xr:uid="{FB3CBF80-98A1-4481-81F7-B49F13BA9AF6}"/>
    <hyperlink ref="G433" r:id="rId218" display="mailto:davidmoreno7353@gmail.com" xr:uid="{49EAB8AC-EF7A-40A5-BB21-1C59EA63CC2E}"/>
    <hyperlink ref="G435" r:id="rId219" xr:uid="{94A9C2A4-A147-4D3C-8866-9B0CD504F5CD}"/>
    <hyperlink ref="G436" r:id="rId220" xr:uid="{B5BE6C3A-9518-44BB-8A83-59D4BC5E848E}"/>
    <hyperlink ref="F443" r:id="rId221" xr:uid="{819F7601-E2F8-4FF4-9367-5CC36DE7E823}"/>
    <hyperlink ref="J443" r:id="rId222" xr:uid="{F00D94F3-5AAD-4DC7-9044-84C4E7D0D7E2}"/>
    <hyperlink ref="G444" r:id="rId223" xr:uid="{92F7BA1F-713E-4D25-A2A4-ACA441A7C1EE}"/>
    <hyperlink ref="J448" r:id="rId224" xr:uid="{46A5DB71-5B22-4755-9605-69B0A916EC8E}"/>
    <hyperlink ref="J449" r:id="rId225" xr:uid="{0E86BBC4-B66B-4D97-876B-6440E14D065F}"/>
    <hyperlink ref="J451" r:id="rId226" xr:uid="{2EA2A60D-3CB0-4018-B7F2-B3A96DB9B28F}"/>
    <hyperlink ref="G452" r:id="rId227" xr:uid="{43DA0ED5-8FE6-4ADF-976E-4DFF76FB79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A5CD-EFF1-4391-B420-4099972A80CB}">
  <dimension ref="A1:M7"/>
  <sheetViews>
    <sheetView zoomScale="93" workbookViewId="0">
      <selection activeCell="K3" sqref="K3"/>
    </sheetView>
  </sheetViews>
  <sheetFormatPr defaultColWidth="11.42578125" defaultRowHeight="14.45"/>
  <cols>
    <col min="1" max="1" width="3.85546875" bestFit="1" customWidth="1"/>
    <col min="4" max="4" width="19.85546875" customWidth="1"/>
    <col min="5" max="5" width="17.42578125" bestFit="1" customWidth="1"/>
    <col min="6" max="6" width="17.42578125" customWidth="1"/>
  </cols>
  <sheetData>
    <row r="1" spans="1:13" ht="15.95">
      <c r="A1" s="155" t="s">
        <v>1188</v>
      </c>
      <c r="B1" s="155"/>
      <c r="C1" s="155"/>
      <c r="D1" s="155"/>
      <c r="E1" s="155"/>
      <c r="F1" s="155"/>
      <c r="G1" s="155"/>
      <c r="H1" s="155"/>
      <c r="I1" s="155"/>
      <c r="J1" s="155"/>
      <c r="K1" s="155"/>
      <c r="L1" s="155"/>
      <c r="M1" s="155"/>
    </row>
    <row r="2" spans="1:13" ht="15.95">
      <c r="A2" s="145"/>
      <c r="B2" s="145"/>
      <c r="C2" s="145"/>
      <c r="D2" s="145"/>
      <c r="E2" s="145"/>
      <c r="F2" s="145"/>
      <c r="G2" s="145"/>
      <c r="H2" s="145"/>
      <c r="I2" s="145"/>
      <c r="J2" s="145"/>
      <c r="K2" s="145"/>
      <c r="L2" s="145"/>
      <c r="M2" s="145"/>
    </row>
    <row r="3" spans="1:13" ht="15.95">
      <c r="A3" s="146" t="s">
        <v>0</v>
      </c>
      <c r="B3" s="146" t="s">
        <v>1189</v>
      </c>
      <c r="C3" s="146" t="s">
        <v>2</v>
      </c>
      <c r="D3" s="146" t="s">
        <v>1190</v>
      </c>
      <c r="E3" s="146" t="s">
        <v>8</v>
      </c>
      <c r="F3" s="146" t="s">
        <v>1191</v>
      </c>
      <c r="G3" s="146" t="s">
        <v>1192</v>
      </c>
      <c r="H3" s="146" t="s">
        <v>1193</v>
      </c>
      <c r="I3" s="146" t="s">
        <v>1194</v>
      </c>
      <c r="J3" s="146" t="s">
        <v>1195</v>
      </c>
      <c r="K3" s="149" t="s">
        <v>1196</v>
      </c>
      <c r="L3" s="146" t="s">
        <v>1197</v>
      </c>
      <c r="M3" s="146" t="s">
        <v>1198</v>
      </c>
    </row>
    <row r="4" spans="1:13">
      <c r="A4">
        <v>1</v>
      </c>
      <c r="B4" s="91">
        <v>45974</v>
      </c>
      <c r="C4" s="91" t="s">
        <v>23</v>
      </c>
      <c r="D4" t="s">
        <v>1199</v>
      </c>
      <c r="F4" t="s">
        <v>1200</v>
      </c>
      <c r="G4" t="s">
        <v>1201</v>
      </c>
      <c r="H4" t="s">
        <v>1202</v>
      </c>
      <c r="I4" s="147" t="s">
        <v>1203</v>
      </c>
      <c r="J4" t="s">
        <v>1204</v>
      </c>
      <c r="K4" s="148">
        <f>3474.58/2</f>
        <v>1737.29</v>
      </c>
      <c r="L4" s="148">
        <f>625.424/2</f>
        <v>312.71199999999999</v>
      </c>
      <c r="M4" s="148">
        <f>+L4+K4</f>
        <v>2050.002</v>
      </c>
    </row>
    <row r="5" spans="1:13">
      <c r="A5">
        <v>1</v>
      </c>
      <c r="B5" s="91">
        <v>45974</v>
      </c>
      <c r="C5" s="91" t="s">
        <v>23</v>
      </c>
      <c r="D5" t="s">
        <v>1199</v>
      </c>
      <c r="F5" t="s">
        <v>1205</v>
      </c>
      <c r="G5" t="s">
        <v>1201</v>
      </c>
      <c r="H5" t="s">
        <v>1202</v>
      </c>
      <c r="I5" s="147" t="s">
        <v>1203</v>
      </c>
      <c r="J5" t="s">
        <v>1204</v>
      </c>
      <c r="K5" s="148">
        <f>3474.58/2</f>
        <v>1737.29</v>
      </c>
      <c r="L5" s="148">
        <f>625.424/2</f>
        <v>312.71199999999999</v>
      </c>
      <c r="M5" s="148">
        <f>+L5+K5</f>
        <v>2050.002</v>
      </c>
    </row>
    <row r="6" spans="1:13">
      <c r="A6">
        <v>2</v>
      </c>
      <c r="B6" s="91">
        <v>45976</v>
      </c>
      <c r="C6" s="91" t="s">
        <v>23</v>
      </c>
      <c r="D6" t="s">
        <v>1206</v>
      </c>
      <c r="E6" s="114">
        <v>20601646367</v>
      </c>
      <c r="F6" s="114" t="s">
        <v>1207</v>
      </c>
      <c r="G6" t="s">
        <v>1208</v>
      </c>
      <c r="H6" t="s">
        <v>1209</v>
      </c>
      <c r="I6" t="s">
        <v>1210</v>
      </c>
      <c r="J6" t="s">
        <v>1211</v>
      </c>
      <c r="K6" s="148">
        <f>+M6/1.18</f>
        <v>14406.77966101695</v>
      </c>
      <c r="L6" s="148">
        <f>+M6-K6</f>
        <v>2593.2203389830502</v>
      </c>
      <c r="M6" s="148">
        <v>17000</v>
      </c>
    </row>
    <row r="7" spans="1:13">
      <c r="A7">
        <v>3</v>
      </c>
      <c r="B7" s="91">
        <v>45980</v>
      </c>
      <c r="C7" s="91" t="s">
        <v>23</v>
      </c>
      <c r="D7" t="s">
        <v>1212</v>
      </c>
      <c r="E7" s="114">
        <v>20613618687</v>
      </c>
      <c r="F7" s="114" t="s">
        <v>1213</v>
      </c>
      <c r="G7" t="s">
        <v>1214</v>
      </c>
      <c r="H7" t="s">
        <v>1215</v>
      </c>
      <c r="I7" t="s">
        <v>1216</v>
      </c>
      <c r="J7" t="s">
        <v>1204</v>
      </c>
      <c r="K7" s="148">
        <v>3950</v>
      </c>
      <c r="L7" s="148">
        <f>+M7-K7</f>
        <v>711</v>
      </c>
      <c r="M7" s="148">
        <v>4661</v>
      </c>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07B6-62F1-4CC3-8BE8-BDD7FCA117D4}">
  <dimension ref="A1:N4"/>
  <sheetViews>
    <sheetView workbookViewId="0">
      <selection activeCell="A4" sqref="A4"/>
    </sheetView>
  </sheetViews>
  <sheetFormatPr defaultColWidth="11.42578125" defaultRowHeight="14.45"/>
  <sheetData>
    <row r="1" spans="1:14">
      <c r="A1" t="s">
        <v>1217</v>
      </c>
    </row>
    <row r="3" spans="1:14">
      <c r="A3" t="s">
        <v>1218</v>
      </c>
      <c r="B3" t="s">
        <v>1219</v>
      </c>
      <c r="C3" t="s">
        <v>1220</v>
      </c>
      <c r="D3" t="s">
        <v>1221</v>
      </c>
      <c r="E3" t="s">
        <v>1222</v>
      </c>
      <c r="F3" t="s">
        <v>1223</v>
      </c>
      <c r="G3" t="s">
        <v>1224</v>
      </c>
      <c r="H3" t="s">
        <v>1225</v>
      </c>
      <c r="I3" t="s">
        <v>1226</v>
      </c>
      <c r="J3" t="s">
        <v>1227</v>
      </c>
      <c r="K3" t="s">
        <v>1228</v>
      </c>
      <c r="L3" t="s">
        <v>1229</v>
      </c>
      <c r="M3" t="s">
        <v>1230</v>
      </c>
      <c r="N3" t="s">
        <v>1231</v>
      </c>
    </row>
    <row r="4" spans="1:14">
      <c r="A4" t="s">
        <v>1232</v>
      </c>
      <c r="B4" s="148">
        <v>100000</v>
      </c>
      <c r="C4" s="148">
        <v>120000</v>
      </c>
      <c r="D4" s="148">
        <v>140000</v>
      </c>
      <c r="E4" s="148">
        <v>150000</v>
      </c>
      <c r="F4" s="148">
        <v>120000</v>
      </c>
      <c r="G4" s="148">
        <v>100000</v>
      </c>
      <c r="H4" s="148">
        <v>100000</v>
      </c>
      <c r="I4" s="148">
        <v>100000</v>
      </c>
      <c r="J4" s="148">
        <v>100000</v>
      </c>
      <c r="K4" s="148">
        <v>200000</v>
      </c>
      <c r="L4" s="148">
        <v>200000</v>
      </c>
      <c r="M4" s="148">
        <v>200000</v>
      </c>
      <c r="N4" s="154">
        <f>+SUM(B4:M4)</f>
        <v>1630000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8802-7712-42D8-9659-9AD5FA1533C0}">
  <sheetPr>
    <tabColor theme="8" tint="0.39997558519241921"/>
  </sheetPr>
  <dimension ref="A2:E17"/>
  <sheetViews>
    <sheetView workbookViewId="0">
      <selection activeCell="B17" sqref="B17"/>
    </sheetView>
  </sheetViews>
  <sheetFormatPr defaultColWidth="11.42578125" defaultRowHeight="14.45"/>
  <cols>
    <col min="1" max="1" width="44.5703125" bestFit="1" customWidth="1"/>
    <col min="2" max="2" width="56.28515625" bestFit="1" customWidth="1"/>
    <col min="3" max="3" width="41.140625" bestFit="1" customWidth="1"/>
  </cols>
  <sheetData>
    <row r="2" spans="1:5">
      <c r="A2" s="153" t="s">
        <v>1233</v>
      </c>
    </row>
    <row r="3" spans="1:5">
      <c r="A3" s="153" t="s">
        <v>1234</v>
      </c>
      <c r="B3" s="153"/>
    </row>
    <row r="4" spans="1:5">
      <c r="A4" t="s">
        <v>1235</v>
      </c>
      <c r="B4" t="s">
        <v>1236</v>
      </c>
    </row>
    <row r="5" spans="1:5">
      <c r="A5" t="s">
        <v>1237</v>
      </c>
      <c r="B5" t="s">
        <v>1238</v>
      </c>
      <c r="C5" s="150"/>
    </row>
    <row r="6" spans="1:5">
      <c r="A6" t="s">
        <v>1239</v>
      </c>
      <c r="B6" t="s">
        <v>1240</v>
      </c>
      <c r="C6" s="150"/>
    </row>
    <row r="7" spans="1:5">
      <c r="A7" t="s">
        <v>1241</v>
      </c>
      <c r="B7" t="s">
        <v>1242</v>
      </c>
      <c r="D7" t="s">
        <v>1243</v>
      </c>
    </row>
    <row r="8" spans="1:5">
      <c r="A8" s="152" t="s">
        <v>1244</v>
      </c>
      <c r="B8" s="152" t="s">
        <v>1245</v>
      </c>
      <c r="C8" s="152" t="s">
        <v>1246</v>
      </c>
      <c r="E8" s="152" t="s">
        <v>1244</v>
      </c>
    </row>
    <row r="9" spans="1:5">
      <c r="A9" s="152" t="s">
        <v>1247</v>
      </c>
      <c r="B9" s="152" t="s">
        <v>1248</v>
      </c>
      <c r="C9" s="152" t="s">
        <v>1249</v>
      </c>
      <c r="E9" s="152" t="s">
        <v>1250</v>
      </c>
    </row>
    <row r="10" spans="1:5">
      <c r="A10" s="152" t="s">
        <v>1251</v>
      </c>
      <c r="B10" s="152" t="s">
        <v>1252</v>
      </c>
      <c r="C10" s="152"/>
      <c r="E10" s="152" t="s">
        <v>1253</v>
      </c>
    </row>
    <row r="11" spans="1:5">
      <c r="A11" t="s">
        <v>1254</v>
      </c>
      <c r="C11" t="s">
        <v>1246</v>
      </c>
    </row>
    <row r="12" spans="1:5">
      <c r="A12" t="s">
        <v>1255</v>
      </c>
      <c r="B12" t="s">
        <v>1256</v>
      </c>
      <c r="C12" t="s">
        <v>1249</v>
      </c>
    </row>
    <row r="13" spans="1:5">
      <c r="A13" t="s">
        <v>1257</v>
      </c>
      <c r="C13" t="s">
        <v>1249</v>
      </c>
    </row>
    <row r="14" spans="1:5">
      <c r="A14" t="s">
        <v>1258</v>
      </c>
      <c r="C14" t="s">
        <v>1246</v>
      </c>
    </row>
    <row r="15" spans="1:5">
      <c r="A15" t="s">
        <v>1259</v>
      </c>
      <c r="C15" t="s">
        <v>1246</v>
      </c>
    </row>
    <row r="16" spans="1:5">
      <c r="A16" t="s">
        <v>1260</v>
      </c>
      <c r="C16" t="s">
        <v>1249</v>
      </c>
    </row>
    <row r="17" spans="1:3">
      <c r="A17" t="s">
        <v>1261</v>
      </c>
      <c r="C17" t="s">
        <v>1249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compass leader</dc:creator>
  <cp:keywords/>
  <dc:description/>
  <cp:lastModifiedBy>compass leader</cp:lastModifiedBy>
  <cp:revision/>
  <dcterms:created xsi:type="dcterms:W3CDTF">2025-11-27T21:27:53Z</dcterms:created>
  <dcterms:modified xsi:type="dcterms:W3CDTF">2025-11-28T14:31:02Z</dcterms:modified>
  <cp:category/>
  <cp:contentStatus/>
</cp:coreProperties>
</file>