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Gonzalo PL\Desktop\Automatizaciones\Automatizacione-EMP1\"/>
    </mc:Choice>
  </mc:AlternateContent>
  <xr:revisionPtr revIDLastSave="0" documentId="13_ncr:1_{7F777866-3242-4D54-A6A6-52CD5D58212F}" xr6:coauthVersionLast="47" xr6:coauthVersionMax="47" xr10:uidLastSave="{00000000-0000-0000-0000-000000000000}"/>
  <bookViews>
    <workbookView xWindow="29190" yWindow="705" windowWidth="25155" windowHeight="12570" activeTab="2" xr2:uid="{1F475FD0-6C96-DB43-BF42-9F1779482BE9}"/>
  </bookViews>
  <sheets>
    <sheet name="AGENDA" sheetId="4" r:id="rId1"/>
    <sheet name="CRM" sheetId="1" r:id="rId2"/>
    <sheet name="CIERRE" sheetId="5" r:id="rId3"/>
    <sheet name="Detalle" sheetId="2" r:id="rId4"/>
  </sheets>
  <externalReferences>
    <externalReference r:id="rId5"/>
  </externalReferences>
  <calcPr calcId="191029"/>
  <pivotCaches>
    <pivotCache cacheId="1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01" i="1" l="1"/>
  <c r="V100" i="1"/>
  <c r="V99" i="1"/>
  <c r="V94" i="1"/>
  <c r="V98" i="1"/>
  <c r="V97" i="1"/>
  <c r="V96" i="1"/>
  <c r="V95" i="1"/>
  <c r="V93" i="1" l="1"/>
  <c r="V92" i="1"/>
  <c r="V91" i="1"/>
  <c r="V90" i="1"/>
  <c r="V89" i="1"/>
  <c r="V88" i="1"/>
  <c r="V87" i="1"/>
  <c r="V86" i="1"/>
  <c r="V85" i="1"/>
  <c r="V84" i="1"/>
  <c r="V83" i="1"/>
  <c r="V82" i="1"/>
  <c r="V81" i="1"/>
  <c r="V80" i="1"/>
  <c r="V79" i="1"/>
  <c r="V78" i="1"/>
  <c r="V77" i="1"/>
  <c r="M6" i="5"/>
  <c r="L5" i="5"/>
  <c r="M5" i="5" s="1"/>
  <c r="T61" i="1"/>
  <c r="V75" i="1"/>
  <c r="V74" i="1"/>
  <c r="V72" i="1"/>
  <c r="V71" i="1"/>
  <c r="V70" i="1" l="1"/>
  <c r="V69" i="1" l="1"/>
  <c r="V68" i="1"/>
  <c r="V67" i="1"/>
  <c r="N4" i="5" l="1"/>
  <c r="V64" i="1"/>
  <c r="V63" i="1"/>
  <c r="V62" i="1"/>
  <c r="V60" i="1" l="1"/>
  <c r="V59" i="1"/>
  <c r="V58" i="1"/>
  <c r="V57" i="1" l="1"/>
  <c r="V56" i="1"/>
  <c r="V55" i="1"/>
  <c r="V54" i="1"/>
  <c r="V53" i="1"/>
  <c r="V52" i="1"/>
  <c r="V51" i="1"/>
  <c r="V50" i="1"/>
  <c r="V48" i="1" l="1"/>
  <c r="V46" i="1" l="1"/>
  <c r="V45" i="1" l="1"/>
  <c r="V44" i="1"/>
  <c r="V43" i="1"/>
  <c r="V42" i="1"/>
  <c r="V41" i="1" l="1"/>
  <c r="V40" i="1"/>
  <c r="V39" i="1"/>
  <c r="V38" i="1"/>
  <c r="V37" i="1"/>
  <c r="V36" i="1"/>
  <c r="V35" i="1"/>
  <c r="V34" i="1"/>
  <c r="V33" i="1"/>
  <c r="V32" i="1"/>
  <c r="V31" i="1" l="1"/>
  <c r="V30" i="1"/>
  <c r="V29" i="1"/>
  <c r="V28" i="1"/>
  <c r="V27" i="1"/>
  <c r="V26" i="1"/>
  <c r="V25" i="1"/>
  <c r="V23" i="1"/>
  <c r="V24" i="1"/>
  <c r="V22" i="1"/>
  <c r="V2" i="1"/>
  <c r="V3" i="1"/>
  <c r="V4" i="1"/>
  <c r="V5" i="1"/>
  <c r="V6" i="1"/>
  <c r="V7" i="1"/>
  <c r="V8" i="1"/>
  <c r="V9" i="1"/>
  <c r="V10" i="1"/>
  <c r="V11" i="1"/>
  <c r="V12" i="1"/>
  <c r="V13" i="1"/>
  <c r="V14" i="1"/>
  <c r="V15" i="1"/>
  <c r="V16" i="1"/>
  <c r="V17" i="1"/>
  <c r="V18" i="1"/>
  <c r="V19" i="1"/>
  <c r="V20" i="1"/>
  <c r="V21" i="1"/>
</calcChain>
</file>

<file path=xl/sharedStrings.xml><?xml version="1.0" encoding="utf-8"?>
<sst xmlns="http://schemas.openxmlformats.org/spreadsheetml/2006/main" count="1171" uniqueCount="455">
  <si>
    <t>No.</t>
  </si>
  <si>
    <t>Fecha</t>
  </si>
  <si>
    <t>Contacto</t>
  </si>
  <si>
    <t>Cargo</t>
  </si>
  <si>
    <t>teléfono</t>
  </si>
  <si>
    <t>Mail</t>
  </si>
  <si>
    <t>Razón Social</t>
  </si>
  <si>
    <t>RUC</t>
  </si>
  <si>
    <t>Web</t>
  </si>
  <si>
    <t>Departamento</t>
  </si>
  <si>
    <t>Distrito</t>
  </si>
  <si>
    <t>Rubro</t>
  </si>
  <si>
    <t>Tipo de producto</t>
  </si>
  <si>
    <t>Origen del lead</t>
  </si>
  <si>
    <t>Descripción</t>
  </si>
  <si>
    <t>Estado</t>
  </si>
  <si>
    <t>Monto de la oportunidad</t>
  </si>
  <si>
    <t>No. Cotización</t>
  </si>
  <si>
    <t>Fecha seguimiento</t>
  </si>
  <si>
    <t>Semana</t>
  </si>
  <si>
    <t>Jenny V.</t>
  </si>
  <si>
    <t>Jorge Huertas</t>
  </si>
  <si>
    <t>Encargado Proyecto Hotel Ritz - Empresa DLPS arquitectos</t>
  </si>
  <si>
    <t>Lima</t>
  </si>
  <si>
    <t>Miraflores</t>
  </si>
  <si>
    <t>Hotelería</t>
  </si>
  <si>
    <t>Equipo</t>
  </si>
  <si>
    <t>Otro</t>
  </si>
  <si>
    <t>Se contactó a Jorge para solicitar información de la persona de compras del proyecto del hotel Ritz</t>
  </si>
  <si>
    <t>Contactado</t>
  </si>
  <si>
    <t>Ruth</t>
  </si>
  <si>
    <t>Se indicó a Brenda colocar en el CRM que me contacté por Whatsapp, el proyecto se dará en enero, debemos hacer seguimiento mensual</t>
  </si>
  <si>
    <t>Juan Carlos Checa</t>
  </si>
  <si>
    <t>Adquisiciones (Anexo 722)</t>
  </si>
  <si>
    <t>054 - 599 000 / RPC 54 - 958961157</t>
  </si>
  <si>
    <t>jchecca@clinicaarequipa.com.pe</t>
  </si>
  <si>
    <t>Clínica Arequipa</t>
  </si>
  <si>
    <t>www.clinicarequipa.com.pe</t>
  </si>
  <si>
    <t>Arequipa</t>
  </si>
  <si>
    <t>Se habló con el Sr. Juan Carlos y se envió el Catálogo por Whatsapp y correo y se solicitó agendar una llamada</t>
  </si>
  <si>
    <t>Gloria Verónica Velarde Cerpa.</t>
  </si>
  <si>
    <t>Jefe de logística</t>
  </si>
  <si>
    <t>(054) 382400 anexo 522</t>
  </si>
  <si>
    <t>logistica@sanjuandediosarequipa.com</t>
  </si>
  <si>
    <t>Hogar Clínica San Juan de Dios</t>
  </si>
  <si>
    <t>www.sanjuandediosarequipa.com</t>
  </si>
  <si>
    <t>Se llamó al anexo 522, sin éxito, se envió mail de presentación de empresa y catálogo al correo indicado pero rebota</t>
  </si>
  <si>
    <t>(054) 272422 - 272614 - anexo 20</t>
  </si>
  <si>
    <t xml:space="preserve"> informes@garciabragagnini.com</t>
  </si>
  <si>
    <t>García Bragagnini</t>
  </si>
  <si>
    <t>www.garciabragagnini.com</t>
  </si>
  <si>
    <t>Se contactó al anexo sin éxito</t>
  </si>
  <si>
    <t>Luz Visa</t>
  </si>
  <si>
    <t>Encargada de Logistica</t>
  </si>
  <si>
    <t>(054) 206171
(054) 405147
959 177 508 , anexo 718</t>
  </si>
  <si>
    <t>Centro Médico Daniel Alcides Carrión</t>
  </si>
  <si>
    <t>www.clinicadac.com</t>
  </si>
  <si>
    <t>Llamar a partir de las 3 pm, se llamó sin éxito</t>
  </si>
  <si>
    <t>Danilo Choque</t>
  </si>
  <si>
    <t>Encargado de Compras</t>
  </si>
  <si>
    <t>(054) 206171, anexo 718 Celular: 959177553</t>
  </si>
  <si>
    <t>Se envió por Whatsapp el catálogo al encargado de Compras</t>
  </si>
  <si>
    <t>https://clinicasanjosecusco.com/</t>
  </si>
  <si>
    <t>Cusco</t>
  </si>
  <si>
    <t>llamada sin éxito, se cambió la información a la encontrada en la web, la anterior info no existe</t>
  </si>
  <si>
    <t xml:space="preserve"> (054) 606100 // (054) 231444</t>
  </si>
  <si>
    <t>contabilidad3.montecarmelo@gmail.com</t>
  </si>
  <si>
    <t>Monte Carmelo</t>
  </si>
  <si>
    <t>www.montecarmelocm.com</t>
  </si>
  <si>
    <t>Llamada se consiguió el mail y se envió el catálogo, el área de finanzas hace las compras</t>
  </si>
  <si>
    <t xml:space="preserve">(84) 249999 // 240387 </t>
  </si>
  <si>
    <t>Pardo</t>
  </si>
  <si>
    <t>www.clinicapardocusco.com</t>
  </si>
  <si>
    <t>Joselyn Flores</t>
  </si>
  <si>
    <t>recepcionista</t>
  </si>
  <si>
    <t>(84) 237009. Cel: 989316622</t>
  </si>
  <si>
    <t>consultas@cps.com.pe</t>
  </si>
  <si>
    <t>Clinica Peruano Suiza</t>
  </si>
  <si>
    <t>https://www.cps.com.pe/</t>
  </si>
  <si>
    <t>Se contactó al celular y se envía Catálogo por Whatsapp según lo soclicitado para derivar al área correspondiente</t>
  </si>
  <si>
    <t xml:space="preserve">(084) 231340 // 229955
</t>
  </si>
  <si>
    <t>clinicasjd@sanjuandedioscusco.org</t>
  </si>
  <si>
    <t>San Juan de Dios</t>
  </si>
  <si>
    <t>www.clinicasanjuandedioscusco.org</t>
  </si>
  <si>
    <t>Volver a contactar ya que no quiso dar información</t>
  </si>
  <si>
    <t xml:space="preserve"> (84) 601443 // 984639290 // 974793088</t>
  </si>
  <si>
    <t>Cusco Health</t>
  </si>
  <si>
    <t>www.cuscohealth.com</t>
  </si>
  <si>
    <t>No está interesado</t>
  </si>
  <si>
    <t>info@clinicacornejo.com</t>
  </si>
  <si>
    <t>Clinica Cornejo</t>
  </si>
  <si>
    <t>www.clinicacornejo.com</t>
  </si>
  <si>
    <t>No tienen ninguna solicitud por el momento y no quieren dar más información</t>
  </si>
  <si>
    <t xml:space="preserve"> (84) 224016</t>
  </si>
  <si>
    <t>info@clinica-casafranca.com</t>
  </si>
  <si>
    <t>Casafranca</t>
  </si>
  <si>
    <t>www.clinica-casafranca.com</t>
  </si>
  <si>
    <t>No Habida</t>
  </si>
  <si>
    <t>Medical Health Home</t>
  </si>
  <si>
    <t>www.medicalhome.com.pe</t>
  </si>
  <si>
    <t>Se actualizó el teléfono de la web y no cuentan con lavandería ya que todo es descartable y la diferencia lo tercerizan</t>
  </si>
  <si>
    <t>(084) 582060</t>
  </si>
  <si>
    <t>Mac Salud</t>
  </si>
  <si>
    <t>www.macsalud.com</t>
  </si>
  <si>
    <t>No cuentan con área de lavandería, la tercerizan con lavanderías de alrededor</t>
  </si>
  <si>
    <t>Angel Luna</t>
  </si>
  <si>
    <t>Admin istrador general</t>
  </si>
  <si>
    <t>(054) 27 17 97 958952473 / 958952471</t>
  </si>
  <si>
    <t>donmar@gmail.com</t>
  </si>
  <si>
    <t>Lavandería Don Marcelo</t>
  </si>
  <si>
    <t>https://www.lavanderiasdonmarcelo.com/</t>
  </si>
  <si>
    <t>Zona Sur del País, Juliaca, Puno y Arequipa</t>
  </si>
  <si>
    <t>Se llamó por teléfono y consiguió el correo del administrador general y se envió catalogo a través del mail. No quiso dar telefono personal</t>
  </si>
  <si>
    <t>Eduardo Apaza (encargado de compras)</t>
  </si>
  <si>
    <t>(051) 35-1071 // 950-907575 //
979-968152</t>
  </si>
  <si>
    <t>administracion@clinicalospinos.com //
clinicalospinos@hotmail.com</t>
  </si>
  <si>
    <t>Clinica Los pinos</t>
  </si>
  <si>
    <t>www.clinicalospinos.com/</t>
  </si>
  <si>
    <t>Puno</t>
  </si>
  <si>
    <t>Tiene lavandería y no tiene complicaciones sobre el lavado algunos en lavadora y otros a mano. Se envía catálogo por Whatsapp al sr. Interio Apaza</t>
  </si>
  <si>
    <t>Comercial</t>
  </si>
  <si>
    <t>Pendiente</t>
  </si>
  <si>
    <t>Campo</t>
  </si>
  <si>
    <t>Repuestos</t>
  </si>
  <si>
    <t>Contactado interesado</t>
  </si>
  <si>
    <t>Mantenimiento</t>
  </si>
  <si>
    <t>Teléfono</t>
  </si>
  <si>
    <t>Propuesta enviada</t>
  </si>
  <si>
    <t>Whatsapp</t>
  </si>
  <si>
    <t>Potencial cierre</t>
  </si>
  <si>
    <t>Cerrado ganado</t>
  </si>
  <si>
    <t>Cerrado perdido</t>
  </si>
  <si>
    <t>Minería</t>
  </si>
  <si>
    <t>Salud</t>
  </si>
  <si>
    <t>Textil</t>
  </si>
  <si>
    <t>Agroindustria</t>
  </si>
  <si>
    <t>Lavandería Comercial</t>
  </si>
  <si>
    <t>Lavandería Industrial</t>
  </si>
  <si>
    <t>Multihousing</t>
  </si>
  <si>
    <t>Restaurante/Café</t>
  </si>
  <si>
    <t>Club Deportivo</t>
  </si>
  <si>
    <t>Club entretenimiento</t>
  </si>
  <si>
    <t>Club Adulto Mayor</t>
  </si>
  <si>
    <t>Otros: Marina/Ejército/Bomberos</t>
  </si>
  <si>
    <t>Pacheco falcón María Isabel</t>
  </si>
  <si>
    <t>Encargada de Proyecto</t>
  </si>
  <si>
    <t>GDC Proyectos Perú SAC</t>
  </si>
  <si>
    <t>www.gdc.pe</t>
  </si>
  <si>
    <t>Me comuniqué por teléfono sin éxito y por whatsapp dejando información y Catálogo</t>
  </si>
  <si>
    <t>Llamada, me comentó que está en cierre y que la contacte la otra semana, se envía información por mail</t>
  </si>
  <si>
    <t>Ramos Juan</t>
  </si>
  <si>
    <t>Gerente Comercial</t>
  </si>
  <si>
    <t>www.lucent.pe</t>
  </si>
  <si>
    <t>SJL</t>
  </si>
  <si>
    <t>Se llamó al sr Juan Ramos y quedó en contactarnos con el área de logística, se envió Whatsapp para que nos envíe el contacto</t>
  </si>
  <si>
    <t>Terán Yuriko</t>
  </si>
  <si>
    <t>Revilla Sardi Diego Antonio</t>
  </si>
  <si>
    <t>Jefe de Lavadería Hotel Westin</t>
  </si>
  <si>
    <t>arevilla@westininlima.com</t>
  </si>
  <si>
    <t>The Westin Hotel</t>
  </si>
  <si>
    <t>San isidro</t>
  </si>
  <si>
    <t>Se contactó al jefe de Lavandería a través de Linkedin indicandole que podemos reunirnos para absolver sus dudas sobre la cotzación enviada en febrero y a su vez lo podemos ayudar con algún otro requerimiento, se dejóo enviado el catálogo general</t>
  </si>
  <si>
    <t>Rivera Andreina</t>
  </si>
  <si>
    <t>Gerente de Operaciones</t>
  </si>
  <si>
    <t>Hotel Golf de los Inkas</t>
  </si>
  <si>
    <t>https://www.casa-andina.com/es/destinos/surco/hoteles/casa-andina-premium-golf-los-incas</t>
  </si>
  <si>
    <t>Santiago de Surco</t>
  </si>
  <si>
    <t>Parte del grupo CASA ANDINA, Se le hace seguimiento por whatsapp porque no contestó el teléfono y tampoco el mensaje anterior.</t>
  </si>
  <si>
    <t>Gomero Jefte</t>
  </si>
  <si>
    <t>logistica@idetex.com.pe</t>
  </si>
  <si>
    <t>Idetex</t>
  </si>
  <si>
    <t>www.idetex.com.pe</t>
  </si>
  <si>
    <t>Santa Anita</t>
  </si>
  <si>
    <t>Conversé por teléfono con Jefte, indica que han comprado con la razón social Ideas textiles hace un tiempo, Revisé el file donde en febrero 2024 cotizaron Unimac de 60 y de 40Kg pero en ese momento no contaban con presupuesto y dejaron en stand by el proyecto. Esta vez estamos coordinando pronto agendar una reunión, se le envía información al correo indicado</t>
  </si>
  <si>
    <t>Etiquetas de fila</t>
  </si>
  <si>
    <t>Total general</t>
  </si>
  <si>
    <t xml:space="preserve"> se envió Whatsapp con la información y catálogo al sr Juan (dueño) y al encargado de lavandería, tenemos llamada programada para las 4 pm para aterrizar su requerimiento. Cuentan con una máquina teñidora EFAMEIN. Se coordinó una cita para visita a planta para el día Jueves 6 Nov. a las 10 am para que vea las máquinas.</t>
  </si>
  <si>
    <t>Corporation Lucent Export SAC</t>
  </si>
  <si>
    <t>Informa que el 16 de noviembre podemos contactarnos nuevamente ya que se definirá el giro del proyecto Ritz. Sobre los proyectos del Marriot no tenemos novedades aún.</t>
  </si>
  <si>
    <t>Rafael</t>
  </si>
  <si>
    <t>Jefe de Lavandería</t>
  </si>
  <si>
    <t>Se hizo el envío del mail a la Sra María Pacheco y se solicitó su teléfono</t>
  </si>
  <si>
    <t>Cuenta de Fecha</t>
  </si>
  <si>
    <t>Encargada de compras Hotel Bolivar</t>
  </si>
  <si>
    <t>Cuenta de Estado</t>
  </si>
  <si>
    <t>Aspersud</t>
  </si>
  <si>
    <t>La Molina</t>
  </si>
  <si>
    <t>Se conversó por teléfono con la sra María, nos indicó que debía reunirse con el gerente de logística para revisar proyectos, asimismo comentó que se le envíe Whatsapp para estar en contacto. Se dejó enviado el catálogo por es medio también.</t>
  </si>
  <si>
    <t>(en blanco)</t>
  </si>
  <si>
    <t>Gran Hotel Bolívar</t>
  </si>
  <si>
    <t>Ricardo Zamora</t>
  </si>
  <si>
    <t>Jefe Somma</t>
  </si>
  <si>
    <t>AQU ANQA S.A.C.</t>
  </si>
  <si>
    <t>La libertad</t>
  </si>
  <si>
    <t>trujillo</t>
  </si>
  <si>
    <t>Se conversó por teléfono con Ricardo, se tomó los datos de lo que necesita para su proyecto y tiene qe enviar datos del peso de las prendas para lavar, cuenta con 120 trabajadores , son 3 prendas gruesas de invierno. Se pidió metraje de lavandería y envío de fotos, luego nos vamos a reunir con los especialistas técnicos para orientarlos antes de la visita técnica. La lavandería se ubica en el primer piso, pero por el espacio estrecho puede ubicarse en el piso 2 que cuenta con más espacio</t>
  </si>
  <si>
    <t>Gonzales Ernesto</t>
  </si>
  <si>
    <t>Bengala Inmobiliaria</t>
  </si>
  <si>
    <t>Vargas Carolains</t>
  </si>
  <si>
    <t>carolains.vargas@paz.pe</t>
  </si>
  <si>
    <t>Paz Inmobiliaria S.A</t>
  </si>
  <si>
    <t>20518023579/20605346716</t>
  </si>
  <si>
    <t>egonzales@bengala.pe</t>
  </si>
  <si>
    <t>Jefe Comercial</t>
  </si>
  <si>
    <t>Arquitecta</t>
  </si>
  <si>
    <t>En la feria solo me dieron el correo de la arquitecta, se Envió el mail con la presentación, catalogos</t>
  </si>
  <si>
    <t>Jefe de Compras</t>
  </si>
  <si>
    <t>marlene.galicia@sheraton.com</t>
  </si>
  <si>
    <t>Sheraton Lima Historic Center</t>
  </si>
  <si>
    <t>Hoteles Sheraton del Perú SAC</t>
  </si>
  <si>
    <t xml:space="preserve">Se llamó por teléfono sin éxito. Se envió mensaje por Whatsapp dejando apertura a más proyectos así como citarlos a una breve reunión para revisar proyectos. </t>
  </si>
  <si>
    <t>Contacté al jefe de ventas por teléfono y whatsapp para que me de el contacto de la persona de compras, va a comentarle antes de enviarme su contacto, se envió correo para que lo derive</t>
  </si>
  <si>
    <t>Ruiz Cáceres Janny</t>
  </si>
  <si>
    <t>Jefe de Adquisiciones</t>
  </si>
  <si>
    <t>TRAMARSA, trabajos Maritimos</t>
  </si>
  <si>
    <t>Se envió presentación y catálogo a través de Linkedin personal</t>
  </si>
  <si>
    <t>Está enviando información parcial, por ejemplo. Tiene 120 personas, que usan 3 piezas pesadas de ropa. Pesa 3 Kilos aprox secos. El área actual de la lavandería es de 6.125 m2. El tamaño de la puerta de ingreso es de 72 cm. Queda pendiente la foto y las medidas de la lavandería del segundo nivel donde piensa mudarse dado que al parecer no ingresan los equipos en el primer piso.</t>
  </si>
  <si>
    <t>jcosanatan@gmail.com</t>
  </si>
  <si>
    <t>Cuzco</t>
  </si>
  <si>
    <t>Cajo Cosanatan Yoel</t>
  </si>
  <si>
    <t>Dueño</t>
  </si>
  <si>
    <t>Luis Angel</t>
  </si>
  <si>
    <t>Se retomó contacto por teléfono y se envió presupuesto final, comenta que estará viajando a Lima para ver los equipos, desea hacer el adelanto para asegurar la compra, se envió los números de cuenta. DNI 45933340. Visita martes 18/11/2025 a las 8.30 am</t>
  </si>
  <si>
    <t>51  084 611 310
51 966 344 761
51 958 331 157
51 984 774 666</t>
  </si>
  <si>
    <t>Avelino Gerardo</t>
  </si>
  <si>
    <t>gavelino@clubnacional.org.pe</t>
  </si>
  <si>
    <t>Club Nacional</t>
  </si>
  <si>
    <t>Se envió correo para retomar nuevo contacto</t>
  </si>
  <si>
    <t>Urbina Paoli Carlos Alberto</t>
  </si>
  <si>
    <t>Gerente</t>
  </si>
  <si>
    <t>gerencia@corporacionpanaservice.com</t>
  </si>
  <si>
    <t>www.corporacionpanaservice.com</t>
  </si>
  <si>
    <t>Corporación Panaservice SAC</t>
  </si>
  <si>
    <t>La data no está actualizada, el teléfono y correo ya no están vigentes</t>
  </si>
  <si>
    <t>Gutierrez Navarro Natalia</t>
  </si>
  <si>
    <t>Jefe de Compras - Logística</t>
  </si>
  <si>
    <t>nnavarro@acity.com.pe</t>
  </si>
  <si>
    <t>Atlantic City Casino &amp; Sports</t>
  </si>
  <si>
    <t>El contacto anterior Alfredo capac, ya no labora, se consiguió el contacto de la jefa de Compras y se envió mail para concretar una reunión</t>
  </si>
  <si>
    <t>Galicia Mercedez</t>
  </si>
  <si>
    <t>Gerente de Compras</t>
  </si>
  <si>
    <t>Se envió correo a la señora con la presentación de efameinsa para retomar nuevo contacto</t>
  </si>
  <si>
    <t>El usuario es el señor Rafael Galarza, ambos vendrán a la planta a ver las máquinas. Además en el registro de Sunat presenta que ambos cuentan con negocio de Lavado y limpieza incluida limpieza en seco de productos textiles</t>
  </si>
  <si>
    <t>El usuario es el señor Rafael Galarza, viende de visita el día viernes 7/11 a planta, acompañado del dueño de la empresa Lucent, Juan Ramos, además de David Sevillano. Según registro de Central, fue cliente desde el 2008, haciendo varias compras como por ejemplo, con una máquina efamein de 400 KG y una secadora de 150 KG y mantenimientos posteriores, trabajó a crédito con la razón social Lavandería Peruana sac que luego cambió de Razón social a Snowboarding, en el filtro de Infocorp indica que la empresa Lucent no presenta problemas.</t>
  </si>
  <si>
    <t>Lavanderías Express</t>
  </si>
  <si>
    <t>luis.alberto.ortiz.43@gmail.com</t>
  </si>
  <si>
    <t>llamamos para aterrizar la propuesta, va a abrir una lavandería en Trujillo, le recomendó su amigo, piensa comprar ahora en noviembre. Se envió Cotización</t>
  </si>
  <si>
    <t>00023-25</t>
  </si>
  <si>
    <t>Ccasani Chahua Moisés Franklin</t>
  </si>
  <si>
    <t>moisesfranklinccasanichahua@gmail.com</t>
  </si>
  <si>
    <t>Lavandería Shalow</t>
  </si>
  <si>
    <t>El señor cuenta con 4 lavadoras y 3 secadoras de 20 kilos domesticas y busca cambiar todas por una industrial. Cotizará una de 24 a 27 kilos en lavadora y una secadora de 30-35 kilos secadora, procesa al mes aprox 3000 kilos de ropa. Quiere grande por los edredones. Adicionalmente quiere un calderín de 4 litros y una planchadora industrial</t>
  </si>
  <si>
    <t>00024-25</t>
  </si>
  <si>
    <t>Quiñones Angelo</t>
  </si>
  <si>
    <t>angeloqa12@gmail.com</t>
  </si>
  <si>
    <t>RUS</t>
  </si>
  <si>
    <t>Surco</t>
  </si>
  <si>
    <t>0013-25</t>
  </si>
  <si>
    <t>Cliente llegó a Visitarnos en planta con su novia, están revisando locales para poner su primera lavandería y apenas lo tengan nos contactan, calculan que será en 15 días, haremos seguimiento la otra semana para ver como va. Le interesa que el despacho será aprox en 48 horas, ya que en otro lugar le comentaron que el envío es en 7 días.</t>
  </si>
  <si>
    <t>Benites Jara Juan</t>
  </si>
  <si>
    <t>Asesor técnico Textil</t>
  </si>
  <si>
    <t>juan.benites@vicunha.com</t>
  </si>
  <si>
    <t>Vicunha perú SAC</t>
  </si>
  <si>
    <t>www.vicunha.com</t>
  </si>
  <si>
    <t>Llegamos al sr. Juan a través de la feria Textil, trabaja actualmente en Vicunha Textil, empresa de jeans colombiana, el sr es experto en lavado textil, trabajó anteriormente en la empresa Lavandería Jeans Colors SAC. Conoció al sr. Carlos hace años. Se está agendando una cita en sus oficinas, se filtrará y se evaluará opciones de trabajo</t>
  </si>
  <si>
    <t>El cliente llamó por teléfono, nos indicó que Serfac tenía un precio menor, le indicamos que nos envíe la cotización, nos envió cotización y procedimos a llamarlo para indicarle que le dejamos a 4699 (serfac tenía 4744, ofrecimos envío, asesoría y puesta en marcha) y que proceda con el pago. Indicó que iba a pagar con tarjeta. En la cotización de Serfac tenía 2 productos más, una mesa planchadora de 500 dólares. me preguntó si tenía mesas planchadoras más baratas, la cotizada era semi industrial. Serfac le cotizó una mesa de 500 dolares.  Al final indica que hará el pago con tarjeta de la torre LG Giant y se le cobrará 15 dólares extras. Nos devolverá la llamada.</t>
  </si>
  <si>
    <t>Ortiz Pizarro Luis Alberto</t>
  </si>
  <si>
    <t xml:space="preserve">Después del seguimiento de estos días el sr se volvió a comunicar indicando que tenía una propuesta de Serfact por 6100 por la torre Titan, hablamos con el para igualar el precio para que haga el depósito, nos comentó que está en Lima y que vendrá a visitarnos, estamos confirmando la hora. </t>
  </si>
  <si>
    <t>Liliana Aldana</t>
  </si>
  <si>
    <t>El señor Ortiz va a poner un emprendimiento, requiere asesoría no repondió su celular se le dejó mensaje de identificación en su whatsapp.</t>
  </si>
  <si>
    <t>No tenemos información</t>
  </si>
  <si>
    <t>El señor Ortiz va a poner un emprendimiento, requiere asesoría no repondió su celular  nuevamente se le dejó mensaje de identificación en su whatsapp.</t>
  </si>
  <si>
    <t>El señor Ortiz va a poner un emprendimiento, se le envió en su momento mensajes de whatsapp, ahora corta cuando lo llamamos al parecer no se encuentra interesado</t>
  </si>
  <si>
    <t>El señor Ortiz va a poner un emprendimiento, se le timbró y envió nuevamente un mensaje por whatsapp no responde</t>
  </si>
  <si>
    <t>Al Sr. Ortiz se le ha timbrado y dejado mensajes de seguimiento, ahora nos corta.</t>
  </si>
  <si>
    <t>Asociación Deportiva Los Inkas Golf Club</t>
  </si>
  <si>
    <t>Armando Reyes</t>
  </si>
  <si>
    <t>jefatura.logística@losinkasgolf.com</t>
  </si>
  <si>
    <t>Hotel Golf de los Inkas (casa andina)</t>
  </si>
  <si>
    <t>Se solicitó en recepción hablar con la persona encargada de lavandería, comentó que todo el tema de lavada se terceriza pero no sabe con que empresa.</t>
  </si>
  <si>
    <r>
      <t>En la visita al Club, el señor de la garita se comunicó por teléfono e informó que debían enviar el brochure, nos dio los teléfonos, correo y nombre del jefe de logística y del asistente. Almacen.logistica@losinkasgolf.com .</t>
    </r>
    <r>
      <rPr>
        <b/>
        <sz val="12"/>
        <color theme="1"/>
        <rFont val="Arial"/>
        <family val="2"/>
      </rPr>
      <t xml:space="preserve"> Anexo del asistente 274, nombre: Adan Gaspar</t>
    </r>
    <r>
      <rPr>
        <sz val="12"/>
        <color theme="1"/>
        <rFont val="Arial"/>
        <family val="2"/>
      </rPr>
      <t>. Se está enviando el correo de presentación. Cabe resaltar que teníamos un contacto que había cotizado antes: Andreina Rivera ni José Gutiérrez. Correo enviad</t>
    </r>
  </si>
  <si>
    <t>Se visitó el casino y se preguntó directamente por Natalia Navarro, jefe de logística, el vigilante nos derivó a las oficinas en Av. Bolivar 121 (a la espalda del casino), al llegar vi que las puertas son tipo clausuradas y con muchas cámaras, nos atendió el vigilante afuera, le pedí hablar con la señorita, me solicitó mi DNI, al poco rato salió y me dijo que se comunicó y que espere un momento. Salió Natalia, se mostró super amable, me presenté con catálogo en mano, le dije que tengo una empresa de equipos de lavandería industrial, es efameinsa, le comenté que le había enviado un correo la semana pasada y que podríamos asesorarla, también si es factible visitar su lavandería para ver técnicamente lo que podria necesitar. Me comentó que habían adquirido equipos hace aprox más de 2 meses (1 lavadora y secadora) aprox de de 34 Kg, marca electrolux. Le djé saber si tiene más proyectos de ampliación de lavandería o alguna otra máquina que tenga por renovar, representamos a las mejor marcas del mundo y también fabricamos, tenemos técnicos especializados y podrías darle servicio de mantenimiento garantizado. Me dijo que está bien, se queda con mi catálogo para revisarlo y que estaríamos comunicadas. Se despidió amablemente.</t>
  </si>
  <si>
    <t>Amadeo Berrocal</t>
  </si>
  <si>
    <t>Jefe de lavandería</t>
  </si>
  <si>
    <t>amadeoj.berrocal@hotelesestelar.com</t>
  </si>
  <si>
    <t>Hoteles Estelar Perú SAC</t>
  </si>
  <si>
    <t>https://www.estelarmiraflores.com/es/</t>
  </si>
  <si>
    <t>01 6307777 Anexo 5060 Celular de recepción del hotel:  955151882</t>
  </si>
  <si>
    <t>Me apersoné al hotel, me atendió el recepcionista, pregunté por la persona encargada de lavandería para conversar unos minutos cortos, me comunicó que estaba en reunión, solicité sus datos a insistencia, me dio su mail y teléfono con anexo directo. Le comenté de Efameinsa y Dejé el catálogo para que le haga llegar. Llamé al anexo sin éxito. Envío mail de presentación.</t>
  </si>
  <si>
    <t>01-3177770 Anexo 239</t>
  </si>
  <si>
    <t>CIERRE DE VENTA</t>
  </si>
  <si>
    <t>Sandra Lopez</t>
  </si>
  <si>
    <t>Encargada de lavandería</t>
  </si>
  <si>
    <t>sandra.lopez@accor.com</t>
  </si>
  <si>
    <t>Hotel Ibis Larco. Miraflores</t>
  </si>
  <si>
    <t>Hotel Ibis Reducto. Miraflores</t>
  </si>
  <si>
    <t>Giorgina Guzman</t>
  </si>
  <si>
    <t>giorgina.guzman@accor.com</t>
  </si>
  <si>
    <t>Hablé con la recepcionista, buscando a la persona encargada de lavandería, comentó que al parecer estaba ocupada que no contestaba, me presenté, me comentó que tercerizan el lavado que no se acuerda con que empresa, siguió insistiendo con el telefono pero no le contestatan y me dio el teléfono de la persona encargada para enviar mail. Se dejó catálogo</t>
  </si>
  <si>
    <t>La recepcionista envió mensaje al área para ver si podían bajar pero no recibía respuesta, me comentó que tercerizan el lavado también pero que no sabía el nombre de la empresa. Me brindó el mail de la encargada de lavandería. Se dejó catálogo</t>
  </si>
  <si>
    <t>Recepcionista</t>
  </si>
  <si>
    <t>Hotel San Agustín exclusive</t>
  </si>
  <si>
    <t>´(511) 319-0060</t>
  </si>
  <si>
    <t>https://www.sanagustinexclusive.com/es/</t>
  </si>
  <si>
    <t xml:space="preserve">Al llegar noté que había mucha seguridad alrededor, al parecer llegó una comitiva y había una persona de seguridad en recepción también. Conversé con la recepcionista, fue muy reservada, no quiso brindar la información. Pregunté por el ex jefe de mantenimiento (Santiago Salazar), me dijo que ya no trabaja que ahora hay varios encargados pero que no tienen correos, que la modalidad era dejar la información y ella lo traslada. Se dejé el catálogo. </t>
  </si>
  <si>
    <t>Al final se le dio a un precio ligeramente menor al de Serfac, pagó con tarjeta con $15 de comisión, llegó a oficina con su novia para hacer el pago.</t>
  </si>
  <si>
    <t>Razon Social</t>
  </si>
  <si>
    <t>Igv</t>
  </si>
  <si>
    <t>Total</t>
  </si>
  <si>
    <t>Producto</t>
  </si>
  <si>
    <t>Centro de Lavado</t>
  </si>
  <si>
    <t>Marca</t>
  </si>
  <si>
    <t>LG</t>
  </si>
  <si>
    <t>Modelo</t>
  </si>
  <si>
    <t>Giant C Max</t>
  </si>
  <si>
    <t>KG</t>
  </si>
  <si>
    <t>10 a 13 KG</t>
  </si>
  <si>
    <t>Quiñones Alvarez Angelo</t>
  </si>
  <si>
    <t>Sub Total</t>
  </si>
  <si>
    <t>fecha</t>
  </si>
  <si>
    <t>Eco Lara</t>
  </si>
  <si>
    <t>...............................................</t>
  </si>
  <si>
    <t>Canada</t>
  </si>
  <si>
    <t>Tienen Lavadoras Samsung no industriales, 1 se malogró y está interesada. Le dará el numero a su jefa</t>
  </si>
  <si>
    <t>Mary Saldaña</t>
  </si>
  <si>
    <t>Hablamos con la dueña, tiene lavadoras domésticas de 20 kilos, ingresan a las justas una colcha King, le comenté que nuestras lavadoras de 17 Kg son las ideales. Se le envió cotización y se le volvió a llamar para explicarle, comentó que va a conversarlo con su esposo apenas llegué. Le invité a visitarnos a la empresa para que las vea</t>
  </si>
  <si>
    <t>00027-25</t>
  </si>
  <si>
    <t>https://www.facebook.com/nomebusquesmeencontraste/</t>
  </si>
  <si>
    <t>Lavo Express</t>
  </si>
  <si>
    <t>.</t>
  </si>
  <si>
    <t>Me atendio la dueña y me dejo su numero personal, pregunté su tipo de lavadora, ella pregunto por el metodo de pago y dijo que despues se comunica con nosotros.</t>
  </si>
  <si>
    <t xml:space="preserve">Hablé con el dueño y me cuenta que tiene actualmente lavadora industrial Unimac. Revisé el tiktok y efectivamente, una Unimac de 24kg me pidió cotización de marcas de lavadoras industriales de 24kg, porque tiene otra lavandería </t>
  </si>
  <si>
    <t>00028-25</t>
  </si>
  <si>
    <t>Se movió la reunión para el miércoles 19 a las 8.30 am, su Novia Xiomy es la dueña del Hotel MUNAKUYKI</t>
  </si>
  <si>
    <t>drevilla@westinlima.com</t>
  </si>
  <si>
    <t>Asistí a una conferencia en el hotel Westin sobre nuevas tendencias en el mundo de los negocios, donde enfatizaron el tema de procesos logísticos con uso de IA. Al terminar me dirigí al counter y pregunté por Diefi Revilla, el jefe de lavandería, se comunicaron con el por Whatsapp y me hicieron esperar en el lobbie, a los 20 min aprox me dijeron que no podría recibirme y que me comunique a la central (me dieron la tarjeta) para conversar con el. Asimismo pregunté por su número de teléfono para comunicarme directamente, me comentaron que no dan el número. Le dejé el catálogo en físico para que se lo hagan llegar y se envió mail al mail correcto. Ya se corrigió en CRM</t>
  </si>
  <si>
    <t>Seguimos llamando al Sr. Para coordinar una nueva visita en su local o en todo caso una video llamada para que pueda ver rel equipo</t>
  </si>
  <si>
    <t>Montalvo Raul</t>
  </si>
  <si>
    <t>www.moncal.pe</t>
  </si>
  <si>
    <t>Dueña</t>
  </si>
  <si>
    <t>Me comuniqué con la sra. Indica que el presupuesto es un poco elevado, pero que si quiere renovar uno de sus equipos, pero por ahora está haciendo otros pagos. Nos comentó que como para quincena de diciembre podría tomar una decisión porque quería comprar la lavadora para los edredones pero ya está bajando la venta. dado que quiere renovar pero tiene restricción de presupuesto le ofrecí que podría separar el equipo e ir pagando hasta que lo cancele. Lo va a pensar y el 15 de diciembre nos comunicaremos con ella.</t>
  </si>
  <si>
    <t>Pospone compra</t>
  </si>
  <si>
    <t>Apurímac</t>
  </si>
  <si>
    <t>Abancay</t>
  </si>
  <si>
    <t>El sr tiene su amigo que le recomendó la marca OASIS, es una marca china,  le a costado 14500 dóalres. Su amigo tiene una lavandería en Lima y también importa equipos chinos de esa marca. Tuvo que comprarla por un tema de presupuesto. Se le ofreció también el servicio técnico y los repuestos.</t>
  </si>
  <si>
    <t>Xiomy, dueña del Hotel MUNAKUYKI llegó a pagar, dio un adelanto de 1500 dolares y mañana paga la diferencia (3161), debe de confirmar si la lavadora será apilable o no apilable. También se le cotizará la mesa y la calandria</t>
  </si>
  <si>
    <t>Jenny Valdiviezo</t>
  </si>
  <si>
    <t>Victor  Ureta</t>
  </si>
  <si>
    <t>lichiufb@gmail.com</t>
  </si>
  <si>
    <t>Seventh Heaven SRL</t>
  </si>
  <si>
    <t>2074-25</t>
  </si>
  <si>
    <t>Después de varias llamadas y de un par de visitas al showroom y de respuestas técnicas (lo que el cliente necesita), se llegó a concretar la venta de una calandria a gas. El sr. Puede comprar a futuro una lavadora y secadora industrial a partir de 24 kilos. Pagó un adelanto de 5000 dolares, estara haciendo un segundo depósito este mes y el ultimo deposito a fines de diciembre o enero. Se le facturará todo este año</t>
  </si>
  <si>
    <t>Valor Cotización + IGV</t>
  </si>
  <si>
    <t>2063-25</t>
  </si>
  <si>
    <t>G14.25</t>
  </si>
  <si>
    <t>1450 x 270 mm</t>
  </si>
  <si>
    <t>GMP</t>
  </si>
  <si>
    <t>Seventh Heaven SCRL</t>
  </si>
  <si>
    <t>Rodillo de planchado industrial automatico</t>
  </si>
  <si>
    <t>Corporacion Munakuyki SAC</t>
  </si>
  <si>
    <t>Lavadora centrifuga semi industrial</t>
  </si>
  <si>
    <t>Titan Max</t>
  </si>
  <si>
    <t>17 KG</t>
  </si>
  <si>
    <t>Radisson Red Hotel</t>
  </si>
  <si>
    <t>Jossety Castillo</t>
  </si>
  <si>
    <t>Encargada de Housekeeping</t>
  </si>
  <si>
    <t>housekeeping@radissonred.com.pe</t>
  </si>
  <si>
    <t>Lavandería Moncal</t>
  </si>
  <si>
    <t>es el 3er envió de mensaje a través de Linkedin, esta vez ofreciendo nuestro servicios de mantenimiento preventivo y stock inmediato de piezas. Recientemente han adquirido maquinaria (40 equipos de lavandería). Al parecer, por la fotos se trata de una importación directa. En el filtro nos encontramos que ellos también ofrecen el servicio de mantenimiento preventivo y servicio técnico</t>
  </si>
  <si>
    <t>San Martín Apart Hotel</t>
  </si>
  <si>
    <t>La señora de recepcionista indica que el hotel terceriza el lavado de toda la vida. Igualmente dejé mi tarjeta y le expliqué si podría entregársela a la persona encargada, por si necesitaran en futuros proyectos</t>
  </si>
  <si>
    <t>Hotel Howard Johnson by Wyndham</t>
  </si>
  <si>
    <t>La recepcionista fue muy amable, me comentó que tercerizan la lavandería, ahí mismo en miraflores pero no recuerda el nombre del tercero, le comenté sobre los equipos, ideal si tuvieran algún proyecto propio de lavandería para que puedan ahorrar costos, le dejé el catálogo también para que le hagan llegar a la empresa tercera.</t>
  </si>
  <si>
    <t>The Pullman Lima</t>
  </si>
  <si>
    <t>la señorita indica que tercerizan el lavado con Lavaquick, igualmente le dejé el catálogo para algún proyecto, me comentó que se lo iba a dejar a la persona encargada en el momento.</t>
  </si>
  <si>
    <t>gerencia@lavaquick.com</t>
  </si>
  <si>
    <t xml:space="preserve">Janet </t>
  </si>
  <si>
    <t>Secretaria</t>
  </si>
  <si>
    <t>Lavaquick Express SA</t>
  </si>
  <si>
    <t>Suquillo</t>
  </si>
  <si>
    <t>6100900 anexo 221</t>
  </si>
  <si>
    <t>logistica@miraflorescolonhotel.com</t>
  </si>
  <si>
    <t>Miraflores Colon Hotel</t>
  </si>
  <si>
    <t>La recepcionista me atendió, si cuentan con lavandería propia, es un hotel antiguo que queda en una esquina, relativamente grande, me indicó que la encargada no estaba pero que le envíe correo para una visita a la lavandería y poder asesorarlos, se le dejó catálogo y se le indicó que le entregue a Elena que le estaré escribiendo y llamando hoy mismo para que nos de una cita para visita de su lavandería. Correo enviado y llamada realizada sin exito.</t>
  </si>
  <si>
    <t>Lavandería Limpio</t>
  </si>
  <si>
    <t>Katty Felipe</t>
  </si>
  <si>
    <t>Es un espacio pequeño pero céntrico, bien ubicado, traté de ver por dentro y pude ver que tenían bolsas de ropa ya listas para entrega, salió la srta que atiende de nombre Betsabé, me comentó que ahí no lavan, ellos tienen una planta en magdalena, ese lugar solo recopila las prendas, las envía a planta y luego las envíen de regreso ya lavadas, no sabe que marcas de lavadoras cuentan. me dio el teléfono de la dueña para poder comunicarme con ella. La llamé sin exito, volvemos a intentar nuevamente y se envía mensaje de Whatsapp</t>
  </si>
  <si>
    <t>Carlos Ortiz</t>
  </si>
  <si>
    <t xml:space="preserve">Hablé con Carlos, el encargado de compras, preguntó por la cotización anterior, le comenté todas las máquinas que habían cotizado, estaba dentro del requerimiento, asimismo sobre la visita que hicimos el 2022. Le comenté que había hablado con su jefa Ruth Barbarena y me comentó del proyecto. La idea es que ahora en diciembre compre un equipo, le comenté también que dependiendo del monto de compra si queda alguna diferencia menor pordemos ver la posibilidad de darles facilidades de pago. Me comentó que mañana deciden el presupuesto de compra de al menos 1 equipo, igualmente como es un proyecto que se va a ir dando de a pocos con varias adquisiciones, es importante volver a conectar con ellos y convenimos en visitarlos nuevamente, mañana me confirma la fecha de visita </t>
  </si>
  <si>
    <t>Pertenece al grupo Choice hotels, es un hotel boutique, me recibió el recepcionista, comentó que tercerizan el lavado, igualmente solicité hablar con la persona de houskeeping, me comentó que podría darme el correo, no hay teléfono directo,le solicité el nombre e igualmente le dejé el catálogo por si tenían pensado tener pronto un proyecto de lavandería, indicó que con todo gusto se lo entregaría a la persona encargada. Se envió correo.</t>
  </si>
  <si>
    <t>Jorge nos comentó que el proyecto se estaba llevando a cabo y que en 1 mes aprox van a ver el tema de los proveedores del proyecto Ritz. El no está a cargo directamente pero si me estará informando. Esta semana lo volvemos a contactar nuevamente. La persona que está a cargo del Ritz es Federico Pastor y del Marriot es Luis Terres</t>
  </si>
  <si>
    <t xml:space="preserve">Elena Armas y Mario escurra Acevedo </t>
  </si>
  <si>
    <t>Jefe de logistica y gerente de operaciones</t>
  </si>
  <si>
    <t>Conversé con la sra. María y me comentó que si tuvo reiunión con su jefe: Juan Quirós, sobre los proyectos que habíamos conversado antes y nos dio la información que actualmente tienen un proyecto en Iquitos que debe salir para enero. Pero además cuentan con otros 6 proyectos adicionales. Me encargó que le envié todo el proyecto completo de templo los Olivos llave en mano como referencia para poder cotizar los proyectos que vienen. asimismo le comenté sobre el tema de mantenimiento y servicio ténico de templo los olivos, me comentó que le envíe el último mail que se le envió a Templo los olivos ofreciendole el mantenimiento porque tiene reunión semanal. Comentó también que este caso sería una compra de bienes directo.</t>
  </si>
  <si>
    <t>Marroquín Carlos</t>
  </si>
  <si>
    <t>Jefe de compras</t>
  </si>
  <si>
    <t>cmarroquin@chinalco.com.pe</t>
  </si>
  <si>
    <t>Minera Chinalco Perú SA</t>
  </si>
  <si>
    <t>Me refirieron este contacto en Chinalco, se envió mail, carta de presentación y adjuntando el catálogo.</t>
  </si>
  <si>
    <t>Hablé con la administradora del local visitado en Surquillo, me dio el correo de la secretaria de gerencia ya que no dan contactos. Los nombres de los dueños son:; CARRION DEL SOLAR ANDRES FELIPE/DRAGO MATURO MIGUEL MARIO, se envió correo. Actualmente ellos compran máquinas en USA, usadas.</t>
  </si>
  <si>
    <t>Palomino Janny</t>
  </si>
  <si>
    <t>Adminitradora</t>
  </si>
  <si>
    <t>ventas@aquaruf.com.pe</t>
  </si>
  <si>
    <t xml:space="preserve">Conversamos con Janny, me comentó que era la administradora pero yo creo que es la dueña, Tienen una planta en Chorrillos, actualmente tienen lavadoras chicas de marca whirpool semi industrial, pero también tienen una industrial marca MILNOR de 30 KG ya como 15 años y falla mucho, le comenté que es hora de cambiarla y me dijo que para repararla tiene inconvenientes, le dije que nosotros nos aseguramos de tener los repuestos en stock para solucionar los problemas de nuestros clientes de forma inmediata. Le comenté sobre Unimac, lider del mercado. Quedé en enviar cotización de lavadoras de 13, 17 y una Unimac de 30 KG aprox </t>
  </si>
  <si>
    <t>Lavandería AquaSec</t>
  </si>
  <si>
    <t>Se visitó el local de miraflores y la señora nos indicó que vayamos a la oficina central en Caminos del inka, chacarilla, ahí cuentan con una planta. Desconoce las máquinas que hay pero me preguntó si tenemos calandrias, le mostré el catálogo y le expliqué sobre el tema, le dejé el catálogo para que pueda darle a la persona encargada. Igualmente queda pendiente la visita a la planta, se dejó el catálogo</t>
  </si>
  <si>
    <t>Hilton Garden Inn</t>
  </si>
  <si>
    <t>2089400/2089401</t>
  </si>
  <si>
    <t>recepcion.hgisurco@den-group.com</t>
  </si>
  <si>
    <t>00029-25</t>
  </si>
  <si>
    <t>Meza Martin</t>
  </si>
  <si>
    <t>martin.meza@melia.com</t>
  </si>
  <si>
    <t>Me acerqué al lobbie del hotel ubicado en el piso 4 del edificio, me atendió el recepcionista, me indicó que me comunique con el correo del hotel para que ellos lo puedan derivar, se dejó el catálogo y se ha enviado correo</t>
  </si>
  <si>
    <t>Me acerqué al lobbie, es un hotel donde la entrada se encuentra por el restaurante, en el semisotano. El recepcionista me comentó que al parecer tercerizan el lavado pero me dio el correo del jefe de compras para poder ofrecerle los servicios, igualmente se dejó el catálogo para ser entregado, se ha enviado mail al jefe de compras</t>
  </si>
  <si>
    <t>Casa Andina</t>
  </si>
  <si>
    <t>Fui a 2 distrintos casa Andinas casi por la misma cuadra. Av. La Paz, primero en el lobbie me comentaron que no conocían a la persona pero que deje mi catálogo. Cuando fui a la otra sede me dieron la dirección de Diez Canseco, donde quedaban las oficinas. Fui, hablé con el vigilante en espera de que me contacte con el de logistica que no estaba, esperé y cuando se comunicó dijo que deje mis datos para que me contacten para una cita, pero el de almacén no lo ve, sino es corporativo (ya había dejado el catálogo). Aquí indiqué que le entreguen el catálogo a la jefa de lavandería que ingresaba por esa puerta.</t>
  </si>
  <si>
    <t>Revisé el historial del prospecto, se hizo un informe de visita en ese momento (diciembre 2024) Llamé por teléfono a Martín, jefe de compras, me dijo que el proyecto de lavandería había quedado en stand by hasta marzo del próximo año. Debemos tener contacto en enero. Ver cotización Efameinsa 498-25</t>
  </si>
  <si>
    <t>El Golf Hotel Boutique</t>
  </si>
  <si>
    <t>San Isidro</t>
  </si>
  <si>
    <t>Corporación Hotelera Metor S.A - Hotel Meliá</t>
  </si>
  <si>
    <t>Fiorella cano</t>
  </si>
  <si>
    <t>Asistente de mantenimiento</t>
  </si>
  <si>
    <t>4119000 anexo 2571</t>
  </si>
  <si>
    <t>0031-25</t>
  </si>
  <si>
    <t>0022-25</t>
  </si>
  <si>
    <t>0021-25</t>
  </si>
  <si>
    <t>Gloria Serquen y Luis Gonzalo Quintana Castro (jefe)</t>
  </si>
  <si>
    <t>Encargada de Saneamiento y Jefe de área</t>
  </si>
  <si>
    <t>gserquen@aquanqa,pe      gquintana@aquanca.pe</t>
  </si>
  <si>
    <t>Hablé con la recepcionista, me comentó que se llevan la ropa para lavar, pero no tiene claridad del tema. Me dio el número para comunicarme, dejé el catálogo para que le entregue a la housekeeping, Al hacer la llamada me comentan que tercerizan la lavandería, no la manejan directamente. No sabe el nombre del tercero.</t>
  </si>
  <si>
    <t>De acuerdo a lo conversado con la sra María, envié el correo dándole algunos detalles del proyecto Templo los Olivos y que nos ponga en contacto con los ingenieros, asi como se hizo en Cosapi. La llamé sin éxito pero le dejé mensaje por Whatsapp indicandole que le había enviado el mail y le comenté lo mismo. Que nos ponga en contacto con los ingenieros para ir avanzando el proyecto de Iquitos, También le comenté sore los mantenimientos, podemos hacerle la visita técnica gratuita a templo los olivos para evaluar sus necesidades.</t>
  </si>
  <si>
    <t>Galicia Marlene</t>
  </si>
  <si>
    <t>Ricardo ya no se hace cargo del proyecto, me derivó con Gloria, estuve en coordinaciones con ella y he realizado una video llamada ayer mostrándole las máquinas. Están muy interesados, desean concretar la compra lo más pronto posible. Quiere tener una video llamada con los ingenieros encargados, le dije que con todo gusto. El día de hoy me comenta que están full pero mañana o viernes hacemos la video llamada. Otro dato importante, ha sido que su jefe Luis Gonzalo Quintana Castro estuvo cotizando. empresas Cimelco con la marca Imesa (18 Kg), Serfac con LG (13 KG) , también comentó que con Efameinsa pero no lo ubicamos con la razón social Aqu Anca. Por otro lado tomamos las medidas de su local. 2.84 x 2.54 metros. la puerta de netrada mide 75 cm, sacando el marco llega a 90 cm</t>
  </si>
  <si>
    <t>Me acerqué al hotel y me atendió el recepcionista, me preguntó si éramos nuevos en el sector, le dije que no, ya casi 30 años, le comenté sobre los equipos, me dijo, Justo! Si claro, ve por la rampa y pregunta por Fiorella Cano. Sigue trabajando ahí. Ya en la pureta de ingreso del personal el de seguridad se comunicó con ella, pero estaba entrando en reunión, me dio su correo (que ya lo teníamos) igualmente le dejé el catálogo para que se lo entregue y quedé en comunicarme para poder sacar una cita con ella. Según investigación por internet, en Julio 2026 abrirán un hotel en el centro de Lima con 60 habitaciones</t>
  </si>
  <si>
    <t>Valladolid Gustavo</t>
  </si>
  <si>
    <t>Director de mantenimiento</t>
  </si>
  <si>
    <t>Lo encontré a través de Linkedin, lo contacté y le envié mensaje de presentación, así como solicitar una reunión para revisión de poryectos actuales y futuros con los cuales podríamos trabajar en colaboración conjunta.</t>
  </si>
  <si>
    <t>adelcampo@losportales.com.pe</t>
  </si>
  <si>
    <t>Country Club Hotel - Los Portales</t>
  </si>
  <si>
    <t>Del Campo Aldo</t>
  </si>
  <si>
    <t>De visita por el hotel, la recepcionista habló con el ama de llaves Beatriz león. Me dieron un número para comunicarme. Llamé y pedí que me derivaran con Aldo del campo (gerente de operaciones), El anexo no contestó pero me dieron el correo. Dejé el catálogo para que le entreguen. De regreso en oficina revisé el file y llamé a Mabel Abregu, le comenté que estuve de visita hoy, aproveché para comentarle las cotizaciones pendientes, estaba en reunión pero me comentó que lo hablemos por whatsapp. Le dejé enviado el mensaje.</t>
  </si>
  <si>
    <t>Soria Omar</t>
  </si>
  <si>
    <t>osoria@losdelfineshotel.com.pe</t>
  </si>
  <si>
    <t>Corporación El Golf S.A - Los Delfines Hotel</t>
  </si>
  <si>
    <t>El hotel estaba muy lleno, parecía una comitiva deportiva en recepción, esperé hasta que la recepcionista me explicó que debería ir al fondo a unos teléfonos y comunicarme con el área de compras. En ese momento no había nadie pero esperé un buen tiempo y volví a comunicarme 2 veces más. Finalmente me atendió Omar y me comentó que estaba en reunión pero que le envíe por correo carta de presentación, los equipos con los que contaba, marcas, principales clientes, contactos y teléfonos. Que ahora no podía atenderme pero que le envíe la información. Me lo dijo muy rápido y me dio su correo.</t>
  </si>
  <si>
    <t>Diaz Chanaisa</t>
  </si>
  <si>
    <t>Jefe de Compras y Logistica</t>
  </si>
  <si>
    <t>Me comuniqué al teléfono de la tarjeta que me entregaron y pedí que me comuniquen con el área de logística o compras y me dieron el correo de Chanaisa porque no contestaba el anexo. Se le enviara un correo</t>
  </si>
  <si>
    <t>cdiaz@casa-andina.com</t>
  </si>
  <si>
    <t>Meliá Innside</t>
  </si>
  <si>
    <t>Trujillo</t>
  </si>
  <si>
    <t>Clínica San José</t>
  </si>
  <si>
    <t>Código</t>
  </si>
  <si>
    <t>Asesor</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</si>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</sst>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d/mm/yyyy;@"/>
    <numFmt numFmtId="165" formatCode="d/mm/yy"/>
    <numFmt numFmtId="166" formatCode="_-* #,##0_-;\-* #,##0_-;_-* &quot;-&quot;??_-;_-@_-"/>
  </numFmts>
  <fonts count="12" x14ac:knownFonts="1">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sz val="12"/>
      <color theme="1"/>
      <name val="Arial"/>
      <family val="2"/>
    </font>
    <font>
      <sz val="12"/>
      <name val="Arial"/>
      <family val="2"/>
    </font>
    <font>
      <u/>
      <sz val="12"/>
      <color theme="10"/>
      <name val="Calibri"/>
      <family val="2"/>
      <scheme val="minor"/>
    </font>
    <font>
      <u/>
      <sz val="12"/>
      <name val="Arial"/>
      <family val="2"/>
    </font>
    <font>
      <sz val="14"/>
      <color theme="1"/>
      <name val="Calibri"/>
      <family val="2"/>
      <scheme val="minor"/>
    </font>
    <font>
      <b/>
      <sz val="12"/>
      <color theme="1"/>
      <name val="Arial"/>
      <family val="2"/>
    </font>
    <font>
      <b/>
      <sz val="12"/>
      <color theme="4" tint="-0.249977111117893"/>
      <name val="Calibri"/>
      <family val="2"/>
      <scheme val="minor"/>
    </font>
    <font>
      <sz val="11"/>
      <color rgb="FF434343"/>
      <name val="Arial"/>
      <family val="2"/>
    </font>
  </fonts>
  <fills count="10">
    <fill>
      <patternFill patternType="none"/>
    </fill>
    <fill>
      <patternFill patternType="gray125"/>
    </fill>
    <fill>
      <patternFill patternType="solid">
        <fgColor theme="6"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CCFFFF"/>
        <bgColor indexed="64"/>
      </patternFill>
    </fill>
    <fill>
      <patternFill patternType="solid">
        <fgColor rgb="FF92D050"/>
        <bgColor indexed="64"/>
      </patternFill>
    </fill>
    <fill>
      <patternFill patternType="solid">
        <fgColor theme="0"/>
        <bgColor indexed="64"/>
      </patternFill>
    </fill>
    <fill>
      <patternFill patternType="solid">
        <fgColor rgb="FFFFFFFF"/>
        <bgColor indexed="64"/>
      </patternFill>
    </fill>
  </fills>
  <borders count="6">
    <border>
      <left/>
      <right/>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indexed="64"/>
      </left>
      <right style="thin">
        <color indexed="64"/>
      </right>
      <top/>
      <bottom/>
      <diagonal/>
    </border>
    <border>
      <left/>
      <right style="thin">
        <color indexed="64"/>
      </right>
      <top/>
      <bottom/>
      <diagonal/>
    </border>
    <border>
      <left style="thin">
        <color theme="3" tint="0.249977111117893"/>
      </left>
      <right style="thin">
        <color theme="3" tint="0.249977111117893"/>
      </right>
      <top style="thin">
        <color theme="3" tint="0.249977111117893"/>
      </top>
      <bottom/>
      <diagonal/>
    </border>
    <border>
      <left style="medium">
        <color rgb="FFCCCCCC"/>
      </left>
      <right style="medium">
        <color rgb="FFFFFFFF"/>
      </right>
      <top style="medium">
        <color rgb="FFCCCCCC"/>
      </top>
      <bottom style="medium">
        <color rgb="FFF6F8F9"/>
      </bottom>
      <diagonal/>
    </border>
  </borders>
  <cellStyleXfs count="4">
    <xf numFmtId="0" fontId="0" fillId="0" borderId="0"/>
    <xf numFmtId="43" fontId="1"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85">
    <xf numFmtId="0" fontId="0" fillId="0" borderId="0" xfId="0"/>
    <xf numFmtId="0" fontId="4" fillId="0" borderId="0" xfId="0" applyFont="1" applyAlignment="1">
      <alignment vertical="top"/>
    </xf>
    <xf numFmtId="0" fontId="1" fillId="0" borderId="0" xfId="0" applyFont="1" applyAlignment="1">
      <alignment vertical="top"/>
    </xf>
    <xf numFmtId="0" fontId="2" fillId="0" borderId="0" xfId="0" applyFont="1"/>
    <xf numFmtId="0" fontId="0" fillId="3" borderId="0" xfId="0" applyFill="1"/>
    <xf numFmtId="0" fontId="0" fillId="0" borderId="0" xfId="0" pivotButton="1"/>
    <xf numFmtId="0" fontId="0" fillId="0" borderId="0" xfId="0" applyAlignment="1">
      <alignment horizontal="left"/>
    </xf>
    <xf numFmtId="0" fontId="0" fillId="0" borderId="0" xfId="0" applyAlignment="1">
      <alignment wrapText="1"/>
    </xf>
    <xf numFmtId="14" fontId="0" fillId="0" borderId="0" xfId="0" applyNumberFormat="1" applyAlignment="1">
      <alignment horizontal="left" wrapText="1"/>
    </xf>
    <xf numFmtId="0" fontId="8" fillId="0" borderId="0" xfId="0" applyFont="1" applyAlignment="1">
      <alignment horizontal="left"/>
    </xf>
    <xf numFmtId="0" fontId="8" fillId="0" borderId="0" xfId="0" applyFont="1" applyAlignment="1">
      <alignment horizontal="left" wrapText="1"/>
    </xf>
    <xf numFmtId="0" fontId="8" fillId="0" borderId="0" xfId="0" applyFont="1" applyAlignment="1">
      <alignment wrapText="1"/>
    </xf>
    <xf numFmtId="14" fontId="8" fillId="0" borderId="0" xfId="0" applyNumberFormat="1" applyFont="1" applyAlignment="1">
      <alignment horizontal="left"/>
    </xf>
    <xf numFmtId="0" fontId="8" fillId="0" borderId="0" xfId="0" applyFont="1"/>
    <xf numFmtId="14" fontId="8" fillId="0" borderId="0" xfId="0" applyNumberFormat="1" applyFont="1" applyAlignment="1">
      <alignment horizontal="left" wrapText="1"/>
    </xf>
    <xf numFmtId="17" fontId="0" fillId="0" borderId="0" xfId="0" applyNumberFormat="1"/>
    <xf numFmtId="14" fontId="0" fillId="0" borderId="0" xfId="0" applyNumberFormat="1"/>
    <xf numFmtId="166" fontId="0" fillId="0" borderId="0" xfId="1" applyNumberFormat="1" applyFont="1"/>
    <xf numFmtId="0" fontId="10" fillId="6" borderId="0" xfId="0" applyFont="1" applyFill="1"/>
    <xf numFmtId="14" fontId="0" fillId="0" borderId="0" xfId="0" applyNumberFormat="1" applyAlignment="1">
      <alignment horizontal="left"/>
    </xf>
    <xf numFmtId="0" fontId="0" fillId="0" borderId="0" xfId="0" applyAlignment="1">
      <alignment horizontal="left" indent="1"/>
    </xf>
    <xf numFmtId="14" fontId="0" fillId="0" borderId="1" xfId="0" applyNumberFormat="1" applyBorder="1" applyAlignment="1">
      <alignment vertical="top"/>
    </xf>
    <xf numFmtId="0" fontId="0" fillId="0" borderId="1" xfId="0" applyBorder="1" applyAlignment="1">
      <alignment vertical="top"/>
    </xf>
    <xf numFmtId="14" fontId="5" fillId="0" borderId="1" xfId="0" applyNumberFormat="1" applyFont="1" applyBorder="1" applyAlignment="1">
      <alignment horizontal="left" vertical="top" wrapText="1"/>
    </xf>
    <xf numFmtId="16" fontId="0" fillId="0" borderId="1" xfId="0" applyNumberFormat="1" applyBorder="1" applyAlignment="1">
      <alignment vertical="top"/>
    </xf>
    <xf numFmtId="0" fontId="0" fillId="7" borderId="0" xfId="0" applyFill="1"/>
    <xf numFmtId="0" fontId="2" fillId="0" borderId="2" xfId="0" applyFont="1" applyBorder="1" applyAlignment="1">
      <alignment wrapText="1"/>
    </xf>
    <xf numFmtId="0" fontId="6" fillId="0" borderId="1" xfId="2" applyFont="1" applyFill="1" applyBorder="1" applyAlignment="1">
      <alignment horizontal="center" vertical="top" wrapText="1"/>
    </xf>
    <xf numFmtId="0" fontId="4" fillId="0" borderId="1" xfId="0" applyFont="1" applyBorder="1" applyAlignment="1">
      <alignment vertical="top"/>
    </xf>
    <xf numFmtId="0" fontId="1" fillId="0" borderId="1" xfId="0" applyFont="1" applyBorder="1" applyAlignment="1">
      <alignment vertical="top"/>
    </xf>
    <xf numFmtId="0" fontId="0" fillId="0" borderId="1" xfId="0" applyBorder="1" applyAlignment="1">
      <alignment vertical="top" wrapText="1"/>
    </xf>
    <xf numFmtId="1" fontId="0" fillId="0" borderId="1" xfId="1" applyNumberFormat="1" applyFont="1" applyBorder="1" applyAlignment="1">
      <alignment vertical="top"/>
    </xf>
    <xf numFmtId="0" fontId="2" fillId="0" borderId="3" xfId="0" applyFont="1" applyBorder="1"/>
    <xf numFmtId="0" fontId="2" fillId="0" borderId="2" xfId="0" applyFont="1" applyBorder="1"/>
    <xf numFmtId="0" fontId="2" fillId="2" borderId="2" xfId="0" applyFont="1" applyFill="1" applyBorder="1"/>
    <xf numFmtId="0" fontId="4" fillId="0" borderId="1" xfId="0" applyFont="1" applyBorder="1" applyAlignment="1">
      <alignment horizontal="center" vertical="top"/>
    </xf>
    <xf numFmtId="14" fontId="5"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1" fontId="4" fillId="0" borderId="1" xfId="0" applyNumberFormat="1" applyFont="1" applyBorder="1" applyAlignment="1">
      <alignment horizontal="center" vertical="top" wrapText="1"/>
    </xf>
    <xf numFmtId="1" fontId="4" fillId="0" borderId="1" xfId="1" applyNumberFormat="1"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center" vertical="top"/>
    </xf>
    <xf numFmtId="14" fontId="5" fillId="0" borderId="1" xfId="0" applyNumberFormat="1" applyFont="1" applyBorder="1" applyAlignment="1">
      <alignment horizontal="center" vertical="top"/>
    </xf>
    <xf numFmtId="0" fontId="5" fillId="0" borderId="1" xfId="0" applyFont="1" applyBorder="1" applyAlignment="1">
      <alignment horizontal="left" vertical="top" wrapText="1"/>
    </xf>
    <xf numFmtId="0" fontId="5" fillId="3" borderId="1" xfId="0" applyFont="1" applyFill="1" applyBorder="1" applyAlignment="1">
      <alignment horizontal="center" vertical="top" wrapText="1"/>
    </xf>
    <xf numFmtId="0" fontId="6" fillId="3" borderId="1" xfId="2" applyFont="1" applyFill="1" applyBorder="1" applyAlignment="1">
      <alignment horizontal="center" vertical="top" wrapText="1"/>
    </xf>
    <xf numFmtId="0" fontId="4" fillId="0" borderId="1" xfId="0" applyFont="1" applyBorder="1" applyAlignment="1">
      <alignment horizontal="center" vertical="center" wrapText="1"/>
    </xf>
    <xf numFmtId="0" fontId="1" fillId="0" borderId="1" xfId="0" applyFont="1" applyBorder="1"/>
    <xf numFmtId="0" fontId="5"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6" fillId="4" borderId="1" xfId="2" applyFont="1" applyFill="1" applyBorder="1" applyAlignment="1">
      <alignment horizontal="center" vertical="top" wrapText="1"/>
    </xf>
    <xf numFmtId="0" fontId="4" fillId="4" borderId="1" xfId="0" applyFont="1" applyFill="1" applyBorder="1" applyAlignment="1">
      <alignment horizontal="center" vertical="top"/>
    </xf>
    <xf numFmtId="0" fontId="7" fillId="0" borderId="1" xfId="2" applyFont="1" applyFill="1" applyBorder="1" applyAlignment="1">
      <alignment horizontal="center" vertical="top" wrapText="1"/>
    </xf>
    <xf numFmtId="164" fontId="4" fillId="0" borderId="1" xfId="0" applyNumberFormat="1" applyFont="1" applyBorder="1" applyAlignment="1">
      <alignment horizontal="center" vertical="top" wrapText="1"/>
    </xf>
    <xf numFmtId="165" fontId="5" fillId="0" borderId="1" xfId="0" applyNumberFormat="1" applyFont="1" applyBorder="1" applyAlignment="1">
      <alignment horizontal="center" vertical="top" wrapText="1"/>
    </xf>
    <xf numFmtId="0" fontId="3" fillId="0" borderId="1" xfId="2" applyBorder="1"/>
    <xf numFmtId="165" fontId="5" fillId="0" borderId="1" xfId="0" applyNumberFormat="1" applyFont="1" applyBorder="1" applyAlignment="1">
      <alignment horizontal="center" vertical="top"/>
    </xf>
    <xf numFmtId="14" fontId="5" fillId="5" borderId="1" xfId="0" applyNumberFormat="1" applyFont="1" applyFill="1" applyBorder="1" applyAlignment="1">
      <alignment horizontal="center" vertical="top" wrapText="1"/>
    </xf>
    <xf numFmtId="0" fontId="3" fillId="0" borderId="1" xfId="2" applyFill="1" applyBorder="1" applyAlignment="1">
      <alignment horizontal="center" vertical="top" wrapText="1"/>
    </xf>
    <xf numFmtId="0" fontId="4" fillId="5" borderId="1" xfId="0" applyFont="1" applyFill="1" applyBorder="1" applyAlignment="1">
      <alignment horizontal="center" vertical="top" wrapText="1"/>
    </xf>
    <xf numFmtId="0" fontId="3" fillId="0" borderId="1" xfId="2" applyBorder="1" applyAlignment="1">
      <alignment horizontal="center" vertical="top" wrapText="1"/>
    </xf>
    <xf numFmtId="43" fontId="5" fillId="0" borderId="1" xfId="1" applyFont="1" applyBorder="1" applyAlignment="1">
      <alignment horizontal="left" vertical="top" wrapText="1"/>
    </xf>
    <xf numFmtId="0" fontId="4" fillId="8" borderId="1" xfId="0" applyFont="1" applyFill="1" applyBorder="1" applyAlignment="1">
      <alignment horizontal="center" vertical="top" wrapText="1"/>
    </xf>
    <xf numFmtId="0" fontId="4" fillId="0" borderId="4" xfId="0" applyFont="1" applyBorder="1" applyAlignment="1">
      <alignment horizontal="center" vertical="top"/>
    </xf>
    <xf numFmtId="165" fontId="5" fillId="0" borderId="4" xfId="0" applyNumberFormat="1" applyFont="1" applyBorder="1" applyAlignment="1">
      <alignment horizontal="center" vertical="top" wrapText="1"/>
    </xf>
    <xf numFmtId="0" fontId="4" fillId="0" borderId="4" xfId="0" applyFont="1" applyBorder="1" applyAlignment="1">
      <alignment horizontal="center" vertical="top" wrapText="1"/>
    </xf>
    <xf numFmtId="0" fontId="5" fillId="0" borderId="4" xfId="0" applyFont="1" applyBorder="1" applyAlignment="1">
      <alignment horizontal="center" vertical="top" wrapText="1"/>
    </xf>
    <xf numFmtId="0" fontId="6" fillId="0" borderId="4" xfId="2" applyFont="1" applyFill="1" applyBorder="1" applyAlignment="1">
      <alignment horizontal="center" vertical="top" wrapText="1"/>
    </xf>
    <xf numFmtId="0" fontId="0" fillId="0" borderId="4" xfId="0" applyBorder="1" applyAlignment="1">
      <alignment vertical="top"/>
    </xf>
    <xf numFmtId="0" fontId="5" fillId="0" borderId="4" xfId="0" applyFont="1" applyBorder="1" applyAlignment="1">
      <alignment horizontal="center" vertical="top"/>
    </xf>
    <xf numFmtId="165" fontId="5" fillId="0" borderId="4" xfId="0" applyNumberFormat="1" applyFont="1" applyBorder="1" applyAlignment="1">
      <alignment horizontal="center" vertical="top"/>
    </xf>
    <xf numFmtId="0" fontId="5" fillId="0" borderId="4" xfId="0" applyFont="1" applyBorder="1" applyAlignment="1">
      <alignment horizontal="left" vertical="top" wrapText="1"/>
    </xf>
    <xf numFmtId="0" fontId="3" fillId="0" borderId="4" xfId="2" applyFill="1" applyBorder="1" applyAlignment="1">
      <alignment horizontal="center" vertical="top" wrapText="1"/>
    </xf>
    <xf numFmtId="0" fontId="11" fillId="9" borderId="5" xfId="0" applyFont="1" applyFill="1" applyBorder="1" applyAlignment="1">
      <alignment vertical="center" wrapText="1"/>
    </xf>
    <xf numFmtId="1" fontId="5" fillId="0" borderId="4" xfId="1" applyNumberFormat="1" applyFont="1" applyBorder="1" applyAlignment="1">
      <alignment horizontal="center" vertical="top" wrapText="1"/>
    </xf>
    <xf numFmtId="14" fontId="4" fillId="0" borderId="4" xfId="0" applyNumberFormat="1" applyFont="1" applyBorder="1" applyAlignment="1">
      <alignment horizontal="center" vertical="top" wrapText="1"/>
    </xf>
    <xf numFmtId="14" fontId="0" fillId="0" borderId="4" xfId="0" applyNumberFormat="1" applyBorder="1" applyAlignment="1">
      <alignment vertical="top"/>
    </xf>
    <xf numFmtId="14" fontId="5" fillId="0" borderId="4" xfId="0" applyNumberFormat="1" applyFont="1" applyBorder="1" applyAlignment="1">
      <alignment horizontal="center" vertical="top"/>
    </xf>
    <xf numFmtId="1" fontId="5" fillId="0" borderId="4" xfId="0" applyNumberFormat="1" applyFont="1" applyBorder="1" applyAlignment="1">
      <alignment horizontal="center" vertical="top" wrapText="1"/>
    </xf>
    <xf numFmtId="0" fontId="0" fillId="0" borderId="4" xfId="2" applyFont="1" applyFill="1" applyBorder="1" applyAlignment="1">
      <alignment vertical="top"/>
    </xf>
    <xf numFmtId="14" fontId="5" fillId="0" borderId="4" xfId="0" applyNumberFormat="1" applyFont="1" applyBorder="1" applyAlignment="1">
      <alignment horizontal="left" vertical="top" wrapText="1"/>
    </xf>
    <xf numFmtId="16" fontId="0" fillId="0" borderId="4" xfId="0" applyNumberFormat="1" applyBorder="1" applyAlignment="1">
      <alignment vertical="top"/>
    </xf>
    <xf numFmtId="17" fontId="0" fillId="0" borderId="4" xfId="0" applyNumberFormat="1" applyBorder="1" applyAlignment="1">
      <alignment vertical="top"/>
    </xf>
    <xf numFmtId="0" fontId="10" fillId="6" borderId="0" xfId="0" applyFont="1" applyFill="1" applyAlignment="1">
      <alignment horizontal="center"/>
    </xf>
    <xf numFmtId="14" fontId="5" fillId="0" borderId="4" xfId="1" applyNumberFormat="1" applyFont="1" applyBorder="1" applyAlignment="1">
      <alignment horizontal="center" vertical="top"/>
    </xf>
  </cellXfs>
  <cellStyles count="4">
    <cellStyle name="Hipervínculo" xfId="2" builtinId="8"/>
    <cellStyle name="Hyperlink" xfId="3" xr:uid="{FF7B1E01-B072-4947-A8B6-FEDAC9B0FFD6}"/>
    <cellStyle name="Millares" xfId="1" builtinId="3"/>
    <cellStyle name="Normal" xfId="0" builtinId="0"/>
  </cellStyles>
  <dxfs count="78">
    <dxf>
      <font>
        <b val="0"/>
        <i val="0"/>
        <strike val="0"/>
        <condense val="0"/>
        <extend val="0"/>
        <outline val="0"/>
        <shadow val="0"/>
        <u val="none"/>
        <vertAlign val="baseline"/>
        <sz val="12"/>
        <color theme="1"/>
        <name val="Arial"/>
        <family val="2"/>
        <scheme val="none"/>
      </font>
      <numFmt numFmtId="0" formatCode="General"/>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numFmt numFmtId="165" formatCode="d/mm/yy"/>
      <alignment horizontal="center"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alignment horizontal="center"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ertAlign val="baseline"/>
        <sz val="12"/>
        <color theme="10"/>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ertAlign val="baseline"/>
        <sz val="12"/>
        <color theme="10"/>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Arial"/>
        <family val="2"/>
        <scheme val="none"/>
      </font>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auto="1"/>
        <name val="Arial"/>
        <family val="2"/>
        <scheme val="none"/>
      </font>
      <numFmt numFmtId="165" formatCode="d/mm/yy"/>
      <alignment horizontal="center" vertical="top" textRotation="0" wrapText="1"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style="thin">
          <color theme="3" tint="0.249977111117893"/>
        </vertical>
        <horizontal style="thin">
          <color theme="3" tint="0.249977111117893"/>
        </horizontal>
      </border>
    </dxf>
    <dxf>
      <border outline="0">
        <left style="thin">
          <color indexed="64"/>
        </left>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wrapText="1"/>
    </dxf>
    <dxf>
      <alignment wrapText="1"/>
    </dxf>
    <dxf>
      <alignment wrapText="1"/>
    </dxf>
    <dxf>
      <alignment wrapText="1"/>
    </dxf>
    <dxf>
      <alignment wrapText="1"/>
    </dxf>
    <dxf>
      <alignment wrapText="1"/>
    </dxf>
    <dxf>
      <alignment wrapText="1"/>
    </dxf>
    <dxf>
      <alignment wrapText="1"/>
    </dxf>
    <dxf>
      <alignment wrapText="1"/>
    </dxf>
    <dxf>
      <font>
        <sz val="14"/>
      </font>
    </dxf>
    <dxf>
      <font>
        <sz val="14"/>
      </font>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8c874c11f203d11/Documentos/CRM&#180;s/CRM%20Comercial%203%20Compass%2012.11.25.xlsx" TargetMode="External"/><Relationship Id="rId1" Type="http://schemas.openxmlformats.org/officeDocument/2006/relationships/externalLinkPath" Target="https://d.docs.live.net/08c874c11f203d11/Documentos/CRM&#180;s/CRM%20Comercial%203%20Compass%2012.1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ENDA"/>
      <sheetName val="Base CRM"/>
      <sheetName val="Detalle"/>
      <sheetName val="CIERRES"/>
      <sheetName val="CRM Comercial 3 Compass 12.11"/>
    </sheetNames>
    <sheetDataSet>
      <sheetData sheetId="0"/>
      <sheetData sheetId="1"/>
      <sheetData sheetId="2"/>
      <sheetData sheetId="3"/>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ass leader" refreshedDate="45978.552566550927" createdVersion="8" refreshedVersion="8" minRefreshableVersion="3" recordCount="69" xr:uid="{AC4A131E-C560-40ED-89EF-501F4E948A9D}">
  <cacheSource type="worksheet">
    <worksheetSource ref="A1:V1048576" sheet="CRM"/>
  </cacheSource>
  <cacheFields count="23">
    <cacheField name="No." numFmtId="0">
      <sharedItems containsString="0" containsBlank="1" containsNumber="1" containsInteger="1" minValue="1" maxValue="68"/>
    </cacheField>
    <cacheField name="Fecha" numFmtId="0">
      <sharedItems containsNonDate="0" containsDate="1" containsString="0" containsBlank="1" minDate="2025-10-13T00:00:00" maxDate="2025-11-18T00:00:00" count="22">
        <d v="2025-10-13T00:00:00"/>
        <d v="2025-10-14T00:00:00"/>
        <d v="2025-10-21T00:00:00"/>
        <d v="2025-10-27T00:00:00"/>
        <d v="2025-10-28T00:00:00"/>
        <d v="2025-10-29T00:00:00"/>
        <d v="2025-10-30T00:00:00"/>
        <d v="2025-11-03T00:00:00"/>
        <d v="2025-11-04T00:00:00"/>
        <d v="2025-11-06T00:00:00"/>
        <d v="2025-11-08T00:00:00"/>
        <d v="2025-11-10T00:00:00"/>
        <d v="2025-11-11T00:00:00"/>
        <d v="2025-10-24T00:00:00"/>
        <d v="2025-10-31T00:00:00"/>
        <d v="2025-11-12T00:00:00"/>
        <d v="2025-11-13T00:00:00"/>
        <d v="2025-11-14T00:00:00"/>
        <d v="2025-10-26T00:00:00"/>
        <d v="2025-10-20T00:00:00"/>
        <d v="2025-11-17T00:00:00"/>
        <m/>
      </sharedItems>
    </cacheField>
    <cacheField name="Vendedor" numFmtId="0">
      <sharedItems containsBlank="1"/>
    </cacheField>
    <cacheField name="Contacto" numFmtId="0">
      <sharedItems containsBlank="1"/>
    </cacheField>
    <cacheField name="Cargo" numFmtId="0">
      <sharedItems containsBlank="1"/>
    </cacheField>
    <cacheField name="teléfono" numFmtId="0">
      <sharedItems containsBlank="1" containsMixedTypes="1" containsNumber="1" containsInteger="1" minValue="904811109" maxValue="999869285"/>
    </cacheField>
    <cacheField name="Mail" numFmtId="0">
      <sharedItems containsBlank="1" containsMixedTypes="1" containsNumber="1" containsInteger="1" minValue="991574766" maxValue="991574766"/>
    </cacheField>
    <cacheField name="Razón Social" numFmtId="0">
      <sharedItems containsBlank="1" count="46">
        <m/>
        <s v="Gran Hotel Bolívar"/>
        <s v="Clínica Arequipa"/>
        <s v="Hogar Clínica San Juan de Dios"/>
        <s v="García Bragagnini"/>
        <s v="Centro Médico Daniel Alcides Carrión"/>
        <s v="San José"/>
        <s v="Monte Carmelo"/>
        <s v="Pardo"/>
        <s v="Clinica Peruano Suiza"/>
        <s v="San Juan de Dios"/>
        <s v="Cusco Health"/>
        <s v="Clinica Cornejo"/>
        <s v="Casafranca"/>
        <s v="Medical Health Home"/>
        <s v="Mac Salud"/>
        <s v="Lavandería Don Marcelo"/>
        <s v="Clinica Los pinos"/>
        <s v="GDC Proyectos Perú SAC"/>
        <s v="Corporation Lucent Export SAC"/>
        <s v="The Westin Hotel"/>
        <s v="Hotel Golf de los Inkas"/>
        <s v="Idetex"/>
        <s v="Aspersud"/>
        <s v="AQU ANQA S.A.C."/>
        <s v="Bengala Inmobiliaria"/>
        <s v="Paz Inmobiliaria S.A"/>
        <s v="Hoteles Sheraton del Perú SAC"/>
        <s v="TRAMARSA, trabajos Maritimos"/>
        <s v="Club Nacional"/>
        <s v="Corporación Panaservice SAC"/>
        <s v="Atlantic City Casino &amp; Sports"/>
        <s v="Sheraton Lima Historic Center"/>
        <s v="Lavanderías Express"/>
        <s v="Lavandería Shalow"/>
        <s v="Quiñones Angelo"/>
        <s v="Vicunha perú SAC"/>
        <s v="No tenemos información"/>
        <s v="Asociación Deportiva Los Inkas Golf Club"/>
        <s v="Hotel Golf de los Inkas (casa andina)"/>
        <s v="Hoteles Estelar Perú SAC"/>
        <s v="Hotel Ibis Larco. Miraflores"/>
        <s v="Hotel Ibis Reducto. Miraflores"/>
        <s v="Hotel San Agustín exclusive"/>
        <s v="..............................................."/>
        <s v="Lavo Express"/>
      </sharedItems>
    </cacheField>
    <cacheField name="RUC" numFmtId="0">
      <sharedItems containsBlank="1" containsMixedTypes="1" containsNumber="1" containsInteger="1" minValue="10774619271" maxValue="20610658513"/>
    </cacheField>
    <cacheField name="Web" numFmtId="0">
      <sharedItems containsBlank="1"/>
    </cacheField>
    <cacheField name="Departamento" numFmtId="0">
      <sharedItems containsBlank="1"/>
    </cacheField>
    <cacheField name="Distrito" numFmtId="0">
      <sharedItems containsBlank="1"/>
    </cacheField>
    <cacheField name="Rubro" numFmtId="0">
      <sharedItems containsBlank="1"/>
    </cacheField>
    <cacheField name="Tipo de producto" numFmtId="0">
      <sharedItems containsBlank="1"/>
    </cacheField>
    <cacheField name="Origen del lead" numFmtId="0">
      <sharedItems containsBlank="1"/>
    </cacheField>
    <cacheField name="Descripción" numFmtId="0">
      <sharedItems containsBlank="1" count="69" longText="1">
        <s v="Se contactó a Jorge para solicitar información de la persona de compras del proyecto del hotel Ritz"/>
        <s v="Se indicó a Brenda colocar en el CRM que me contacté por Whatsapp, el proyecto se dará en enero, debemos hacer seguimiento mensual"/>
        <s v="Se habló con el Sr. Juan Carlos y se envió el Catálogo por Whatsapp y correo y se solicitó agendar una llamada"/>
        <s v="Se llamó al anexo 522, sin éxito, se envió mail de presentación de empresa y catálogo al correo indicado pero rebota"/>
        <s v="Se contactó al anexo sin éxito"/>
        <s v="Llamar a partir de las 3 pm, se llamó sin éxito"/>
        <s v="Se envió por Whatsapp el catálogo al encargado de Compras"/>
        <s v="llamada sin éxito, se cambió la información a la encontrada en la web, la anterior info no existe"/>
        <s v="Llamada se consiguió el mail y se envió el catálogo, el área de finanzas hace las compras"/>
        <s v="Se contactó al celular y se envía Catálogo por Whatsapp según lo soclicitado para derivar al área correspondiente"/>
        <s v="Volver a contactar ya que no quiso dar información"/>
        <s v="No está interesado"/>
        <s v="No tienen ninguna solicitud por el momento y no quieren dar más información"/>
        <s v="No Habida"/>
        <s v="Se actualizó el teléfono de la web y no cuentan con lavandería ya que todo es descartable y la diferencia lo tercerizan"/>
        <s v="No cuentan con área de lavandería, la tercerizan con lavanderías de alrededor"/>
        <s v="Se llamó por teléfono y consiguió el correo del administrador general y se envió catalogo a través del mail. No quiso dar telefono personal"/>
        <s v="Tiene lavandería y no tiene complicaciones sobre el lavado algunos en lavadora y otros a mano. Se envía catálogo por Whatsapp al sr. Interio Apaza"/>
        <s v="Me comuniqué por teléfono sin éxito y por whatsapp dejando información y Catálogo"/>
        <s v="Se hizo el envío del mail a la Sra María Pacheco y se solicitó su teléfono"/>
        <s v="Llamada, me comentó que está en cierre y que la contacte la otra semana, se envía información por mail"/>
        <s v="Se llamó al sr Juan Ramos y quedó en contactarnos con el área de logística, se envió Whatsapp para que nos envíe el contacto"/>
        <s v=" se envió Whatsapp con la información y catálogo al sr Juan (dueño) y al encargado de lavandería, tenemos llamada programada para las 4 pm para aterrizar su requerimiento. Cuentan con una máquina teñidora EFAMEIN. Se coordinó una cita para visita a planta para el día Jueves 6 Nov. a las 10 am para que vea las máquinas."/>
        <s v="Se contactó al jefe de Lavandería a través de Linkedin indicandole que podemos reunirnos para absolver sus dudas sobre la cotzación enviada en febrero y a su vez lo podemos ayudar con algún otro requerimiento, se dejóo enviado el catálogo general"/>
        <s v="Parte del grupo CASA ANDINA, Se le hace seguimiento por whatsapp porque no contestó el teléfono y tampoco el mensaje anterior."/>
        <s v="Conversé por teléfono con Jefte, indica que han comprado con la razón social Ideas textiles hace un tiempo, Revisé el file donde en febrero 2024 cotizaron Unimac de 60 y de 40Kg pero en ese momento no contaban con presupuesto y dejaron en stand by el proyecto. Esta vez estamos coordinando pronto agendar una reunión, se le envía información al correo indicado"/>
        <s v="Informa que el 16 de noviembre podemos contactarnos nuevamente ya que se definirá el giro del proyecto Ritz. Sobre los proyectos del Marriot no tenemos novedades aún."/>
        <s v="Se conversó por teléfono con la sra María, nos indicó que debía reunirse con el gerente de logística para revisar proyectos, asimismo comentó que se le envíe Whatsapp para estar en contacto. Se dejó enviado el catálogo por es medio también."/>
        <s v="Se conversó por teléfono con Ricardo, se tomó los datos de lo que necesita para su proyecto y tiene qe enviar datos del peso de las prendas para lavar, cuenta con 120 trabajadores , son 3 prendas gruesas de invierno. Se pidió metraje de lavandería y envío de fotos, luego nos vamos a reunir con los especialistas técnicos para orientarlos antes de la visita técnica. La lavandería se ubica en el primer piso, pero por el espacio estrecho puede ubicarse en el piso 2 que cuenta con más espacio"/>
        <s v="Contacté al jefe de ventas por teléfono y whatsapp para que me de el contacto de la persona de compras, va a comentarle antes de enviarme su contacto, se envió correo para que lo derive"/>
        <s v="En la feria solo me dieron el correo de la arquitecta, se Envió el mail con la presentación, catalogos"/>
        <s v="Se llamó por teléfono sin éxito. Se envió mensaje por Whatsapp dejando apertura a más proyectos así como citarlos a una breve reunión para revisar proyectos. "/>
        <s v="Se envió presentación y catálogo a través de Linkedin personal"/>
        <s v="Está enviando información parcial, por ejemplo. Tiene 120 personas, que usan 3 piezas pesadas de ropa. Pesa 3 Kilos aprox secos. El área actual de la lavandería es de 6.125 m2. El tamaño de la puerta de ingreso es de 72 cm. Queda pendiente la foto y las medidas de la lavandería del segundo nivel donde piensa mudarse dado que al parecer no ingresan los equipos en el primer piso."/>
        <s v="Se retomó contacto por teléfono y se envió presupuesto final, comenta que estará viajando a Lima para ver los equipos, desea hacer el adelanto para asegurar la compra, se envió los números de cuenta. DNI 45933340. Visita martes 18/11/2025 a las 8.30 am"/>
        <s v="Se envió correo para retomar nuevo contacto"/>
        <s v="La data no está actualizada, el teléfono y correo ya no están vigentes"/>
        <s v="El contacto anterior Alfredo capac, ya no labora, se consiguió el contacto de la jefa de Compras y se envió mail para concretar una reunión"/>
        <s v="Se envió correo a la señora con la presentación de efameinsa para retomar nuevo contacto"/>
        <s v="El usuario es el señor Rafael Galarza, ambos vendrán a la planta a ver las máquinas. Además en el registro de Sunat presenta que ambos cuentan con negocio de Lavado y limpieza incluida limpieza en seco de productos textiles"/>
        <s v="El usuario es el señor Rafael Galarza, viende de visita el día viernes 7/11 a planta, acompañado del dueño de la empresa Lucent, Juan Ramos, además de David Sevillano. Según registro de Central, fue cliente desde el 2008, haciendo varias compras como por ejemplo, con una máquina efamein de 400 KG y una secadora de 150 KG y mantenimientos posteriores, trabajó a crédito con la razón social Lavandería Peruana sac que luego cambió de Razón social a Snowboarding, en el filtro de Infocorp indica que la empresa Lucent no presenta problemas."/>
        <s v="llamamos para aterrizar la propuesta, va a abrir una lavandería en Trujillo, le recomendó su amigo, piensa comprar ahora en noviembre. Se envió Cotización"/>
        <s v="El señor cuenta con 4 lavadoras y 3 secadoras de 20 kilos domesticas y busca cambiar todas por una industrial. Cotizará una de 24 a 27 kilos en lavadora y una secadora de 30-35 kilos secadora, procesa al mes aprox 3000 kilos de ropa. Quiere grande por los edredones. Adicionalmente quiere un calderín de 4 litros y una planchadora industrial"/>
        <s v="Cliente llegó a Visitarnos en planta con su novia, están revisando locales para poner su primera lavandería y apenas lo tengan nos contactan, calculan que será en 15 días, haremos seguimiento la otra semana para ver como va. Le interesa que el despacho será aprox en 48 horas, ya que en otro lugar le comentaron que el envío es en 7 días."/>
        <s v="Llegamos al sr. Juan a través de la feria Textil, trabaja actualmente en Vicunha Textil, empresa de jeans colombiana, el sr es experto en lavado textil, trabajó anteriormente en la empresa Lavandería Jeans Colors SAC. Conoció al sr. Carlos hace años. Se está agendando una cita en sus oficinas, se filtrará y se evaluará opciones de trabajo"/>
        <s v="El cliente llamó por teléfono, nos indicó que Serfac tenía un precio menor, le indicamos que nos envíe la cotización, nos envió cotización y procedimos a llamarlo para indicarle que le dejamos a 4699 (serfac tenía 4744, ofrecimos envío, asesoría y puesta en marcha) y que proceda con el pago. Indicó que iba a pagar con tarjeta. En la cotización de Serfac tenía 2 productos más, una mesa planchadora de 500 dólares. me preguntó si tenía mesas planchadoras más baratas, la cotizada era semi industrial. Serfac le cotizó una mesa de 500 dolares.  Al final indica que hará el pago con tarjeta de la torre LG Giant y se le cobrará 15 dólares extras. Nos devolverá la llamada."/>
        <s v="Después del seguimiento de estos días el sr se volvió a comunicar indicando que tenía una propuesta de Serfact por 6100 por la torre Titan, hablamos con el para igualar el precio para que haga el depósito, nos comentó que está en Lima y que vendrá a visitarnos, estamos confirmando la hora. "/>
        <s v="El señor Ortiz va a poner un emprendimiento, requiere asesoría no repondió su celular se le dejó mensaje de identificación en su whatsapp."/>
        <s v="El señor Ortiz va a poner un emprendimiento, requiere asesoría no repondió su celular  nuevamente se le dejó mensaje de identificación en su whatsapp."/>
        <s v="El señor Ortiz va a poner un emprendimiento, se le envió en su momento mensajes de whatsapp, ahora corta cuando lo llamamos al parecer no se encuentra interesado"/>
        <s v="El señor Ortiz va a poner un emprendimiento, se le timbró y envió nuevamente un mensaje por whatsapp no responde"/>
        <s v="Al Sr. Ortiz se le ha timbrado y dejado mensajes de seguimiento, ahora nos corta."/>
        <s v="En la visita al Club, el señor de la garita se comunicó por teléfono e informó que debían enviar el brochure, nos dio los teléfonos, correo y nombre del jefe de logística y del asistente. Almacen.logistica@losinkasgolf.com . Anexo del asistente 274, nombre: Adan Gaspar. Se está enviando el correo de presentación. Cabe resaltar que teníamos un contacto que había cotizado antes: Andreina Rivera ni José Gutiérrez. Correo enviad"/>
        <s v="Se solicitó en recepción hablar con la persona encargada de lavandería, comentó que todo el tema de lavada se terceriza pero no sabe con que empresa."/>
        <s v="Se visitó el casino y se preguntó directamente por Natalia Navarro, jefe de logística, el vigilante nos derivó a las oficinas en Av. Bolivar 121 (a la espalda del casino), al llegar vi que las puertas son tipo clausuradas y con muchas cámaras, nos atendió el vigilante afuera, le pedí hablar con la señorita, me solicitó mi DNI, al poco rato salió y me dijo que se comunicó y que espere un momento. Salió Natalia, se mostró super amable, me presenté con catálogo en mano, le dije que tengo una empresa de equipos de lavandería industrial, es efameinsa, le comenté que le había enviado un correo la semana pasada y que podríamos asesorarla, también si es factible visitar su lavandería para ver técnicamente lo que podria necesitar. Me comentó que habían adquirido equipos hace aprox más de 2 meses (1 lavadora y secadora) aprox de de 34 Kg, marca electrolux. Le djé saber si tiene más proyectos de ampliación de lavandería o alguna otra máquina que tenga por renovar, representamos a las mejor marcas del mundo y también fabricamos, tenemos técnicos especializados y podrías darle servicio de mantenimiento garantizado. Me dijo que está bien, se queda con mi catálogo para revisarlo y que estaríamos comunicadas. Se despidió amablemente."/>
        <s v="Me apersoné al hotel, me atendió el recepcionista, pregunté por la persona encargada de lavandería para conversar unos minutos cortos, me comunicó que estaba en reunión, solicité sus datos a insistencia, me dio su mail y teléfono con anexo directo. Le comenté de Efameinsa y Dejé el catálogo para que le haga llegar. Llamé al anexo sin éxito. Envío mail de presentación."/>
        <s v="Al final se le dio a un precio ligeramente menor al de Serfac, pagó con tarjeta con $15 de comisión, llegó a oficina con su novia para hacer el pago."/>
        <s v="Hablé con la recepcionista, buscando a la persona encargada de lavandería, comentó que al parecer estaba ocupada que no contestaba, me presenté, me comentó que tercerizan el lavado que no se acuerda con que empresa, siguió insistiendo con el telefono pero no le contestatan y me dio el teléfono de la persona encargada para enviar mail. Se dejó catálogo"/>
        <s v="La recepcionista envió mensaje al área para ver si podían bajar pero no recibía respuesta, me comentó que tercerizan el lavado también pero que no sabía el nombre de la empresa. Me brindó el mail de la encargada de lavandería. Se dejó catálogo"/>
        <s v="Al llegar noté que había mucha seguridad alrededor, al parecer llegó una comitiva y había una persona de seguridad en recepción también. Conversé con la recepcionista, fue muy reservada, no quiso brindar la información. Pregunté por el ex jefe de mantenimiento (Santiago Salazar), me dijo que ya no trabaja que ahora hay varios encargados pero que no tienen correos, que la modalidad era dejar la información y ella lo traslada. Se dejé el catálogo. "/>
        <s v="Tienen Lavadoras Samsung no industriales, 1 se malogró y está interesada. Le dará el numero a su jefa"/>
        <s v="Hablamos con la dueña, tiene lavadoras domésticas de 20 kilos, ingresan a las justas una colcha King, le comenté que nuestras lavadoras de 17 Kg son las ideales. Se le envió cotización y se le volvió a llamar para explicarle, comentó que va a conversarlo con su esposo apenas llegué. Le invité a visitarnos a la empresa para que las vea"/>
        <s v="Me atendio la dueña y me dejo su numero personal, pregunté su tipo de lavadora, ella pregunto por el metodo de pago y dijo que despues se comunica con nosotros."/>
        <s v="Hablé con el dueño y me cuenta que tiene actualmente lavadora industrial Unimac. Revisé el tiktok y efectivamente, una Unimac de 24kg me pidió cotización de marcas de lavadoras industriales de 24kg, porque tiene otra lavandería "/>
        <s v="Se movió la reunión para el miércoles 19 a las 8.30 am, su Novia Xiomy es la dueña del Hotel MUNAKUYKI"/>
        <m/>
        <s v="Me apersoné al hotel, me atendió el recepcionista, pregunté por la persona encargada de lavandería para conversar unos minutos cortos, me comunicó que estaba en reunión, solicité sus datos a insistencia, me dio su mail y teléfono con anexo directo. Le comenté de Efameinsa y Dejé el catálogo para que le haga llegar. Llamé al anexo sin éxito. Envío mail de presentación" u="1"/>
        <s v="Contacté al jefe de ventas por teléfono y whatsapp para que me de el contacto de la persona de compras, va a comentarle antes de enviarme su contacto" u="1"/>
        <s v="Envío de mail con la presentación, catalogos" u="1"/>
      </sharedItems>
    </cacheField>
    <cacheField name="Estado" numFmtId="0">
      <sharedItems containsBlank="1" count="6">
        <s v="Contactado"/>
        <s v="Contactado interesado"/>
        <s v="Pendiente"/>
        <s v="Propuesta enviada"/>
        <m/>
        <s v="Cerrado ganado"/>
      </sharedItems>
    </cacheField>
    <cacheField name="Monto de la oportunidad" numFmtId="0">
      <sharedItems containsNonDate="0" containsString="0" containsBlank="1"/>
    </cacheField>
    <cacheField name="No. Cotización" numFmtId="0">
      <sharedItems containsBlank="1"/>
    </cacheField>
    <cacheField name="Valor Cotización" numFmtId="0">
      <sharedItems containsString="0" containsBlank="1" containsNumber="1" containsInteger="1" minValue="4100" maxValue="4699"/>
    </cacheField>
    <cacheField name="Fecha seguimiento" numFmtId="0">
      <sharedItems containsDate="1" containsString="0" containsBlank="1" containsMixedTypes="1" minDate="2025-10-31T00:00:00" maxDate="1900-01-04T22:51:04"/>
    </cacheField>
    <cacheField name="Semana" numFmtId="0">
      <sharedItems containsString="0" containsBlank="1" containsNumber="1" containsInteger="1" minValue="42" maxValue="47"/>
    </cacheField>
    <cacheField name="Numero de trabajadores" numFmtId="0">
      <sharedItems containsString="0" containsBlank="1"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n v="1"/>
    <x v="0"/>
    <s v="Jenny V."/>
    <s v="Jorge Huertas"/>
    <s v="Encargado Proyecto Hotel Ritz - Empresa DLPS arquitectos"/>
    <n v="920144113"/>
    <m/>
    <x v="0"/>
    <m/>
    <m/>
    <s v="Lima"/>
    <s v="Miraflores"/>
    <s v="Hotelería"/>
    <s v="Equipo"/>
    <s v="Otro"/>
    <x v="0"/>
    <x v="0"/>
    <m/>
    <m/>
    <m/>
    <m/>
    <n v="42"/>
    <m/>
  </r>
  <r>
    <n v="2"/>
    <x v="0"/>
    <s v="Jenny V."/>
    <s v="Ruth"/>
    <s v="Encargada de compras Hotel Bolivar"/>
    <m/>
    <m/>
    <x v="1"/>
    <m/>
    <m/>
    <m/>
    <m/>
    <s v="Hotelería"/>
    <m/>
    <s v="Otro"/>
    <x v="1"/>
    <x v="0"/>
    <m/>
    <m/>
    <m/>
    <m/>
    <n v="42"/>
    <m/>
  </r>
  <r>
    <n v="3"/>
    <x v="0"/>
    <s v="Jenny V."/>
    <s v="Juan Carlos Checa"/>
    <s v="Adquisiciones (Anexo 722)"/>
    <s v="054 - 599 000 / RPC 54 - 958961157"/>
    <s v="jchecca@clinicaarequipa.com.pe"/>
    <x v="2"/>
    <m/>
    <s v="www.clinicarequipa.com.pe"/>
    <s v="Arequipa"/>
    <s v="Arequipa"/>
    <s v="Salud"/>
    <m/>
    <s v="Otro"/>
    <x v="2"/>
    <x v="0"/>
    <m/>
    <m/>
    <m/>
    <m/>
    <n v="42"/>
    <m/>
  </r>
  <r>
    <n v="4"/>
    <x v="0"/>
    <s v="Jenny V."/>
    <s v="Gloria Verónica Velarde Cerpa."/>
    <s v="Jefe de logística"/>
    <s v="(054) 382400 anexo 522"/>
    <s v="logistica@sanjuandediosarequipa.com"/>
    <x v="3"/>
    <m/>
    <s v="www.sanjuandediosarequipa.com"/>
    <s v="Arequipa"/>
    <s v="Arequipa"/>
    <s v="Salud"/>
    <m/>
    <s v="Otro"/>
    <x v="3"/>
    <x v="0"/>
    <m/>
    <m/>
    <m/>
    <m/>
    <n v="42"/>
    <m/>
  </r>
  <r>
    <n v="5"/>
    <x v="0"/>
    <s v="Jenny V."/>
    <m/>
    <m/>
    <s v="(054) 272422 - 272614 - anexo 20"/>
    <s v=" informes@garciabragagnini.com"/>
    <x v="4"/>
    <m/>
    <s v="www.garciabragagnini.com"/>
    <s v="Arequipa"/>
    <s v="Arequipa"/>
    <s v="Salud"/>
    <m/>
    <s v="Otro"/>
    <x v="4"/>
    <x v="0"/>
    <m/>
    <m/>
    <m/>
    <m/>
    <n v="42"/>
    <m/>
  </r>
  <r>
    <n v="6"/>
    <x v="0"/>
    <s v="Jenny V."/>
    <s v="Luz Visa"/>
    <s v="Encargada de Logistica"/>
    <s v="(054) 206171_x000a_(054) 405147_x000a_959 177 508 , anexo 718"/>
    <m/>
    <x v="5"/>
    <m/>
    <s v="www.clinicadac.com"/>
    <s v="Arequipa"/>
    <s v="Arequipa"/>
    <s v="Salud"/>
    <m/>
    <s v="Otro"/>
    <x v="5"/>
    <x v="0"/>
    <m/>
    <m/>
    <m/>
    <m/>
    <n v="42"/>
    <m/>
  </r>
  <r>
    <n v="7"/>
    <x v="1"/>
    <s v="Jenny V."/>
    <s v="Danilo Choque"/>
    <s v="Encargado de Compras"/>
    <s v="(054) 206171, anexo 718 Celular: 959177553"/>
    <m/>
    <x v="5"/>
    <m/>
    <s v="www.clinicadac.com"/>
    <s v="Arequipa"/>
    <s v="Arequipa"/>
    <s v="Salud"/>
    <m/>
    <s v="Otro"/>
    <x v="6"/>
    <x v="0"/>
    <m/>
    <m/>
    <m/>
    <m/>
    <n v="42"/>
    <m/>
  </r>
  <r>
    <n v="8"/>
    <x v="1"/>
    <s v="Jenny V."/>
    <m/>
    <m/>
    <n v="989431075"/>
    <m/>
    <x v="6"/>
    <m/>
    <s v="https://clinicasanjosecusco.com/"/>
    <s v="Cusco"/>
    <s v="Cusco"/>
    <s v="Salud"/>
    <m/>
    <s v="Otro"/>
    <x v="7"/>
    <x v="0"/>
    <m/>
    <m/>
    <m/>
    <m/>
    <n v="42"/>
    <m/>
  </r>
  <r>
    <n v="9"/>
    <x v="1"/>
    <s v="Jenny V."/>
    <m/>
    <m/>
    <s v=" (054) 606100 // (054) 231444"/>
    <s v="contabilidad3.montecarmelo@gmail.com"/>
    <x v="7"/>
    <m/>
    <s v="www.montecarmelocm.com"/>
    <s v="Cusco"/>
    <s v="Cusco"/>
    <s v="Salud"/>
    <m/>
    <s v="Otro"/>
    <x v="8"/>
    <x v="0"/>
    <m/>
    <m/>
    <m/>
    <m/>
    <n v="42"/>
    <m/>
  </r>
  <r>
    <n v="10"/>
    <x v="1"/>
    <s v="Jenny V."/>
    <m/>
    <m/>
    <s v="(84) 249999 // 240387 "/>
    <m/>
    <x v="8"/>
    <m/>
    <s v="www.clinicapardocusco.com"/>
    <s v="Cusco"/>
    <s v="Cusco"/>
    <s v="Salud"/>
    <m/>
    <s v="Otro"/>
    <x v="7"/>
    <x v="0"/>
    <m/>
    <m/>
    <m/>
    <m/>
    <n v="42"/>
    <m/>
  </r>
  <r>
    <n v="11"/>
    <x v="1"/>
    <s v="Jenny V."/>
    <s v="Joselyn Flores"/>
    <s v="recepcionista"/>
    <s v="(84) 237009. Cel: 989316622"/>
    <s v="consultas@cps.com.pe"/>
    <x v="9"/>
    <m/>
    <s v="https://www.cps.com.pe/"/>
    <s v="Cusco"/>
    <s v="Cusco"/>
    <s v="Salud"/>
    <m/>
    <s v="Otro"/>
    <x v="9"/>
    <x v="0"/>
    <m/>
    <m/>
    <m/>
    <m/>
    <n v="42"/>
    <m/>
  </r>
  <r>
    <n v="12"/>
    <x v="1"/>
    <s v="Jenny V."/>
    <m/>
    <m/>
    <s v="(084) 231340 // 229955_x000a_"/>
    <s v="clinicasjd@sanjuandedioscusco.org"/>
    <x v="10"/>
    <m/>
    <s v="www.clinicasanjuandedioscusco.org"/>
    <s v="Cusco"/>
    <s v="Cusco"/>
    <s v="Salud"/>
    <m/>
    <s v="Otro"/>
    <x v="10"/>
    <x v="0"/>
    <m/>
    <m/>
    <m/>
    <m/>
    <n v="42"/>
    <m/>
  </r>
  <r>
    <n v="13"/>
    <x v="1"/>
    <s v="Jenny V."/>
    <m/>
    <m/>
    <s v=" (84) 601443 // 984639290 // 974793088"/>
    <m/>
    <x v="11"/>
    <m/>
    <s v="www.cuscohealth.com"/>
    <s v="Cusco"/>
    <s v="Cusco"/>
    <s v="Salud"/>
    <m/>
    <s v="Otro"/>
    <x v="11"/>
    <x v="0"/>
    <m/>
    <m/>
    <m/>
    <m/>
    <n v="42"/>
    <m/>
  </r>
  <r>
    <n v="14"/>
    <x v="1"/>
    <s v="Jenny V."/>
    <m/>
    <m/>
    <s v="51  084 611 310_x000a_51 966 344 761_x000a_51 958 331 157_x000a_51 984 774 666"/>
    <s v="info@clinicacornejo.com"/>
    <x v="12"/>
    <m/>
    <s v="www.clinicacornejo.com"/>
    <s v="Cusco"/>
    <s v="Cusco"/>
    <s v="Salud"/>
    <m/>
    <s v="Otro"/>
    <x v="12"/>
    <x v="0"/>
    <m/>
    <m/>
    <m/>
    <m/>
    <n v="42"/>
    <m/>
  </r>
  <r>
    <n v="15"/>
    <x v="1"/>
    <s v="Jenny V."/>
    <m/>
    <m/>
    <s v=" (84) 224016"/>
    <s v="info@clinica-casafranca.com"/>
    <x v="13"/>
    <m/>
    <s v="www.clinica-casafranca.com"/>
    <s v="Cusco"/>
    <s v="Cusco"/>
    <s v="Salud"/>
    <m/>
    <s v="Otro"/>
    <x v="13"/>
    <x v="0"/>
    <m/>
    <m/>
    <m/>
    <m/>
    <n v="42"/>
    <m/>
  </r>
  <r>
    <n v="16"/>
    <x v="1"/>
    <s v="Jenny V."/>
    <m/>
    <m/>
    <n v="984908067"/>
    <m/>
    <x v="14"/>
    <m/>
    <s v="www.medicalhome.com.pe"/>
    <s v="Cusco"/>
    <s v="Cusco"/>
    <s v="Salud"/>
    <m/>
    <s v="Otro"/>
    <x v="14"/>
    <x v="0"/>
    <m/>
    <m/>
    <m/>
    <m/>
    <n v="42"/>
    <m/>
  </r>
  <r>
    <n v="17"/>
    <x v="1"/>
    <s v="Jenny V."/>
    <m/>
    <m/>
    <s v="(084) 582060"/>
    <m/>
    <x v="15"/>
    <m/>
    <s v="www.macsalud.com"/>
    <s v="Cusco"/>
    <s v="Cusco"/>
    <s v="Salud"/>
    <m/>
    <s v="Otro"/>
    <x v="15"/>
    <x v="0"/>
    <m/>
    <m/>
    <m/>
    <m/>
    <n v="42"/>
    <m/>
  </r>
  <r>
    <n v="18"/>
    <x v="1"/>
    <s v="Jenny V."/>
    <s v="Angel Luna"/>
    <s v="Admin istrador general"/>
    <s v="(054) 27 17 97 958952473 / 958952471"/>
    <s v="donmar@gmail.com"/>
    <x v="16"/>
    <m/>
    <s v="https://www.lavanderiasdonmarcelo.com/"/>
    <s v="Zona Sur del País, Juliaca, Puno y Arequipa"/>
    <s v="Cusco"/>
    <s v="Lavandería Comercial"/>
    <m/>
    <s v="Otro"/>
    <x v="16"/>
    <x v="0"/>
    <m/>
    <m/>
    <m/>
    <m/>
    <n v="42"/>
    <m/>
  </r>
  <r>
    <n v="19"/>
    <x v="1"/>
    <s v="Jenny V."/>
    <s v="Eduardo Apaza (encargado de compras)"/>
    <m/>
    <s v="(051) 35-1071 // 950-907575 //_x000a_979-968152"/>
    <s v="administracion@clinicalospinos.com //_x000a_clinicalospinos@hotmail.com"/>
    <x v="17"/>
    <m/>
    <s v="www.clinicalospinos.com/"/>
    <s v="Puno"/>
    <s v="Puno"/>
    <s v="Salud"/>
    <m/>
    <s v="Otro"/>
    <x v="17"/>
    <x v="0"/>
    <m/>
    <m/>
    <m/>
    <m/>
    <n v="42"/>
    <m/>
  </r>
  <r>
    <n v="20"/>
    <x v="2"/>
    <s v="Jenny V."/>
    <s v="Terán Yuriko"/>
    <s v="Comercial"/>
    <n v="991481598"/>
    <m/>
    <x v="18"/>
    <n v="20605597204"/>
    <s v="www.gdc.pe"/>
    <s v="Lima"/>
    <m/>
    <s v="Multihousing"/>
    <m/>
    <s v="Otro"/>
    <x v="18"/>
    <x v="0"/>
    <m/>
    <m/>
    <m/>
    <m/>
    <n v="43"/>
    <m/>
  </r>
  <r>
    <n v="21"/>
    <x v="3"/>
    <s v="Jenny V."/>
    <s v="Pacheco falcón María Isabel"/>
    <s v="Encargada de Proyecto"/>
    <m/>
    <m/>
    <x v="0"/>
    <m/>
    <m/>
    <m/>
    <m/>
    <s v="Otros: Marina/Ejército/Bomberos"/>
    <m/>
    <s v="Otro"/>
    <x v="19"/>
    <x v="0"/>
    <m/>
    <m/>
    <m/>
    <m/>
    <n v="44"/>
    <m/>
  </r>
  <r>
    <n v="22"/>
    <x v="3"/>
    <s v="Jenny V."/>
    <s v="Terán Yuriko"/>
    <s v="Comercial"/>
    <n v="991481598"/>
    <m/>
    <x v="0"/>
    <m/>
    <s v="www.gdc.pe"/>
    <s v="Lima"/>
    <m/>
    <s v="Multihousing"/>
    <m/>
    <s v="Campo"/>
    <x v="20"/>
    <x v="0"/>
    <m/>
    <m/>
    <m/>
    <d v="2025-11-04T00:00:00"/>
    <n v="44"/>
    <m/>
  </r>
  <r>
    <n v="23"/>
    <x v="3"/>
    <s v="Jenny V."/>
    <s v="Ramos Juan"/>
    <s v="Gerente Comercial"/>
    <n v="999869285"/>
    <m/>
    <x v="19"/>
    <n v="20555369451"/>
    <s v="www.lucent.pe"/>
    <s v="Lima"/>
    <s v="SJL"/>
    <s v="Textil"/>
    <m/>
    <s v="Campo"/>
    <x v="21"/>
    <x v="0"/>
    <m/>
    <m/>
    <m/>
    <m/>
    <n v="44"/>
    <m/>
  </r>
  <r>
    <n v="24"/>
    <x v="4"/>
    <s v="Jenny V."/>
    <s v="Rafael"/>
    <s v="Jefe de Lavandería"/>
    <n v="996285818"/>
    <m/>
    <x v="19"/>
    <n v="20555369451"/>
    <s v="www.lucent.pe"/>
    <s v="Lima"/>
    <s v="SJL"/>
    <s v="Textil"/>
    <m/>
    <s v="Campo"/>
    <x v="22"/>
    <x v="1"/>
    <m/>
    <m/>
    <m/>
    <d v="2025-11-03T00:00:00"/>
    <n v="44"/>
    <m/>
  </r>
  <r>
    <n v="25"/>
    <x v="4"/>
    <s v="Jenny V."/>
    <s v="Revilla Sardi Diego Antonio"/>
    <s v="Jefe de Lavadería Hotel Westin"/>
    <m/>
    <s v="arevilla@westininlima.com"/>
    <x v="20"/>
    <m/>
    <m/>
    <s v="Lima"/>
    <s v="San isidro"/>
    <s v="Hotelería"/>
    <m/>
    <s v="Otro"/>
    <x v="23"/>
    <x v="0"/>
    <m/>
    <m/>
    <m/>
    <m/>
    <n v="44"/>
    <m/>
  </r>
  <r>
    <n v="26"/>
    <x v="4"/>
    <s v="Jenny V."/>
    <s v="Rivera Andreina"/>
    <s v="Gerente de Operaciones"/>
    <n v="993670997"/>
    <m/>
    <x v="21"/>
    <m/>
    <s v="https://www.casa-andina.com/es/destinos/surco/hoteles/casa-andina-premium-golf-los-incas"/>
    <s v="Lima"/>
    <s v="Santiago de Surco"/>
    <s v="Hotelería"/>
    <m/>
    <s v="Otro"/>
    <x v="24"/>
    <x v="0"/>
    <m/>
    <m/>
    <m/>
    <m/>
    <n v="44"/>
    <m/>
  </r>
  <r>
    <n v="27"/>
    <x v="4"/>
    <s v="Jenny V."/>
    <s v="Gomero Jefte"/>
    <s v="Jefe de logística"/>
    <n v="969813109"/>
    <s v="logistica@idetex.com.pe"/>
    <x v="22"/>
    <n v="20606070579"/>
    <s v="www.idetex.com.pe"/>
    <s v="Lima"/>
    <s v="Santa Anita"/>
    <s v="Textil"/>
    <m/>
    <s v="Campo"/>
    <x v="25"/>
    <x v="0"/>
    <m/>
    <m/>
    <m/>
    <d v="2025-11-30T00:00:00"/>
    <n v="44"/>
    <m/>
  </r>
  <r>
    <n v="28"/>
    <x v="4"/>
    <s v="Jenny V."/>
    <s v="Jorge Huertas"/>
    <s v="Encargado Proyecto Hotel Ritz - Empresa DLPS arquitectos"/>
    <n v="920144113"/>
    <m/>
    <x v="0"/>
    <m/>
    <m/>
    <s v="Lima"/>
    <s v="Miraflores"/>
    <s v="Hotelería"/>
    <s v="Equipo"/>
    <s v="Otro"/>
    <x v="26"/>
    <x v="0"/>
    <m/>
    <m/>
    <m/>
    <d v="2025-11-16T00:00:00"/>
    <n v="44"/>
    <m/>
  </r>
  <r>
    <n v="29"/>
    <x v="5"/>
    <s v="Jenny V."/>
    <s v="Pacheco falcón María Isabel"/>
    <s v="Encargada de Proyecto"/>
    <m/>
    <m/>
    <x v="23"/>
    <n v="20145915164"/>
    <m/>
    <s v="Lima"/>
    <s v="La Molina"/>
    <s v="Otros: Marina/Ejército/Bomberos"/>
    <m/>
    <m/>
    <x v="27"/>
    <x v="0"/>
    <m/>
    <m/>
    <m/>
    <d v="2025-11-30T00:00:00"/>
    <n v="44"/>
    <m/>
  </r>
  <r>
    <n v="30"/>
    <x v="6"/>
    <s v="Jenny V."/>
    <s v="Ricardo Zamora"/>
    <s v="Jefe Somma"/>
    <n v="969751241"/>
    <m/>
    <x v="24"/>
    <n v="20608345770"/>
    <m/>
    <s v="La libertad"/>
    <s v="trujillo"/>
    <s v="Agroindustria"/>
    <m/>
    <m/>
    <x v="28"/>
    <x v="1"/>
    <m/>
    <m/>
    <m/>
    <d v="2025-10-31T00:00:00"/>
    <n v="44"/>
    <m/>
  </r>
  <r>
    <n v="31"/>
    <x v="6"/>
    <s v="Jenny V."/>
    <s v="Gonzales Ernesto"/>
    <s v="Jefe Comercial"/>
    <n v="963888349"/>
    <s v="egonzales@bengala.pe"/>
    <x v="25"/>
    <n v="20610658513"/>
    <m/>
    <m/>
    <m/>
    <s v="Multihousing"/>
    <m/>
    <m/>
    <x v="29"/>
    <x v="0"/>
    <m/>
    <m/>
    <m/>
    <m/>
    <n v="44"/>
    <m/>
  </r>
  <r>
    <n v="32"/>
    <x v="6"/>
    <s v="Jenny V."/>
    <s v="Vargas Carolains"/>
    <s v="Arquitecta"/>
    <m/>
    <s v="carolains.vargas@paz.pe"/>
    <x v="26"/>
    <s v="20518023579/20605346716"/>
    <m/>
    <m/>
    <m/>
    <s v="Multihousing"/>
    <m/>
    <m/>
    <x v="30"/>
    <x v="2"/>
    <m/>
    <m/>
    <m/>
    <m/>
    <n v="44"/>
    <m/>
  </r>
  <r>
    <n v="33"/>
    <x v="7"/>
    <s v="Jenny V."/>
    <s v="García Marlene"/>
    <s v="Jefe de Compras"/>
    <n v="943463875"/>
    <s v="marlene.galicia@sheraton.com"/>
    <x v="27"/>
    <n v="20100032610"/>
    <m/>
    <s v="Lima"/>
    <s v="Lima"/>
    <s v="Hotelería"/>
    <m/>
    <m/>
    <x v="31"/>
    <x v="2"/>
    <m/>
    <m/>
    <m/>
    <m/>
    <n v="45"/>
    <m/>
  </r>
  <r>
    <n v="34"/>
    <x v="7"/>
    <s v="Jenny V."/>
    <s v="Ruiz Cáceres Janny"/>
    <s v="Jefe de Adquisiciones"/>
    <m/>
    <m/>
    <x v="28"/>
    <m/>
    <m/>
    <m/>
    <m/>
    <m/>
    <m/>
    <s v="Otro"/>
    <x v="32"/>
    <x v="2"/>
    <m/>
    <m/>
    <m/>
    <m/>
    <n v="45"/>
    <m/>
  </r>
  <r>
    <n v="35"/>
    <x v="7"/>
    <s v="Jenny V."/>
    <s v="Ricardo Zamora"/>
    <s v="Jefe Somma"/>
    <n v="969751241"/>
    <m/>
    <x v="24"/>
    <n v="20608345770"/>
    <m/>
    <s v="La libertad"/>
    <s v="trujillo"/>
    <s v="Agroindustria"/>
    <m/>
    <s v="Otro"/>
    <x v="33"/>
    <x v="1"/>
    <m/>
    <m/>
    <m/>
    <d v="2025-10-31T00:00:00"/>
    <n v="45"/>
    <m/>
  </r>
  <r>
    <n v="36"/>
    <x v="7"/>
    <s v="Luis Angel"/>
    <s v="Cajo Cosanatan Yoel"/>
    <s v="Dueño"/>
    <n v="970175949"/>
    <s v="jcosanatan@gmail.com"/>
    <x v="0"/>
    <n v="10774619271"/>
    <m/>
    <s v="Cuzco"/>
    <s v="Cuzco"/>
    <s v="Hotelería"/>
    <m/>
    <s v="Web"/>
    <x v="34"/>
    <x v="1"/>
    <m/>
    <s v="00023-25"/>
    <m/>
    <m/>
    <n v="45"/>
    <m/>
  </r>
  <r>
    <n v="37"/>
    <x v="7"/>
    <s v="Jenny V."/>
    <s v="Revilla Sardi Diego Antonio"/>
    <s v="Jefe de Lavadería Hotel Westin"/>
    <m/>
    <s v="arevilla@westininlima.com"/>
    <x v="20"/>
    <m/>
    <m/>
    <s v="Lima"/>
    <s v="San isidro"/>
    <s v="Hotelería"/>
    <m/>
    <s v="Otro"/>
    <x v="23"/>
    <x v="0"/>
    <m/>
    <m/>
    <m/>
    <m/>
    <n v="45"/>
    <m/>
  </r>
  <r>
    <n v="38"/>
    <x v="7"/>
    <s v="Jenny V."/>
    <s v="Avelino Gerardo"/>
    <m/>
    <n v="980179994"/>
    <s v="gavelino@clubnacional.org.pe"/>
    <x v="29"/>
    <m/>
    <m/>
    <s v="Lima"/>
    <s v="Lima"/>
    <s v="Club entretenimiento"/>
    <m/>
    <s v="Otro"/>
    <x v="35"/>
    <x v="2"/>
    <m/>
    <m/>
    <m/>
    <m/>
    <n v="45"/>
    <m/>
  </r>
  <r>
    <n v="39"/>
    <x v="8"/>
    <s v="Jenny V."/>
    <s v="Urbina Paoli Carlos Alberto"/>
    <s v="Gerente"/>
    <m/>
    <s v="gerencia@corporacionpanaservice.com"/>
    <x v="30"/>
    <n v="20166018022"/>
    <s v="www.corporacionpanaservice.com"/>
    <s v="Lima"/>
    <s v="Santiago de Surco"/>
    <s v="Restaurante/Café"/>
    <m/>
    <s v="Otro"/>
    <x v="36"/>
    <x v="2"/>
    <m/>
    <m/>
    <m/>
    <m/>
    <n v="45"/>
    <m/>
  </r>
  <r>
    <n v="40"/>
    <x v="8"/>
    <s v="Jenny V."/>
    <s v="Gutierrez Navarro Natalia"/>
    <s v="Jefe de Compras - Logística"/>
    <m/>
    <s v="nnavarro@acity.com.pe"/>
    <x v="31"/>
    <m/>
    <m/>
    <m/>
    <m/>
    <s v="Club entretenimiento"/>
    <m/>
    <s v="Otro"/>
    <x v="37"/>
    <x v="2"/>
    <m/>
    <m/>
    <m/>
    <m/>
    <n v="45"/>
    <m/>
  </r>
  <r>
    <n v="41"/>
    <x v="8"/>
    <s v="Jenny V."/>
    <s v="Galicia Mercedez"/>
    <s v="Gerente de Compras"/>
    <n v="943463875"/>
    <s v="marlene.galicia@sheraton.com"/>
    <x v="32"/>
    <m/>
    <m/>
    <m/>
    <m/>
    <s v="Hotelería"/>
    <m/>
    <s v="Otro"/>
    <x v="38"/>
    <x v="2"/>
    <m/>
    <m/>
    <m/>
    <m/>
    <n v="45"/>
    <m/>
  </r>
  <r>
    <n v="42"/>
    <x v="8"/>
    <s v="Jenny V."/>
    <s v="Ramos Juan"/>
    <s v="Gerente Comercial"/>
    <n v="999869285"/>
    <m/>
    <x v="19"/>
    <n v="20555369451"/>
    <s v="www.lucent.pe"/>
    <s v="Lima"/>
    <s v="SJL"/>
    <s v="Textil"/>
    <m/>
    <s v="Campo"/>
    <x v="39"/>
    <x v="0"/>
    <m/>
    <m/>
    <m/>
    <m/>
    <n v="45"/>
    <m/>
  </r>
  <r>
    <n v="43"/>
    <x v="9"/>
    <s v="Jenny V."/>
    <s v="Ramos Juan"/>
    <s v="Gerente Comercial"/>
    <n v="999869285"/>
    <m/>
    <x v="19"/>
    <n v="20555369451"/>
    <s v="www.lucent.pe"/>
    <s v="Lima"/>
    <s v="SJL"/>
    <s v="Textil"/>
    <m/>
    <s v="Campo"/>
    <x v="40"/>
    <x v="0"/>
    <m/>
    <m/>
    <m/>
    <m/>
    <n v="45"/>
    <m/>
  </r>
  <r>
    <n v="44"/>
    <x v="9"/>
    <s v="Jenny V."/>
    <s v="Ortiz Pizarro Luis Alberto"/>
    <s v="Dueño"/>
    <n v="990216016"/>
    <s v="luis.alberto.ortiz.43@gmail.com"/>
    <x v="33"/>
    <m/>
    <m/>
    <s v="La libertad"/>
    <s v="trujillo"/>
    <s v="Lavandería Comercial"/>
    <m/>
    <s v="Web"/>
    <x v="41"/>
    <x v="3"/>
    <m/>
    <s v="00023-25"/>
    <m/>
    <m/>
    <n v="45"/>
    <m/>
  </r>
  <r>
    <n v="45"/>
    <x v="9"/>
    <s v="Jenny V."/>
    <s v="Ccasani Chahua Moisés Franklin"/>
    <s v="Dueño"/>
    <n v="975598544"/>
    <s v="moisesfranklinccasanichahua@gmail.com"/>
    <x v="34"/>
    <m/>
    <m/>
    <m/>
    <m/>
    <m/>
    <m/>
    <m/>
    <x v="42"/>
    <x v="0"/>
    <m/>
    <s v="00024-25"/>
    <m/>
    <m/>
    <n v="45"/>
    <m/>
  </r>
  <r>
    <n v="46"/>
    <x v="10"/>
    <s v="Jenny V."/>
    <s v="Quiñones Angelo"/>
    <s v="Dueño"/>
    <n v="915244218"/>
    <s v="angeloqa12@gmail.com"/>
    <x v="35"/>
    <s v="RUS"/>
    <m/>
    <s v="Lima"/>
    <s v="Surco"/>
    <s v="Lavandería Comercial"/>
    <m/>
    <s v="Web"/>
    <x v="43"/>
    <x v="1"/>
    <m/>
    <s v="0013-25"/>
    <n v="4340"/>
    <n v="45976"/>
    <n v="44"/>
    <m/>
  </r>
  <r>
    <n v="47"/>
    <x v="11"/>
    <s v="Jenny V."/>
    <s v="Benites Jara Juan"/>
    <s v="Asesor técnico Textil"/>
    <n v="983513942"/>
    <s v="juan.benites@vicunha.com"/>
    <x v="36"/>
    <n v="20552553421"/>
    <s v="www.vicunha.com"/>
    <s v="Lima"/>
    <s v="SJL"/>
    <s v="Textil"/>
    <m/>
    <s v="Campo"/>
    <x v="44"/>
    <x v="0"/>
    <m/>
    <m/>
    <m/>
    <m/>
    <n v="46"/>
    <m/>
  </r>
  <r>
    <n v="48"/>
    <x v="12"/>
    <s v="Jenny V."/>
    <s v="Quiñones Angelo"/>
    <s v="Dueño"/>
    <n v="915244218"/>
    <s v="angeloqa12@gmail.com"/>
    <x v="35"/>
    <s v="RUS"/>
    <m/>
    <s v="Lima"/>
    <s v="Surco"/>
    <s v="Lavandería Comercial"/>
    <m/>
    <s v="Web"/>
    <x v="45"/>
    <x v="1"/>
    <m/>
    <s v="0013-25"/>
    <n v="4699"/>
    <n v="45976"/>
    <n v="44"/>
    <m/>
  </r>
  <r>
    <n v="49"/>
    <x v="12"/>
    <s v="Jenny V."/>
    <s v="Ortiz Pizarro Luis Alberto"/>
    <s v="Dueño"/>
    <n v="990216016"/>
    <s v="luis.alberto.ortiz.43@gmail.com"/>
    <x v="33"/>
    <m/>
    <m/>
    <s v="La libertad"/>
    <s v="trujillo"/>
    <s v="Lavandería Comercial"/>
    <m/>
    <s v="Web"/>
    <x v="46"/>
    <x v="3"/>
    <m/>
    <s v="00023-25"/>
    <m/>
    <m/>
    <n v="46"/>
    <m/>
  </r>
  <r>
    <n v="50"/>
    <x v="13"/>
    <s v="Liliana Aldana"/>
    <s v="Ortiz Pizarro Luis Alberto"/>
    <m/>
    <n v="990216016"/>
    <s v="luis.alberto.ortiz.43@gmail.com"/>
    <x v="0"/>
    <m/>
    <m/>
    <m/>
    <m/>
    <s v="Lavandería Comercial"/>
    <s v="Equipo"/>
    <s v="Web"/>
    <x v="47"/>
    <x v="2"/>
    <m/>
    <m/>
    <m/>
    <m/>
    <n v="43"/>
    <m/>
  </r>
  <r>
    <n v="51"/>
    <x v="3"/>
    <s v="Liliana Aldana"/>
    <s v="Ortiz Pizarro Luis Alberto"/>
    <m/>
    <n v="990216016"/>
    <s v="luis.alberto.ortiz.43@gmail.com"/>
    <x v="37"/>
    <m/>
    <m/>
    <m/>
    <m/>
    <s v="Lavandería Comercial"/>
    <s v="Equipo"/>
    <s v="Web"/>
    <x v="48"/>
    <x v="2"/>
    <m/>
    <m/>
    <m/>
    <m/>
    <n v="44"/>
    <m/>
  </r>
  <r>
    <n v="52"/>
    <x v="4"/>
    <s v="Liliana Aldana"/>
    <s v="Ortiz Pizarro Luis Alberto"/>
    <m/>
    <n v="990216016"/>
    <s v="luis.alberto.ortiz.43@gmail.com"/>
    <x v="37"/>
    <m/>
    <m/>
    <m/>
    <m/>
    <s v="Lavandería Comercial"/>
    <s v="Equipo"/>
    <s v="Web"/>
    <x v="49"/>
    <x v="2"/>
    <m/>
    <m/>
    <m/>
    <m/>
    <n v="44"/>
    <m/>
  </r>
  <r>
    <n v="53"/>
    <x v="5"/>
    <s v="Liliana Aldana"/>
    <s v="Ortiz Pizarro Luis Alberto"/>
    <m/>
    <n v="990216016"/>
    <s v="luis.alberto.ortiz.43@gmail.com"/>
    <x v="37"/>
    <m/>
    <m/>
    <m/>
    <m/>
    <s v="Lavandería Comercial"/>
    <s v="Equipo"/>
    <s v="Web"/>
    <x v="50"/>
    <x v="2"/>
    <m/>
    <m/>
    <m/>
    <m/>
    <n v="44"/>
    <m/>
  </r>
  <r>
    <n v="54"/>
    <x v="6"/>
    <s v="Liliana Aldana"/>
    <s v="Ortiz Pizarro Luis Alberto"/>
    <m/>
    <n v="990216016"/>
    <s v="luis.alberto.ortiz.43@gmail.com"/>
    <x v="37"/>
    <m/>
    <m/>
    <m/>
    <m/>
    <s v="Lavandería Comercial"/>
    <s v="Equipo"/>
    <s v="Web"/>
    <x v="51"/>
    <x v="2"/>
    <m/>
    <m/>
    <m/>
    <m/>
    <n v="44"/>
    <m/>
  </r>
  <r>
    <n v="55"/>
    <x v="14"/>
    <s v="Liliana Aldana"/>
    <s v="Ortiz Pizarro Luis Alberto"/>
    <m/>
    <n v="990216016"/>
    <s v="luis.alberto.ortiz.43@gmail.com"/>
    <x v="37"/>
    <m/>
    <m/>
    <m/>
    <m/>
    <s v="Lavandería Comercial"/>
    <s v="Equipo"/>
    <s v="Web"/>
    <x v="51"/>
    <x v="2"/>
    <m/>
    <m/>
    <m/>
    <m/>
    <n v="44"/>
    <m/>
  </r>
  <r>
    <n v="56"/>
    <x v="15"/>
    <s v="Jenny V."/>
    <s v="Armando Reyes"/>
    <s v="Jefe de logística"/>
    <s v="01-3177770 Anexo 239"/>
    <s v="jefatura.logística@losinkasgolf.com"/>
    <x v="38"/>
    <m/>
    <m/>
    <s v="Lima"/>
    <s v="Surco"/>
    <s v="Club entretenimiento"/>
    <m/>
    <s v="Campo"/>
    <x v="52"/>
    <x v="2"/>
    <m/>
    <m/>
    <m/>
    <m/>
    <n v="46"/>
    <m/>
  </r>
  <r>
    <n v="57"/>
    <x v="15"/>
    <s v="Jenny V."/>
    <m/>
    <s v="recepcionista"/>
    <m/>
    <m/>
    <x v="39"/>
    <m/>
    <m/>
    <s v="Lima"/>
    <s v="Surco"/>
    <s v="Hotelería"/>
    <m/>
    <m/>
    <x v="53"/>
    <x v="4"/>
    <m/>
    <m/>
    <m/>
    <m/>
    <n v="46"/>
    <m/>
  </r>
  <r>
    <n v="58"/>
    <x v="16"/>
    <s v="Jenny V."/>
    <s v="Gutierrez Navarro Natalia"/>
    <s v="Jefe de Compras - Logística"/>
    <m/>
    <s v="nnavarro@acity.com.pe"/>
    <x v="31"/>
    <m/>
    <m/>
    <m/>
    <m/>
    <s v="Club entretenimiento"/>
    <m/>
    <s v="Campo"/>
    <x v="54"/>
    <x v="0"/>
    <m/>
    <m/>
    <m/>
    <m/>
    <n v="46"/>
    <m/>
  </r>
  <r>
    <n v="59"/>
    <x v="16"/>
    <s v="Jenny V."/>
    <s v="Amadeo Berrocal"/>
    <s v="Jefe de Lavandería"/>
    <s v="01 6307777 Anexo 5060 Celular de recepción del hotel:  955151882"/>
    <s v="amadeoj.berrocal@hotelesestelar.com"/>
    <x v="40"/>
    <n v="20518738314"/>
    <s v="https://www.estelarmiraflores.com/es/"/>
    <s v="Lima"/>
    <s v="Miraflores"/>
    <s v="Hotelería"/>
    <m/>
    <s v="Campo"/>
    <x v="55"/>
    <x v="2"/>
    <m/>
    <m/>
    <m/>
    <m/>
    <n v="46"/>
    <m/>
  </r>
  <r>
    <n v="60"/>
    <x v="16"/>
    <s v="Jenny V."/>
    <s v="Quiñones Angelo"/>
    <s v="Dueño"/>
    <n v="915244218"/>
    <s v="angeloqa12@gmail.com"/>
    <x v="35"/>
    <s v="RUS"/>
    <m/>
    <s v="Lima"/>
    <s v="Surco"/>
    <s v="Lavandería Comercial"/>
    <m/>
    <s v="Web"/>
    <x v="56"/>
    <x v="5"/>
    <m/>
    <s v="00026-25"/>
    <n v="4100"/>
    <n v="45976"/>
    <n v="44"/>
    <m/>
  </r>
  <r>
    <n v="61"/>
    <x v="17"/>
    <s v="Jenny V."/>
    <s v="Sandra Lopez"/>
    <s v="Encargada de lavandería"/>
    <m/>
    <s v="sandra.lopez@accor.com"/>
    <x v="41"/>
    <m/>
    <m/>
    <s v="Lima"/>
    <s v="Miraflores"/>
    <s v="Hotelería"/>
    <m/>
    <s v="Campo"/>
    <x v="57"/>
    <x v="2"/>
    <m/>
    <m/>
    <m/>
    <m/>
    <n v="46"/>
    <m/>
  </r>
  <r>
    <n v="62"/>
    <x v="17"/>
    <s v="Jenny V."/>
    <s v="Giorgina Guzman"/>
    <s v="Encargada de lavandería"/>
    <m/>
    <s v="giorgina.guzman@accor.com"/>
    <x v="42"/>
    <m/>
    <m/>
    <s v="Lima"/>
    <s v="Miraflores"/>
    <s v="Hotelería"/>
    <m/>
    <s v="Campo"/>
    <x v="58"/>
    <x v="2"/>
    <m/>
    <m/>
    <m/>
    <m/>
    <n v="46"/>
    <m/>
  </r>
  <r>
    <n v="63"/>
    <x v="17"/>
    <s v="Jenny V."/>
    <s v="Recepcionista"/>
    <m/>
    <m/>
    <m/>
    <x v="43"/>
    <s v="´(511) 319-0060"/>
    <s v="https://www.sanagustinexclusive.com/es/"/>
    <s v="Lima"/>
    <s v="Miraflores"/>
    <s v="Hotelería"/>
    <m/>
    <s v="Campo"/>
    <x v="59"/>
    <x v="2"/>
    <m/>
    <m/>
    <m/>
    <m/>
    <n v="46"/>
    <m/>
  </r>
  <r>
    <n v="64"/>
    <x v="18"/>
    <s v="Eco Lara"/>
    <s v="Luis Ángel Gutiérrez Gómez"/>
    <m/>
    <s v="Gerente"/>
    <n v="991574766"/>
    <x v="44"/>
    <n v="20603582552"/>
    <m/>
    <s v="Lima"/>
    <s v="Canada"/>
    <s v="Lavandería Comercial"/>
    <m/>
    <s v="Campo"/>
    <x v="60"/>
    <x v="1"/>
    <m/>
    <m/>
    <m/>
    <m/>
    <n v="44"/>
    <n v="2"/>
  </r>
  <r>
    <n v="65"/>
    <x v="17"/>
    <s v="Eco Lara"/>
    <s v="Luis Ángel Gutiérrez Gómez"/>
    <s v="Mary Saldaña"/>
    <s v="Gerente"/>
    <n v="991574766"/>
    <x v="44"/>
    <n v="20603582552"/>
    <m/>
    <s v="Lima"/>
    <s v="Canada"/>
    <s v="Lavandería Comercial"/>
    <m/>
    <s v="Campo"/>
    <x v="61"/>
    <x v="1"/>
    <m/>
    <s v="00027-25"/>
    <m/>
    <m/>
    <n v="46"/>
    <n v="2"/>
  </r>
  <r>
    <n v="66"/>
    <x v="19"/>
    <s v="Luis Ángel Gutiérrez"/>
    <m/>
    <s v="Gerente"/>
    <n v="904811109"/>
    <s v="https://www.facebook.com/nomebusquesmeencontraste/"/>
    <x v="45"/>
    <s v="."/>
    <m/>
    <s v="Lima"/>
    <s v="Surco"/>
    <s v="Lavanderia Comercial"/>
    <m/>
    <s v="Campo"/>
    <x v="62"/>
    <x v="0"/>
    <m/>
    <m/>
    <m/>
    <m/>
    <n v="43"/>
    <n v="1"/>
  </r>
  <r>
    <n v="67"/>
    <x v="17"/>
    <s v="Jenny V."/>
    <m/>
    <s v="Gerente"/>
    <n v="904811109"/>
    <s v="https://www.facebook.com/nomebusquesmeencontraste/"/>
    <x v="45"/>
    <s v="."/>
    <m/>
    <s v="Lima"/>
    <s v="Surco"/>
    <s v="Lavanderia Comercial"/>
    <m/>
    <s v="Campo"/>
    <x v="63"/>
    <x v="1"/>
    <m/>
    <s v="00028-25"/>
    <m/>
    <m/>
    <n v="43"/>
    <n v="1"/>
  </r>
  <r>
    <n v="68"/>
    <x v="20"/>
    <s v="Jenny V."/>
    <s v="Cajo Cosanatan Yoel"/>
    <s v="Dueño"/>
    <n v="970175949"/>
    <s v="jcosanatan@gmail.com"/>
    <x v="0"/>
    <n v="10774619271"/>
    <m/>
    <s v="Cuzco"/>
    <s v="Cuzco"/>
    <s v="Hotelería"/>
    <m/>
    <s v="Web"/>
    <x v="64"/>
    <x v="1"/>
    <m/>
    <s v="00023-25"/>
    <m/>
    <m/>
    <n v="47"/>
    <m/>
  </r>
  <r>
    <m/>
    <x v="21"/>
    <m/>
    <m/>
    <m/>
    <m/>
    <m/>
    <x v="0"/>
    <m/>
    <m/>
    <m/>
    <m/>
    <m/>
    <m/>
    <m/>
    <x v="65"/>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4350AF-0DAA-4E57-A0A1-279768A94851}" name="TablaDinámica2"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6:C65" firstHeaderRow="1" firstDataRow="1" firstDataCol="2" rowPageCount="1" colPageCount="1"/>
  <pivotFields count="23">
    <pivotField showAll="0"/>
    <pivotField axis="axisRow" compact="0" subtotalTop="0" showAll="0" defaultSubtotal="0">
      <items count="22">
        <item x="0"/>
        <item x="1"/>
        <item x="2"/>
        <item x="3"/>
        <item x="4"/>
        <item x="21"/>
        <item x="5"/>
        <item x="6"/>
        <item x="7"/>
        <item x="8"/>
        <item x="9"/>
        <item x="10"/>
        <item x="11"/>
        <item x="12"/>
        <item x="13"/>
        <item x="14"/>
        <item x="15"/>
        <item x="16"/>
        <item x="17"/>
        <item x="18"/>
        <item x="19"/>
        <item x="20"/>
      </items>
    </pivotField>
    <pivotField showAll="0"/>
    <pivotField showAll="0"/>
    <pivotField showAll="0"/>
    <pivotField showAll="0"/>
    <pivotField showAll="0"/>
    <pivotField axis="axisRow" showAll="0">
      <items count="47">
        <item x="24"/>
        <item x="23"/>
        <item x="25"/>
        <item x="13"/>
        <item x="5"/>
        <item x="2"/>
        <item x="12"/>
        <item x="17"/>
        <item x="9"/>
        <item x="19"/>
        <item x="11"/>
        <item x="4"/>
        <item x="18"/>
        <item x="1"/>
        <item x="3"/>
        <item x="21"/>
        <item x="27"/>
        <item x="22"/>
        <item x="16"/>
        <item x="15"/>
        <item x="14"/>
        <item x="7"/>
        <item x="8"/>
        <item x="26"/>
        <item x="6"/>
        <item x="10"/>
        <item x="20"/>
        <item x="28"/>
        <item x="0"/>
        <item x="29"/>
        <item x="30"/>
        <item x="31"/>
        <item x="32"/>
        <item x="33"/>
        <item x="34"/>
        <item x="35"/>
        <item x="36"/>
        <item x="37"/>
        <item x="38"/>
        <item x="39"/>
        <item x="40"/>
        <item x="41"/>
        <item x="42"/>
        <item x="43"/>
        <item x="44"/>
        <item x="45"/>
        <item t="default"/>
      </items>
    </pivotField>
    <pivotField showAll="0"/>
    <pivotField showAll="0"/>
    <pivotField showAll="0"/>
    <pivotField showAll="0"/>
    <pivotField showAll="0"/>
    <pivotField showAll="0"/>
    <pivotField showAll="0"/>
    <pivotField axis="axisRow" showAll="0">
      <items count="70">
        <item x="22"/>
        <item x="25"/>
        <item x="26"/>
        <item x="8"/>
        <item x="7"/>
        <item x="20"/>
        <item x="5"/>
        <item x="18"/>
        <item x="15"/>
        <item x="11"/>
        <item x="13"/>
        <item x="12"/>
        <item x="24"/>
        <item x="14"/>
        <item x="0"/>
        <item x="4"/>
        <item x="9"/>
        <item x="23"/>
        <item x="6"/>
        <item x="2"/>
        <item x="19"/>
        <item x="1"/>
        <item x="3"/>
        <item x="21"/>
        <item x="16"/>
        <item x="17"/>
        <item x="10"/>
        <item x="65"/>
        <item x="27"/>
        <item x="28"/>
        <item m="1" x="67"/>
        <item m="1" x="68"/>
        <item x="29"/>
        <item x="30"/>
        <item x="31"/>
        <item x="32"/>
        <item x="33"/>
        <item x="34"/>
        <item x="35"/>
        <item x="36"/>
        <item x="37"/>
        <item x="38"/>
        <item x="39"/>
        <item x="40"/>
        <item x="41"/>
        <item x="42"/>
        <item x="43"/>
        <item x="44"/>
        <item x="45"/>
        <item x="46"/>
        <item x="47"/>
        <item x="48"/>
        <item x="49"/>
        <item x="50"/>
        <item x="51"/>
        <item x="52"/>
        <item x="53"/>
        <item x="54"/>
        <item m="1" x="66"/>
        <item x="55"/>
        <item x="56"/>
        <item x="57"/>
        <item x="58"/>
        <item x="59"/>
        <item x="60"/>
        <item x="61"/>
        <item x="62"/>
        <item x="63"/>
        <item x="64"/>
        <item t="default"/>
      </items>
    </pivotField>
    <pivotField axis="axisPage" dataField="1" multipleItemSelectionAllowed="1" showAll="0">
      <items count="7">
        <item h="1" x="0"/>
        <item x="1"/>
        <item h="1" x="4"/>
        <item h="1" x="2"/>
        <item h="1" x="3"/>
        <item h="1" x="5"/>
        <item t="default"/>
      </items>
    </pivotField>
    <pivotField showAll="0"/>
    <pivotField showAll="0"/>
    <pivotField showAll="0"/>
    <pivotField showAll="0"/>
    <pivotField showAll="0"/>
    <pivotField showAll="0"/>
  </pivotFields>
  <rowFields count="3">
    <field x="1"/>
    <field x="7"/>
    <field x="15"/>
  </rowFields>
  <rowItems count="29">
    <i>
      <x v="4"/>
    </i>
    <i r="1">
      <x v="9"/>
    </i>
    <i r="2">
      <x/>
    </i>
    <i>
      <x v="7"/>
    </i>
    <i r="1">
      <x/>
    </i>
    <i r="2">
      <x v="29"/>
    </i>
    <i>
      <x v="8"/>
    </i>
    <i r="1">
      <x/>
    </i>
    <i r="2">
      <x v="36"/>
    </i>
    <i r="1">
      <x v="28"/>
    </i>
    <i r="2">
      <x v="37"/>
    </i>
    <i>
      <x v="11"/>
    </i>
    <i r="1">
      <x v="35"/>
    </i>
    <i r="2">
      <x v="46"/>
    </i>
    <i>
      <x v="13"/>
    </i>
    <i r="1">
      <x v="35"/>
    </i>
    <i r="2">
      <x v="48"/>
    </i>
    <i>
      <x v="18"/>
    </i>
    <i r="1">
      <x v="44"/>
    </i>
    <i r="2">
      <x v="65"/>
    </i>
    <i r="1">
      <x v="45"/>
    </i>
    <i r="2">
      <x v="67"/>
    </i>
    <i>
      <x v="19"/>
    </i>
    <i r="1">
      <x v="44"/>
    </i>
    <i r="2">
      <x v="64"/>
    </i>
    <i>
      <x v="21"/>
    </i>
    <i r="1">
      <x v="28"/>
    </i>
    <i r="2">
      <x v="68"/>
    </i>
    <i t="grand">
      <x/>
    </i>
  </rowItems>
  <colItems count="1">
    <i/>
  </colItems>
  <pageFields count="1">
    <pageField fld="16" hier="-1"/>
  </pageFields>
  <dataFields count="1">
    <dataField name="Cuenta de Estado" fld="16" subtotal="count" baseField="0" baseItem="0"/>
  </dataFields>
  <formats count="51">
    <format dxfId="75">
      <pivotArea dataOnly="0" labelOnly="1" outline="0" fieldPosition="0">
        <references count="1">
          <reference field="1" count="1">
            <x v="1"/>
          </reference>
        </references>
      </pivotArea>
    </format>
    <format dxfId="74">
      <pivotArea dataOnly="0" labelOnly="1" outline="0" fieldPosition="0">
        <references count="1">
          <reference field="1" count="1">
            <x v="2"/>
          </reference>
        </references>
      </pivotArea>
    </format>
    <format dxfId="73">
      <pivotArea dataOnly="0" labelOnly="1" outline="0" fieldPosition="0">
        <references count="1">
          <reference field="1" count="1">
            <x v="3"/>
          </reference>
        </references>
      </pivotArea>
    </format>
    <format dxfId="72">
      <pivotArea dataOnly="0" labelOnly="1" outline="0" fieldPosition="0">
        <references count="1">
          <reference field="1" count="1">
            <x v="4"/>
          </reference>
        </references>
      </pivotArea>
    </format>
    <format dxfId="71">
      <pivotArea dataOnly="0" labelOnly="1" fieldPosition="0">
        <references count="2">
          <reference field="1" count="1" selected="0">
            <x v="0"/>
          </reference>
          <reference field="15" count="6">
            <x v="6"/>
            <x v="14"/>
            <x v="15"/>
            <x v="19"/>
            <x v="21"/>
            <x v="22"/>
          </reference>
        </references>
      </pivotArea>
    </format>
    <format dxfId="70">
      <pivotArea dataOnly="0" labelOnly="1" fieldPosition="0">
        <references count="2">
          <reference field="1" count="1" selected="0">
            <x v="1"/>
          </reference>
          <reference field="15" count="12">
            <x v="3"/>
            <x v="4"/>
            <x v="8"/>
            <x v="9"/>
            <x v="10"/>
            <x v="11"/>
            <x v="13"/>
            <x v="16"/>
            <x v="18"/>
            <x v="24"/>
            <x v="25"/>
            <x v="26"/>
          </reference>
        </references>
      </pivotArea>
    </format>
    <format dxfId="69">
      <pivotArea dataOnly="0" labelOnly="1" fieldPosition="0">
        <references count="2">
          <reference field="1" count="1" selected="0">
            <x v="2"/>
          </reference>
          <reference field="15" count="1">
            <x v="7"/>
          </reference>
        </references>
      </pivotArea>
    </format>
    <format dxfId="68">
      <pivotArea dataOnly="0" labelOnly="1" fieldPosition="0">
        <references count="2">
          <reference field="1" count="1" selected="0">
            <x v="3"/>
          </reference>
          <reference field="15" count="3">
            <x v="5"/>
            <x v="20"/>
            <x v="23"/>
          </reference>
        </references>
      </pivotArea>
    </format>
    <format dxfId="67">
      <pivotArea dataOnly="0" labelOnly="1" fieldPosition="0">
        <references count="2">
          <reference field="1" count="1" selected="0">
            <x v="4"/>
          </reference>
          <reference field="15" count="5">
            <x v="0"/>
            <x v="1"/>
            <x v="2"/>
            <x v="12"/>
            <x v="17"/>
          </reference>
        </references>
      </pivotArea>
    </format>
    <format dxfId="66">
      <pivotArea dataOnly="0" labelOnly="1" outline="0" fieldPosition="0">
        <references count="1">
          <reference field="1" count="1">
            <x v="7"/>
          </reference>
        </references>
      </pivotArea>
    </format>
    <format dxfId="65">
      <pivotArea dataOnly="0" labelOnly="1" outline="0" fieldPosition="0">
        <references count="1">
          <reference field="1" count="1">
            <x v="8"/>
          </reference>
        </references>
      </pivotArea>
    </format>
    <format dxfId="64">
      <pivotArea dataOnly="0" labelOnly="1" outline="0" fieldPosition="0">
        <references count="1">
          <reference field="1" count="1">
            <x v="11"/>
          </reference>
        </references>
      </pivotArea>
    </format>
    <format dxfId="63">
      <pivotArea dataOnly="0" labelOnly="1" outline="0" fieldPosition="0">
        <references count="1">
          <reference field="1" count="1">
            <x v="13"/>
          </reference>
        </references>
      </pivotArea>
    </format>
    <format dxfId="62">
      <pivotArea dataOnly="0" labelOnly="1" fieldPosition="0">
        <references count="2">
          <reference field="1" count="1" selected="0">
            <x v="7"/>
          </reference>
          <reference field="7" count="1">
            <x v="0"/>
          </reference>
        </references>
      </pivotArea>
    </format>
    <format dxfId="61">
      <pivotArea dataOnly="0" labelOnly="1" fieldPosition="0">
        <references count="2">
          <reference field="1" count="1" selected="0">
            <x v="8"/>
          </reference>
          <reference field="7" count="2">
            <x v="0"/>
            <x v="28"/>
          </reference>
        </references>
      </pivotArea>
    </format>
    <format dxfId="60">
      <pivotArea dataOnly="0" labelOnly="1" fieldPosition="0">
        <references count="2">
          <reference field="1" count="1" selected="0">
            <x v="11"/>
          </reference>
          <reference field="7" count="1">
            <x v="35"/>
          </reference>
        </references>
      </pivotArea>
    </format>
    <format dxfId="59">
      <pivotArea dataOnly="0" labelOnly="1" fieldPosition="0">
        <references count="2">
          <reference field="1" count="1" selected="0">
            <x v="13"/>
          </reference>
          <reference field="7" count="1">
            <x v="35"/>
          </reference>
        </references>
      </pivotArea>
    </format>
    <format dxfId="58">
      <pivotArea dataOnly="0" labelOnly="1" fieldPosition="0">
        <references count="3">
          <reference field="1" count="1" selected="0">
            <x v="4"/>
          </reference>
          <reference field="7" count="1" selected="0">
            <x v="9"/>
          </reference>
          <reference field="15" count="1">
            <x v="0"/>
          </reference>
        </references>
      </pivotArea>
    </format>
    <format dxfId="57">
      <pivotArea dataOnly="0" labelOnly="1" fieldPosition="0">
        <references count="3">
          <reference field="1" count="1" selected="0">
            <x v="7"/>
          </reference>
          <reference field="7" count="1" selected="0">
            <x v="0"/>
          </reference>
          <reference field="15" count="1">
            <x v="29"/>
          </reference>
        </references>
      </pivotArea>
    </format>
    <format dxfId="56">
      <pivotArea dataOnly="0" labelOnly="1" fieldPosition="0">
        <references count="3">
          <reference field="1" count="1" selected="0">
            <x v="8"/>
          </reference>
          <reference field="7" count="1" selected="0">
            <x v="0"/>
          </reference>
          <reference field="15" count="1">
            <x v="36"/>
          </reference>
        </references>
      </pivotArea>
    </format>
    <format dxfId="55">
      <pivotArea dataOnly="0" labelOnly="1" fieldPosition="0">
        <references count="3">
          <reference field="1" count="1" selected="0">
            <x v="8"/>
          </reference>
          <reference field="7" count="1" selected="0">
            <x v="28"/>
          </reference>
          <reference field="15" count="1">
            <x v="37"/>
          </reference>
        </references>
      </pivotArea>
    </format>
    <format dxfId="54">
      <pivotArea dataOnly="0" labelOnly="1" fieldPosition="0">
        <references count="3">
          <reference field="1" count="1" selected="0">
            <x v="11"/>
          </reference>
          <reference field="7" count="1" selected="0">
            <x v="35"/>
          </reference>
          <reference field="15" count="1">
            <x v="46"/>
          </reference>
        </references>
      </pivotArea>
    </format>
    <format dxfId="53">
      <pivotArea dataOnly="0" labelOnly="1" fieldPosition="0">
        <references count="3">
          <reference field="1" count="1" selected="0">
            <x v="13"/>
          </reference>
          <reference field="7" count="1" selected="0">
            <x v="35"/>
          </reference>
          <reference field="15" count="1">
            <x v="48"/>
          </reference>
        </references>
      </pivotArea>
    </format>
    <format dxfId="52">
      <pivotArea dataOnly="0" labelOnly="1" outline="0" fieldPosition="0">
        <references count="1">
          <reference field="1" count="1">
            <x v="7"/>
          </reference>
        </references>
      </pivotArea>
    </format>
    <format dxfId="51">
      <pivotArea dataOnly="0" labelOnly="1" outline="0" fieldPosition="0">
        <references count="1">
          <reference field="1" count="1">
            <x v="8"/>
          </reference>
        </references>
      </pivotArea>
    </format>
    <format dxfId="50">
      <pivotArea dataOnly="0" labelOnly="1" outline="0" fieldPosition="0">
        <references count="1">
          <reference field="1" count="1">
            <x v="11"/>
          </reference>
        </references>
      </pivotArea>
    </format>
    <format dxfId="49">
      <pivotArea dataOnly="0" labelOnly="1" outline="0" fieldPosition="0">
        <references count="1">
          <reference field="1" count="1">
            <x v="13"/>
          </reference>
        </references>
      </pivotArea>
    </format>
    <format dxfId="48">
      <pivotArea dataOnly="0" labelOnly="1" fieldPosition="0">
        <references count="2">
          <reference field="1" count="1" selected="0">
            <x v="7"/>
          </reference>
          <reference field="7" count="1">
            <x v="0"/>
          </reference>
        </references>
      </pivotArea>
    </format>
    <format dxfId="47">
      <pivotArea dataOnly="0" labelOnly="1" fieldPosition="0">
        <references count="2">
          <reference field="1" count="1" selected="0">
            <x v="8"/>
          </reference>
          <reference field="7" count="2">
            <x v="0"/>
            <x v="28"/>
          </reference>
        </references>
      </pivotArea>
    </format>
    <format dxfId="46">
      <pivotArea dataOnly="0" labelOnly="1" fieldPosition="0">
        <references count="2">
          <reference field="1" count="1" selected="0">
            <x v="11"/>
          </reference>
          <reference field="7" count="1">
            <x v="35"/>
          </reference>
        </references>
      </pivotArea>
    </format>
    <format dxfId="45">
      <pivotArea dataOnly="0" labelOnly="1" fieldPosition="0">
        <references count="2">
          <reference field="1" count="1" selected="0">
            <x v="13"/>
          </reference>
          <reference field="7" count="1">
            <x v="35"/>
          </reference>
        </references>
      </pivotArea>
    </format>
    <format dxfId="44">
      <pivotArea dataOnly="0" labelOnly="1" fieldPosition="0">
        <references count="3">
          <reference field="1" count="1" selected="0">
            <x v="4"/>
          </reference>
          <reference field="7" count="1" selected="0">
            <x v="9"/>
          </reference>
          <reference field="15" count="1">
            <x v="0"/>
          </reference>
        </references>
      </pivotArea>
    </format>
    <format dxfId="43">
      <pivotArea dataOnly="0" labelOnly="1" fieldPosition="0">
        <references count="3">
          <reference field="1" count="1" selected="0">
            <x v="7"/>
          </reference>
          <reference field="7" count="1" selected="0">
            <x v="0"/>
          </reference>
          <reference field="15" count="1">
            <x v="29"/>
          </reference>
        </references>
      </pivotArea>
    </format>
    <format dxfId="42">
      <pivotArea dataOnly="0" labelOnly="1" fieldPosition="0">
        <references count="3">
          <reference field="1" count="1" selected="0">
            <x v="8"/>
          </reference>
          <reference field="7" count="1" selected="0">
            <x v="0"/>
          </reference>
          <reference field="15" count="1">
            <x v="36"/>
          </reference>
        </references>
      </pivotArea>
    </format>
    <format dxfId="41">
      <pivotArea dataOnly="0" labelOnly="1" fieldPosition="0">
        <references count="3">
          <reference field="1" count="1" selected="0">
            <x v="8"/>
          </reference>
          <reference field="7" count="1" selected="0">
            <x v="28"/>
          </reference>
          <reference field="15" count="1">
            <x v="37"/>
          </reference>
        </references>
      </pivotArea>
    </format>
    <format dxfId="40">
      <pivotArea dataOnly="0" labelOnly="1" fieldPosition="0">
        <references count="3">
          <reference field="1" count="1" selected="0">
            <x v="11"/>
          </reference>
          <reference field="7" count="1" selected="0">
            <x v="35"/>
          </reference>
          <reference field="15" count="1">
            <x v="46"/>
          </reference>
        </references>
      </pivotArea>
    </format>
    <format dxfId="39">
      <pivotArea dataOnly="0" labelOnly="1" fieldPosition="0">
        <references count="3">
          <reference field="1" count="1" selected="0">
            <x v="13"/>
          </reference>
          <reference field="7" count="1" selected="0">
            <x v="35"/>
          </reference>
          <reference field="15" count="1">
            <x v="48"/>
          </reference>
        </references>
      </pivotArea>
    </format>
    <format dxfId="38">
      <pivotArea dataOnly="0" labelOnly="1" outline="0" fieldPosition="0">
        <references count="1">
          <reference field="1" count="1">
            <x v="7"/>
          </reference>
        </references>
      </pivotArea>
    </format>
    <format dxfId="37">
      <pivotArea dataOnly="0" labelOnly="1" outline="0" fieldPosition="0">
        <references count="1">
          <reference field="1" count="1">
            <x v="8"/>
          </reference>
        </references>
      </pivotArea>
    </format>
    <format dxfId="36">
      <pivotArea dataOnly="0" labelOnly="1" outline="0" fieldPosition="0">
        <references count="1">
          <reference field="1" count="1">
            <x v="11"/>
          </reference>
        </references>
      </pivotArea>
    </format>
    <format dxfId="35">
      <pivotArea dataOnly="0" labelOnly="1" outline="0" fieldPosition="0">
        <references count="1">
          <reference field="1" count="1">
            <x v="13"/>
          </reference>
        </references>
      </pivotArea>
    </format>
    <format dxfId="34">
      <pivotArea dataOnly="0" labelOnly="1" fieldPosition="0">
        <references count="2">
          <reference field="1" count="1" selected="0">
            <x v="7"/>
          </reference>
          <reference field="7" count="1">
            <x v="0"/>
          </reference>
        </references>
      </pivotArea>
    </format>
    <format dxfId="33">
      <pivotArea dataOnly="0" labelOnly="1" fieldPosition="0">
        <references count="2">
          <reference field="1" count="1" selected="0">
            <x v="8"/>
          </reference>
          <reference field="7" count="2">
            <x v="0"/>
            <x v="28"/>
          </reference>
        </references>
      </pivotArea>
    </format>
    <format dxfId="32">
      <pivotArea dataOnly="0" labelOnly="1" fieldPosition="0">
        <references count="2">
          <reference field="1" count="1" selected="0">
            <x v="11"/>
          </reference>
          <reference field="7" count="1">
            <x v="35"/>
          </reference>
        </references>
      </pivotArea>
    </format>
    <format dxfId="31">
      <pivotArea dataOnly="0" labelOnly="1" fieldPosition="0">
        <references count="2">
          <reference field="1" count="1" selected="0">
            <x v="13"/>
          </reference>
          <reference field="7" count="1">
            <x v="35"/>
          </reference>
        </references>
      </pivotArea>
    </format>
    <format dxfId="30">
      <pivotArea dataOnly="0" labelOnly="1" fieldPosition="0">
        <references count="3">
          <reference field="1" count="1" selected="0">
            <x v="4"/>
          </reference>
          <reference field="7" count="1" selected="0">
            <x v="9"/>
          </reference>
          <reference field="15" count="1">
            <x v="0"/>
          </reference>
        </references>
      </pivotArea>
    </format>
    <format dxfId="29">
      <pivotArea dataOnly="0" labelOnly="1" fieldPosition="0">
        <references count="3">
          <reference field="1" count="1" selected="0">
            <x v="7"/>
          </reference>
          <reference field="7" count="1" selected="0">
            <x v="0"/>
          </reference>
          <reference field="15" count="1">
            <x v="29"/>
          </reference>
        </references>
      </pivotArea>
    </format>
    <format dxfId="28">
      <pivotArea dataOnly="0" labelOnly="1" fieldPosition="0">
        <references count="3">
          <reference field="1" count="1" selected="0">
            <x v="8"/>
          </reference>
          <reference field="7" count="1" selected="0">
            <x v="0"/>
          </reference>
          <reference field="15" count="1">
            <x v="36"/>
          </reference>
        </references>
      </pivotArea>
    </format>
    <format dxfId="27">
      <pivotArea dataOnly="0" labelOnly="1" fieldPosition="0">
        <references count="3">
          <reference field="1" count="1" selected="0">
            <x v="8"/>
          </reference>
          <reference field="7" count="1" selected="0">
            <x v="28"/>
          </reference>
          <reference field="15" count="1">
            <x v="37"/>
          </reference>
        </references>
      </pivotArea>
    </format>
    <format dxfId="26">
      <pivotArea dataOnly="0" labelOnly="1" fieldPosition="0">
        <references count="3">
          <reference field="1" count="1" selected="0">
            <x v="11"/>
          </reference>
          <reference field="7" count="1" selected="0">
            <x v="35"/>
          </reference>
          <reference field="15" count="1">
            <x v="46"/>
          </reference>
        </references>
      </pivotArea>
    </format>
    <format dxfId="25">
      <pivotArea dataOnly="0" labelOnly="1" fieldPosition="0">
        <references count="3">
          <reference field="1" count="1" selected="0">
            <x v="13"/>
          </reference>
          <reference field="7" count="1" selected="0">
            <x v="35"/>
          </reference>
          <reference field="15" count="1">
            <x v="4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830E6D-AA9E-42E6-867A-7F5C26C1366F}" name="TablaDinámica1"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6" firstHeaderRow="1" firstDataRow="1" firstDataCol="1"/>
  <pivotFields count="23">
    <pivotField showAll="0"/>
    <pivotField axis="axisRow" dataField="1" showAll="0">
      <items count="23">
        <item x="0"/>
        <item x="1"/>
        <item x="2"/>
        <item x="3"/>
        <item x="4"/>
        <item x="21"/>
        <item x="5"/>
        <item x="6"/>
        <item x="7"/>
        <item x="8"/>
        <item x="9"/>
        <item x="10"/>
        <item x="11"/>
        <item x="12"/>
        <item x="13"/>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uenta de Fecha" fld="1" subtotal="count" baseField="0" baseItem="0"/>
  </dataFields>
  <formats count="2">
    <format dxfId="77">
      <pivotArea collapsedLevelsAreSubtotals="1" fieldPosition="0">
        <references count="1">
          <reference field="1" count="0"/>
        </references>
      </pivotArea>
    </format>
    <format dxfId="76">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3B1AB9-7F0F-D84B-AC32-C86F3A1972D6}" name="Tabla1" displayName="Tabla1" ref="A1:V101" totalsRowShown="0" headerRowDxfId="24" headerRowBorderDxfId="23" tableBorderDxfId="22">
  <autoFilter ref="A1:V101" xr:uid="{EB5361FD-F667-0F44-A452-850AB1FAA67A}"/>
  <tableColumns count="22">
    <tableColumn id="1" xr3:uid="{AAA71B2E-767C-E344-BCEC-D5DD816980C7}" name="No." dataDxfId="21"/>
    <tableColumn id="2" xr3:uid="{1BA18B6E-DE39-C946-BA2B-450969A246AC}" name="Fecha" dataDxfId="20"/>
    <tableColumn id="3" xr3:uid="{ACB3EAFD-AC34-624D-9918-BE8C8C7ABD80}" name="Asesor" dataDxfId="19"/>
    <tableColumn id="4" xr3:uid="{403FD894-1ECF-9D48-AB40-3931E86927EF}" name="Contacto" dataDxfId="18"/>
    <tableColumn id="5" xr3:uid="{3705C0EC-521E-504E-90F1-958CC80D5F89}" name="Cargo" dataDxfId="17"/>
    <tableColumn id="6" xr3:uid="{77E6BF74-E993-BD49-AF91-2968B48D8714}" name="teléfono" dataDxfId="16"/>
    <tableColumn id="7" xr3:uid="{08ECD5E8-6BDC-364D-AF3A-8AC98E7BD585}" name="Mail" dataDxfId="15" dataCellStyle="Hipervínculo"/>
    <tableColumn id="8" xr3:uid="{34C2DCE1-3594-5E40-9C13-C866253D5CCA}" name="Razón Social" dataDxfId="14"/>
    <tableColumn id="9" xr3:uid="{424202A6-7761-FE46-AD69-7B69E99E0C81}" name="RUC" dataDxfId="13"/>
    <tableColumn id="10" xr3:uid="{2199D05F-9B9C-484B-953E-E1C405B7015C}" name="Web" dataDxfId="12" dataCellStyle="Hipervínculo"/>
    <tableColumn id="11" xr3:uid="{860B2A9A-B081-8545-8714-0138C62CBBF7}" name="Departamento" dataDxfId="11"/>
    <tableColumn id="12" xr3:uid="{7688BD8F-3D51-B74B-B973-68FC8CFECB01}" name="Distrito" dataDxfId="10"/>
    <tableColumn id="13" xr3:uid="{325DA816-3642-4D46-B921-5BD290E7CCB7}" name="Rubro" dataDxfId="9"/>
    <tableColumn id="14" xr3:uid="{A0E4E31A-E018-CD44-8D76-1EAC3DCF0F77}" name="Tipo de producto" dataDxfId="8"/>
    <tableColumn id="15" xr3:uid="{28600205-84EE-1642-BE09-7F7071C2B454}" name="Origen del lead" dataDxfId="7"/>
    <tableColumn id="16" xr3:uid="{EFC8BADC-996D-C74A-95D3-0E5B316CDC56}" name="Descripción" dataDxfId="6"/>
    <tableColumn id="17" xr3:uid="{0BC51479-1C25-FE42-A5DA-E79DFC23AA8C}" name="Estado" dataDxfId="5"/>
    <tableColumn id="18" xr3:uid="{BA941116-7BD5-DE4D-AD52-455D5A6554E4}" name="Monto de la oportunidad" dataDxfId="4"/>
    <tableColumn id="19" xr3:uid="{51483C86-3801-BC4D-9754-53D0F8CCCD50}" name="No. Cotización" dataDxfId="3"/>
    <tableColumn id="20" xr3:uid="{68846C04-5769-4040-B450-858B07747624}" name="Valor Cotización + IGV" dataDxfId="2"/>
    <tableColumn id="21" xr3:uid="{C16E7C87-7F74-D64C-A34D-2BA3B8893B6B}" name="Fecha seguimiento" dataDxfId="1"/>
    <tableColumn id="22" xr3:uid="{A31CB7A2-464B-9044-8370-210F7893EE6D}" name="Semana" dataDxfId="0">
      <calculatedColumnFormula>WEEKNUM(Tabla1[[#This Row],[Fecha]])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www.gdc.pe/" TargetMode="External"/><Relationship Id="rId21" Type="http://schemas.openxmlformats.org/officeDocument/2006/relationships/hyperlink" Target="http://www.medicalhome.com.pe/" TargetMode="External"/><Relationship Id="rId42" Type="http://schemas.openxmlformats.org/officeDocument/2006/relationships/hyperlink" Target="mailto:nnavarro@acity.com.pe" TargetMode="External"/><Relationship Id="rId47" Type="http://schemas.openxmlformats.org/officeDocument/2006/relationships/hyperlink" Target="mailto:moisesfranklinccasanichahua@gmail.com" TargetMode="External"/><Relationship Id="rId63" Type="http://schemas.openxmlformats.org/officeDocument/2006/relationships/hyperlink" Target="https://www.facebook.com/nomebusquesmeencontraste/" TargetMode="External"/><Relationship Id="rId68" Type="http://schemas.openxmlformats.org/officeDocument/2006/relationships/hyperlink" Target="http://www.moncal.pe/" TargetMode="External"/><Relationship Id="rId16" Type="http://schemas.openxmlformats.org/officeDocument/2006/relationships/hyperlink" Target="http://www.cuscohealth.com/" TargetMode="External"/><Relationship Id="rId11" Type="http://schemas.openxmlformats.org/officeDocument/2006/relationships/hyperlink" Target="http://www.clinicapardocusco.com/" TargetMode="External"/><Relationship Id="rId32" Type="http://schemas.openxmlformats.org/officeDocument/2006/relationships/hyperlink" Target="mailto:logistica@idetex.com.pe" TargetMode="External"/><Relationship Id="rId37" Type="http://schemas.openxmlformats.org/officeDocument/2006/relationships/hyperlink" Target="mailto:jcosanatan@gmail.com" TargetMode="External"/><Relationship Id="rId53" Type="http://schemas.openxmlformats.org/officeDocument/2006/relationships/hyperlink" Target="mailto:luis.alberto.ortiz.43@gmail.com" TargetMode="External"/><Relationship Id="rId58" Type="http://schemas.openxmlformats.org/officeDocument/2006/relationships/hyperlink" Target="https://www.estelarmiraflores.com/es/" TargetMode="External"/><Relationship Id="rId74" Type="http://schemas.openxmlformats.org/officeDocument/2006/relationships/hyperlink" Target="mailto:cmarroquin@chinalco.com.pe" TargetMode="External"/><Relationship Id="rId79" Type="http://schemas.openxmlformats.org/officeDocument/2006/relationships/hyperlink" Target="mailto:gserquen@aquanqa,pe" TargetMode="External"/><Relationship Id="rId5" Type="http://schemas.openxmlformats.org/officeDocument/2006/relationships/hyperlink" Target="http://www.garciabragagnini.com/" TargetMode="External"/><Relationship Id="rId61" Type="http://schemas.openxmlformats.org/officeDocument/2006/relationships/hyperlink" Target="https://www.sanagustinexclusive.com/es/" TargetMode="External"/><Relationship Id="rId82" Type="http://schemas.openxmlformats.org/officeDocument/2006/relationships/hyperlink" Target="mailto:cdiaz@casa-andina.com" TargetMode="External"/><Relationship Id="rId19" Type="http://schemas.openxmlformats.org/officeDocument/2006/relationships/hyperlink" Target="http://www.clinica-casafranca.com/" TargetMode="External"/><Relationship Id="rId14" Type="http://schemas.openxmlformats.org/officeDocument/2006/relationships/hyperlink" Target="mailto:clinicasjd@sanjuandedioscusco.org" TargetMode="External"/><Relationship Id="rId22" Type="http://schemas.openxmlformats.org/officeDocument/2006/relationships/hyperlink" Target="http://www.macsalud.com/" TargetMode="External"/><Relationship Id="rId27" Type="http://schemas.openxmlformats.org/officeDocument/2006/relationships/hyperlink" Target="http://www.gdc.pe/" TargetMode="External"/><Relationship Id="rId30" Type="http://schemas.openxmlformats.org/officeDocument/2006/relationships/hyperlink" Target="mailto:arevilla@westininlima.com" TargetMode="External"/><Relationship Id="rId35" Type="http://schemas.openxmlformats.org/officeDocument/2006/relationships/hyperlink" Target="mailto:egonzales@bengala.pe" TargetMode="External"/><Relationship Id="rId43" Type="http://schemas.openxmlformats.org/officeDocument/2006/relationships/hyperlink" Target="mailto:marlene.galicia@sheraton.com" TargetMode="External"/><Relationship Id="rId48" Type="http://schemas.openxmlformats.org/officeDocument/2006/relationships/hyperlink" Target="mailto:leonardo.rodriguez@decapolisperu.com" TargetMode="External"/><Relationship Id="rId56" Type="http://schemas.openxmlformats.org/officeDocument/2006/relationships/hyperlink" Target="mailto:nnavarro@acity.com.pe" TargetMode="External"/><Relationship Id="rId64" Type="http://schemas.openxmlformats.org/officeDocument/2006/relationships/hyperlink" Target="https://www.facebook.com/nomebusquesmeencontraste/" TargetMode="External"/><Relationship Id="rId69" Type="http://schemas.openxmlformats.org/officeDocument/2006/relationships/hyperlink" Target="mailto:moisesfranklinccasanichahua@gmail.com" TargetMode="External"/><Relationship Id="rId77" Type="http://schemas.openxmlformats.org/officeDocument/2006/relationships/hyperlink" Target="mailto:martin.meza@melia.com" TargetMode="External"/><Relationship Id="rId8" Type="http://schemas.openxmlformats.org/officeDocument/2006/relationships/hyperlink" Target="http://www.clinicadac.com/" TargetMode="External"/><Relationship Id="rId51" Type="http://schemas.openxmlformats.org/officeDocument/2006/relationships/hyperlink" Target="mailto:angeloqa12@gmail.com" TargetMode="External"/><Relationship Id="rId72" Type="http://schemas.openxmlformats.org/officeDocument/2006/relationships/hyperlink" Target="mailto:gerencia@lavaquick.com" TargetMode="External"/><Relationship Id="rId80" Type="http://schemas.openxmlformats.org/officeDocument/2006/relationships/hyperlink" Target="mailto:adelcampo@losportales.com.pe" TargetMode="External"/><Relationship Id="rId3" Type="http://schemas.openxmlformats.org/officeDocument/2006/relationships/hyperlink" Target="http://www.sanjuandediosarequipa.com/" TargetMode="External"/><Relationship Id="rId12" Type="http://schemas.openxmlformats.org/officeDocument/2006/relationships/hyperlink" Target="mailto:informes@sanjose.com.pe" TargetMode="External"/><Relationship Id="rId17" Type="http://schemas.openxmlformats.org/officeDocument/2006/relationships/hyperlink" Target="http://www.clinicacornejo.com/" TargetMode="External"/><Relationship Id="rId25" Type="http://schemas.openxmlformats.org/officeDocument/2006/relationships/hyperlink" Target="http://www.clinicalospinos.com/" TargetMode="External"/><Relationship Id="rId33" Type="http://schemas.openxmlformats.org/officeDocument/2006/relationships/hyperlink" Target="http://www.idetex.com.pe/" TargetMode="External"/><Relationship Id="rId38" Type="http://schemas.openxmlformats.org/officeDocument/2006/relationships/hyperlink" Target="mailto:arevilla@westininlima.com" TargetMode="External"/><Relationship Id="rId46" Type="http://schemas.openxmlformats.org/officeDocument/2006/relationships/hyperlink" Target="mailto:luis.alberto.ortiz.43@gmail.com" TargetMode="External"/><Relationship Id="rId59" Type="http://schemas.openxmlformats.org/officeDocument/2006/relationships/hyperlink" Target="mailto:sandra.lopez@accor.com" TargetMode="External"/><Relationship Id="rId67" Type="http://schemas.openxmlformats.org/officeDocument/2006/relationships/hyperlink" Target="https://www.facebook.com/nomebusquesmeencontraste/" TargetMode="External"/><Relationship Id="rId20" Type="http://schemas.openxmlformats.org/officeDocument/2006/relationships/hyperlink" Target="mailto:info@clinica-casafranca.com" TargetMode="External"/><Relationship Id="rId41" Type="http://schemas.openxmlformats.org/officeDocument/2006/relationships/hyperlink" Target="http://www.corporacionpanaservice.com/" TargetMode="External"/><Relationship Id="rId54" Type="http://schemas.openxmlformats.org/officeDocument/2006/relationships/hyperlink" Target="mailto:luis.alberto.ortiz.43@gmail.com" TargetMode="External"/><Relationship Id="rId62" Type="http://schemas.openxmlformats.org/officeDocument/2006/relationships/hyperlink" Target="mailto:angeloqa12@gmail.com" TargetMode="External"/><Relationship Id="rId70" Type="http://schemas.openxmlformats.org/officeDocument/2006/relationships/hyperlink" Target="mailto:jcosanatan@gmail.com" TargetMode="External"/><Relationship Id="rId75" Type="http://schemas.openxmlformats.org/officeDocument/2006/relationships/hyperlink" Target="mailto:ventas@aquaruf.com.pe" TargetMode="External"/><Relationship Id="rId83" Type="http://schemas.openxmlformats.org/officeDocument/2006/relationships/table" Target="../tables/table1.xml"/><Relationship Id="rId1" Type="http://schemas.openxmlformats.org/officeDocument/2006/relationships/hyperlink" Target="http://www.clinicarequipa.com.pe/" TargetMode="External"/><Relationship Id="rId6" Type="http://schemas.openxmlformats.org/officeDocument/2006/relationships/hyperlink" Target="http://www.clinicadac.com/" TargetMode="External"/><Relationship Id="rId15" Type="http://schemas.openxmlformats.org/officeDocument/2006/relationships/hyperlink" Target="http://www.clinicasanjuandedioscusco.org/" TargetMode="External"/><Relationship Id="rId23" Type="http://schemas.openxmlformats.org/officeDocument/2006/relationships/hyperlink" Target="https://www.lavanderiasdonmarcelo.com/" TargetMode="External"/><Relationship Id="rId28" Type="http://schemas.openxmlformats.org/officeDocument/2006/relationships/hyperlink" Target="http://www.lucent.pe/" TargetMode="External"/><Relationship Id="rId36" Type="http://schemas.openxmlformats.org/officeDocument/2006/relationships/hyperlink" Target="mailto:marlene.galicia@sheraton.com" TargetMode="External"/><Relationship Id="rId49" Type="http://schemas.openxmlformats.org/officeDocument/2006/relationships/hyperlink" Target="mailto:juan.benites@vicunha.com" TargetMode="External"/><Relationship Id="rId57" Type="http://schemas.openxmlformats.org/officeDocument/2006/relationships/hyperlink" Target="mailto:amadeoj.berrocal@hotelesestelar.com" TargetMode="External"/><Relationship Id="rId10" Type="http://schemas.openxmlformats.org/officeDocument/2006/relationships/hyperlink" Target="mailto:contabilidad3.montecarmelo@gmail.com" TargetMode="External"/><Relationship Id="rId31" Type="http://schemas.openxmlformats.org/officeDocument/2006/relationships/hyperlink" Target="https://www.casa-andina.com/es/destinos/surco/hoteles/casa-andina-premium-golf-los-incas" TargetMode="External"/><Relationship Id="rId44" Type="http://schemas.openxmlformats.org/officeDocument/2006/relationships/hyperlink" Target="http://www.lucent.pe/" TargetMode="External"/><Relationship Id="rId52" Type="http://schemas.openxmlformats.org/officeDocument/2006/relationships/hyperlink" Target="mailto:luis.alberto.ortiz.43@gmail.com" TargetMode="External"/><Relationship Id="rId60" Type="http://schemas.openxmlformats.org/officeDocument/2006/relationships/hyperlink" Target="mailto:giorgina.guzman@accor.com" TargetMode="External"/><Relationship Id="rId65" Type="http://schemas.openxmlformats.org/officeDocument/2006/relationships/hyperlink" Target="mailto:jcosanatan@gmail.com" TargetMode="External"/><Relationship Id="rId73" Type="http://schemas.openxmlformats.org/officeDocument/2006/relationships/hyperlink" Target="mailto:logistica@miraflorescolonhotel.com" TargetMode="External"/><Relationship Id="rId78" Type="http://schemas.openxmlformats.org/officeDocument/2006/relationships/hyperlink" Target="mailto:martin.meza@melia.com" TargetMode="External"/><Relationship Id="rId81" Type="http://schemas.openxmlformats.org/officeDocument/2006/relationships/hyperlink" Target="mailto:osoria@losdelfineshotel.com.pe" TargetMode="External"/><Relationship Id="rId4" Type="http://schemas.openxmlformats.org/officeDocument/2006/relationships/hyperlink" Target="mailto:logistica@sanjuandediosarequipa.com" TargetMode="External"/><Relationship Id="rId9" Type="http://schemas.openxmlformats.org/officeDocument/2006/relationships/hyperlink" Target="http://www.montecarmelocm.com/" TargetMode="External"/><Relationship Id="rId13" Type="http://schemas.openxmlformats.org/officeDocument/2006/relationships/hyperlink" Target="mailto:consultas@cps.com.pe" TargetMode="External"/><Relationship Id="rId18" Type="http://schemas.openxmlformats.org/officeDocument/2006/relationships/hyperlink" Target="mailto:info@clinicacornejo.com" TargetMode="External"/><Relationship Id="rId39" Type="http://schemas.openxmlformats.org/officeDocument/2006/relationships/hyperlink" Target="mailto:gavelino@clubnacional.org.pe" TargetMode="External"/><Relationship Id="rId34" Type="http://schemas.openxmlformats.org/officeDocument/2006/relationships/hyperlink" Target="mailto:carolains.vargas@paz.pe" TargetMode="External"/><Relationship Id="rId50" Type="http://schemas.openxmlformats.org/officeDocument/2006/relationships/hyperlink" Target="http://www.vicunha.com/" TargetMode="External"/><Relationship Id="rId55" Type="http://schemas.openxmlformats.org/officeDocument/2006/relationships/hyperlink" Target="mailto:jefatura.log&#237;stica@losinkasgolf.com" TargetMode="External"/><Relationship Id="rId76" Type="http://schemas.openxmlformats.org/officeDocument/2006/relationships/hyperlink" Target="mailto:recepcion.hgisurco@den-group.com" TargetMode="External"/><Relationship Id="rId7" Type="http://schemas.openxmlformats.org/officeDocument/2006/relationships/hyperlink" Target="https://clinicasanjosecusco.com/" TargetMode="External"/><Relationship Id="rId71" Type="http://schemas.openxmlformats.org/officeDocument/2006/relationships/hyperlink" Target="mailto:housekeeping@radissonred.com.pe" TargetMode="External"/><Relationship Id="rId2" Type="http://schemas.openxmlformats.org/officeDocument/2006/relationships/hyperlink" Target="mailto:jchecca@clinicaarequipa.com.pe" TargetMode="External"/><Relationship Id="rId29" Type="http://schemas.openxmlformats.org/officeDocument/2006/relationships/hyperlink" Target="http://www.lucent.pe/" TargetMode="External"/><Relationship Id="rId24" Type="http://schemas.openxmlformats.org/officeDocument/2006/relationships/hyperlink" Target="mailto:donmar@gmail.com" TargetMode="External"/><Relationship Id="rId40" Type="http://schemas.openxmlformats.org/officeDocument/2006/relationships/hyperlink" Target="mailto:gerencia@corporacionpanaservice.com" TargetMode="External"/><Relationship Id="rId45" Type="http://schemas.openxmlformats.org/officeDocument/2006/relationships/hyperlink" Target="http://www.lucent.pe/" TargetMode="External"/><Relationship Id="rId66" Type="http://schemas.openxmlformats.org/officeDocument/2006/relationships/hyperlink" Target="mailto:drevilla@westinlim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4AA7-663E-4A59-B03C-742D5BD196FA}">
  <dimension ref="A3:C65"/>
  <sheetViews>
    <sheetView zoomScale="52" zoomScaleNormal="40" workbookViewId="0">
      <selection activeCell="B50" sqref="B50"/>
    </sheetView>
  </sheetViews>
  <sheetFormatPr baseColWidth="10" defaultRowHeight="15.75" x14ac:dyDescent="0.25"/>
  <cols>
    <col min="1" max="1" width="24.875" bestFit="1" customWidth="1"/>
    <col min="2" max="2" width="20.125" bestFit="1" customWidth="1"/>
    <col min="3" max="3" width="21.25" bestFit="1" customWidth="1"/>
    <col min="4" max="4" width="146.375" bestFit="1" customWidth="1"/>
    <col min="5" max="5" width="74.625" bestFit="1" customWidth="1"/>
    <col min="6" max="6" width="81" bestFit="1" customWidth="1"/>
    <col min="7" max="7" width="88.75" bestFit="1" customWidth="1"/>
    <col min="8" max="8" width="38.625" bestFit="1" customWidth="1"/>
    <col min="9" max="9" width="72.875" bestFit="1" customWidth="1"/>
    <col min="10" max="10" width="66.375" bestFit="1" customWidth="1"/>
    <col min="11" max="11" width="16.625" bestFit="1" customWidth="1"/>
    <col min="12" max="12" width="9.5" bestFit="1" customWidth="1"/>
    <col min="13" max="13" width="67.125" bestFit="1" customWidth="1"/>
    <col min="14" max="14" width="111.75" bestFit="1" customWidth="1"/>
    <col min="15" max="15" width="99.125" bestFit="1" customWidth="1"/>
    <col min="16" max="16" width="83.75" bestFit="1" customWidth="1"/>
    <col min="17" max="17" width="25.375" bestFit="1" customWidth="1"/>
    <col min="18" max="18" width="95.875" bestFit="1" customWidth="1"/>
    <col min="19" max="19" width="211.75" bestFit="1" customWidth="1"/>
    <col min="20" max="20" width="51.625" bestFit="1" customWidth="1"/>
    <col min="21" max="21" width="92.875" bestFit="1" customWidth="1"/>
    <col min="22" max="22" width="60.375" bestFit="1" customWidth="1"/>
    <col min="23" max="23" width="116.25" bestFit="1" customWidth="1"/>
    <col min="24" max="24" width="98.5" bestFit="1" customWidth="1"/>
    <col min="25" max="25" width="106.375" bestFit="1" customWidth="1"/>
    <col min="26" max="26" width="116.875" bestFit="1" customWidth="1"/>
    <col min="27" max="27" width="124.875" bestFit="1" customWidth="1"/>
    <col min="28" max="28" width="43.875" bestFit="1" customWidth="1"/>
    <col min="29" max="29" width="11.625" bestFit="1" customWidth="1"/>
  </cols>
  <sheetData>
    <row r="3" spans="1:2" x14ac:dyDescent="0.25">
      <c r="A3" s="5" t="s">
        <v>174</v>
      </c>
      <c r="B3" t="s">
        <v>182</v>
      </c>
    </row>
    <row r="4" spans="1:2" ht="18.75" x14ac:dyDescent="0.3">
      <c r="A4" s="12">
        <v>45943</v>
      </c>
      <c r="B4" s="13">
        <v>6</v>
      </c>
    </row>
    <row r="5" spans="1:2" ht="18.75" x14ac:dyDescent="0.3">
      <c r="A5" s="12">
        <v>45944</v>
      </c>
      <c r="B5" s="13">
        <v>13</v>
      </c>
    </row>
    <row r="6" spans="1:2" ht="18.75" x14ac:dyDescent="0.3">
      <c r="A6" s="12">
        <v>45951</v>
      </c>
      <c r="B6" s="13">
        <v>1</v>
      </c>
    </row>
    <row r="7" spans="1:2" ht="18.75" x14ac:dyDescent="0.3">
      <c r="A7" s="12">
        <v>45957</v>
      </c>
      <c r="B7" s="13">
        <v>4</v>
      </c>
    </row>
    <row r="8" spans="1:2" ht="18.75" x14ac:dyDescent="0.3">
      <c r="A8" s="12">
        <v>45958</v>
      </c>
      <c r="B8" s="13">
        <v>6</v>
      </c>
    </row>
    <row r="9" spans="1:2" ht="18.75" x14ac:dyDescent="0.3">
      <c r="A9" s="9" t="s">
        <v>188</v>
      </c>
      <c r="B9" s="13"/>
    </row>
    <row r="10" spans="1:2" ht="18.75" x14ac:dyDescent="0.3">
      <c r="A10" s="12">
        <v>45959</v>
      </c>
      <c r="B10" s="13">
        <v>2</v>
      </c>
    </row>
    <row r="11" spans="1:2" ht="18.75" x14ac:dyDescent="0.3">
      <c r="A11" s="12">
        <v>45960</v>
      </c>
      <c r="B11" s="13">
        <v>4</v>
      </c>
    </row>
    <row r="12" spans="1:2" ht="18.75" x14ac:dyDescent="0.3">
      <c r="A12" s="12">
        <v>45964</v>
      </c>
      <c r="B12" s="13">
        <v>6</v>
      </c>
    </row>
    <row r="13" spans="1:2" ht="18.75" x14ac:dyDescent="0.3">
      <c r="A13" s="12">
        <v>45965</v>
      </c>
      <c r="B13" s="13">
        <v>4</v>
      </c>
    </row>
    <row r="14" spans="1:2" ht="18.75" x14ac:dyDescent="0.3">
      <c r="A14" s="12">
        <v>45967</v>
      </c>
      <c r="B14" s="13">
        <v>3</v>
      </c>
    </row>
    <row r="15" spans="1:2" ht="18.75" x14ac:dyDescent="0.3">
      <c r="A15" s="12">
        <v>45969</v>
      </c>
      <c r="B15" s="13">
        <v>1</v>
      </c>
    </row>
    <row r="16" spans="1:2" ht="18.75" x14ac:dyDescent="0.3">
      <c r="A16" s="12">
        <v>45971</v>
      </c>
      <c r="B16" s="13">
        <v>1</v>
      </c>
    </row>
    <row r="17" spans="1:2" ht="18.75" x14ac:dyDescent="0.3">
      <c r="A17" s="12">
        <v>45972</v>
      </c>
      <c r="B17" s="13">
        <v>2</v>
      </c>
    </row>
    <row r="18" spans="1:2" ht="18.75" x14ac:dyDescent="0.3">
      <c r="A18" s="12">
        <v>45954</v>
      </c>
      <c r="B18" s="13">
        <v>1</v>
      </c>
    </row>
    <row r="19" spans="1:2" ht="18.75" x14ac:dyDescent="0.3">
      <c r="A19" s="12">
        <v>45961</v>
      </c>
      <c r="B19" s="13">
        <v>1</v>
      </c>
    </row>
    <row r="20" spans="1:2" ht="18.75" x14ac:dyDescent="0.3">
      <c r="A20" s="12">
        <v>45973</v>
      </c>
      <c r="B20" s="13">
        <v>2</v>
      </c>
    </row>
    <row r="21" spans="1:2" ht="18.75" x14ac:dyDescent="0.3">
      <c r="A21" s="12">
        <v>45974</v>
      </c>
      <c r="B21" s="13">
        <v>3</v>
      </c>
    </row>
    <row r="22" spans="1:2" ht="18.75" x14ac:dyDescent="0.3">
      <c r="A22" s="12">
        <v>45975</v>
      </c>
      <c r="B22" s="13">
        <v>5</v>
      </c>
    </row>
    <row r="23" spans="1:2" ht="18.75" x14ac:dyDescent="0.3">
      <c r="A23" s="12">
        <v>45956</v>
      </c>
      <c r="B23" s="13">
        <v>1</v>
      </c>
    </row>
    <row r="24" spans="1:2" ht="18.75" x14ac:dyDescent="0.3">
      <c r="A24" s="12">
        <v>45950</v>
      </c>
      <c r="B24" s="13">
        <v>1</v>
      </c>
    </row>
    <row r="25" spans="1:2" ht="18.75" x14ac:dyDescent="0.3">
      <c r="A25" s="12">
        <v>45978</v>
      </c>
      <c r="B25" s="13">
        <v>1</v>
      </c>
    </row>
    <row r="26" spans="1:2" x14ac:dyDescent="0.25">
      <c r="A26" s="6" t="s">
        <v>175</v>
      </c>
      <c r="B26">
        <v>68</v>
      </c>
    </row>
    <row r="27" spans="1:2" x14ac:dyDescent="0.25">
      <c r="A27" s="6"/>
    </row>
    <row r="28" spans="1:2" x14ac:dyDescent="0.25">
      <c r="A28" s="6"/>
    </row>
    <row r="29" spans="1:2" x14ac:dyDescent="0.25">
      <c r="A29" s="6"/>
    </row>
    <row r="30" spans="1:2" x14ac:dyDescent="0.25">
      <c r="A30" s="6"/>
    </row>
    <row r="31" spans="1:2" x14ac:dyDescent="0.25">
      <c r="A31" s="6"/>
    </row>
    <row r="32" spans="1:2" x14ac:dyDescent="0.25">
      <c r="A32" s="6"/>
    </row>
    <row r="33" spans="1:3" x14ac:dyDescent="0.25">
      <c r="A33" s="6"/>
    </row>
    <row r="34" spans="1:3" x14ac:dyDescent="0.25">
      <c r="A34" s="5" t="s">
        <v>15</v>
      </c>
      <c r="B34" t="s">
        <v>124</v>
      </c>
    </row>
    <row r="36" spans="1:3" x14ac:dyDescent="0.25">
      <c r="A36" s="5" t="s">
        <v>174</v>
      </c>
      <c r="B36" s="5" t="s">
        <v>6</v>
      </c>
      <c r="C36" t="s">
        <v>184</v>
      </c>
    </row>
    <row r="37" spans="1:3" x14ac:dyDescent="0.25">
      <c r="A37" s="8">
        <v>45958</v>
      </c>
    </row>
    <row r="38" spans="1:3" x14ac:dyDescent="0.25">
      <c r="A38" s="7"/>
      <c r="B38" s="6" t="s">
        <v>177</v>
      </c>
      <c r="C38">
        <v>1</v>
      </c>
    </row>
    <row r="39" spans="1:3" ht="144" customHeight="1" x14ac:dyDescent="0.3">
      <c r="A39" s="7"/>
      <c r="B39" s="10" t="s">
        <v>176</v>
      </c>
      <c r="C39">
        <v>1</v>
      </c>
    </row>
    <row r="40" spans="1:3" ht="144" customHeight="1" x14ac:dyDescent="0.3">
      <c r="A40" s="14">
        <v>45960</v>
      </c>
    </row>
    <row r="41" spans="1:3" ht="144" customHeight="1" x14ac:dyDescent="0.3">
      <c r="A41" s="11"/>
      <c r="B41" s="10" t="s">
        <v>192</v>
      </c>
      <c r="C41">
        <v>1</v>
      </c>
    </row>
    <row r="42" spans="1:3" ht="144" customHeight="1" x14ac:dyDescent="0.3">
      <c r="A42" s="11"/>
      <c r="B42" s="10" t="s">
        <v>195</v>
      </c>
      <c r="C42">
        <v>1</v>
      </c>
    </row>
    <row r="43" spans="1:3" ht="144" customHeight="1" x14ac:dyDescent="0.3">
      <c r="A43" s="14">
        <v>45964</v>
      </c>
    </row>
    <row r="44" spans="1:3" ht="144" customHeight="1" x14ac:dyDescent="0.3">
      <c r="A44" s="11"/>
      <c r="B44" s="10" t="s">
        <v>192</v>
      </c>
      <c r="C44">
        <v>1</v>
      </c>
    </row>
    <row r="45" spans="1:3" ht="144" customHeight="1" x14ac:dyDescent="0.3">
      <c r="A45" s="11"/>
      <c r="B45" s="10" t="s">
        <v>216</v>
      </c>
      <c r="C45">
        <v>1</v>
      </c>
    </row>
    <row r="46" spans="1:3" ht="144" customHeight="1" x14ac:dyDescent="0.3">
      <c r="A46" s="11"/>
      <c r="B46" s="10" t="s">
        <v>188</v>
      </c>
      <c r="C46">
        <v>1</v>
      </c>
    </row>
    <row r="47" spans="1:3" ht="144" customHeight="1" x14ac:dyDescent="0.3">
      <c r="A47" s="11"/>
      <c r="B47" s="10" t="s">
        <v>222</v>
      </c>
      <c r="C47">
        <v>1</v>
      </c>
    </row>
    <row r="48" spans="1:3" ht="144" customHeight="1" x14ac:dyDescent="0.3">
      <c r="A48" s="14">
        <v>45969</v>
      </c>
    </row>
    <row r="49" spans="1:3" ht="37.5" x14ac:dyDescent="0.3">
      <c r="A49" s="11"/>
      <c r="B49" s="10" t="s">
        <v>253</v>
      </c>
      <c r="C49">
        <v>1</v>
      </c>
    </row>
    <row r="50" spans="1:3" ht="144" customHeight="1" x14ac:dyDescent="0.3">
      <c r="A50" s="11"/>
      <c r="B50" s="10" t="s">
        <v>258</v>
      </c>
      <c r="C50">
        <v>1</v>
      </c>
    </row>
    <row r="51" spans="1:3" ht="18.75" x14ac:dyDescent="0.3">
      <c r="A51" s="14">
        <v>45972</v>
      </c>
    </row>
    <row r="52" spans="1:3" ht="37.5" x14ac:dyDescent="0.3">
      <c r="A52" s="11"/>
      <c r="B52" s="10" t="s">
        <v>253</v>
      </c>
      <c r="C52">
        <v>1</v>
      </c>
    </row>
    <row r="53" spans="1:3" ht="144" customHeight="1" x14ac:dyDescent="0.3">
      <c r="A53" s="11"/>
      <c r="B53" s="10" t="s">
        <v>265</v>
      </c>
      <c r="C53">
        <v>1</v>
      </c>
    </row>
    <row r="54" spans="1:3" x14ac:dyDescent="0.25">
      <c r="A54" s="19">
        <v>45975</v>
      </c>
    </row>
    <row r="55" spans="1:3" x14ac:dyDescent="0.25">
      <c r="B55" s="6" t="s">
        <v>321</v>
      </c>
      <c r="C55">
        <v>1</v>
      </c>
    </row>
    <row r="56" spans="1:3" x14ac:dyDescent="0.25">
      <c r="B56" s="20" t="s">
        <v>325</v>
      </c>
      <c r="C56">
        <v>1</v>
      </c>
    </row>
    <row r="57" spans="1:3" x14ac:dyDescent="0.25">
      <c r="B57" s="6" t="s">
        <v>328</v>
      </c>
      <c r="C57">
        <v>1</v>
      </c>
    </row>
    <row r="58" spans="1:3" x14ac:dyDescent="0.25">
      <c r="B58" s="20" t="s">
        <v>331</v>
      </c>
      <c r="C58">
        <v>1</v>
      </c>
    </row>
    <row r="59" spans="1:3" x14ac:dyDescent="0.25">
      <c r="A59" s="19">
        <v>45956</v>
      </c>
    </row>
    <row r="60" spans="1:3" x14ac:dyDescent="0.25">
      <c r="B60" s="6" t="s">
        <v>321</v>
      </c>
      <c r="C60">
        <v>1</v>
      </c>
    </row>
    <row r="61" spans="1:3" x14ac:dyDescent="0.25">
      <c r="B61" s="20" t="s">
        <v>323</v>
      </c>
      <c r="C61">
        <v>1</v>
      </c>
    </row>
    <row r="62" spans="1:3" x14ac:dyDescent="0.25">
      <c r="A62" s="19">
        <v>45978</v>
      </c>
    </row>
    <row r="63" spans="1:3" x14ac:dyDescent="0.25">
      <c r="B63" s="6" t="s">
        <v>188</v>
      </c>
      <c r="C63">
        <v>1</v>
      </c>
    </row>
    <row r="64" spans="1:3" x14ac:dyDescent="0.25">
      <c r="B64" s="20" t="s">
        <v>333</v>
      </c>
      <c r="C64">
        <v>1</v>
      </c>
    </row>
    <row r="65" spans="1:3" x14ac:dyDescent="0.25">
      <c r="A65" s="6" t="s">
        <v>175</v>
      </c>
      <c r="C65">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B305-CD27-BF4F-B605-41C71BB6DDD3}">
  <dimension ref="A1:V101"/>
  <sheetViews>
    <sheetView zoomScale="41" workbookViewId="0">
      <pane xSplit="1" ySplit="1" topLeftCell="B2" activePane="bottomRight" state="frozen"/>
      <selection pane="topRight" activeCell="B1" sqref="B1"/>
      <selection pane="bottomLeft" activeCell="A2" sqref="A2"/>
      <selection pane="bottomRight" activeCell="Q7" sqref="Q7"/>
    </sheetView>
  </sheetViews>
  <sheetFormatPr baseColWidth="10" defaultColWidth="11" defaultRowHeight="15.75" x14ac:dyDescent="0.25"/>
  <cols>
    <col min="1" max="1" width="6.125" customWidth="1"/>
    <col min="2" max="2" width="13.125" bestFit="1" customWidth="1"/>
    <col min="3" max="3" width="11.375" customWidth="1"/>
    <col min="5" max="5" width="11.875" customWidth="1"/>
    <col min="6" max="6" width="16.625" bestFit="1" customWidth="1"/>
    <col min="8" max="8" width="13.625" bestFit="1" customWidth="1"/>
    <col min="9" max="9" width="15.375" customWidth="1"/>
    <col min="10" max="10" width="13.625" customWidth="1"/>
    <col min="11" max="11" width="14.875" customWidth="1"/>
    <col min="14" max="14" width="16.625" customWidth="1"/>
    <col min="15" max="15" width="15.125" customWidth="1"/>
    <col min="16" max="16" width="71.125" customWidth="1"/>
    <col min="17" max="17" width="23.125" bestFit="1" customWidth="1"/>
    <col min="18" max="18" width="22.875" customWidth="1"/>
    <col min="19" max="19" width="14.5" customWidth="1"/>
    <col min="20" max="20" width="16" customWidth="1"/>
    <col min="21" max="21" width="18" customWidth="1"/>
  </cols>
  <sheetData>
    <row r="1" spans="1:22" ht="30" x14ac:dyDescent="0.25">
      <c r="A1" s="32" t="s">
        <v>0</v>
      </c>
      <c r="B1" s="33" t="s">
        <v>1</v>
      </c>
      <c r="C1" s="33" t="s">
        <v>453</v>
      </c>
      <c r="D1" s="33" t="s">
        <v>2</v>
      </c>
      <c r="E1" s="33" t="s">
        <v>3</v>
      </c>
      <c r="F1" s="33" t="s">
        <v>4</v>
      </c>
      <c r="G1" s="33" t="s">
        <v>5</v>
      </c>
      <c r="H1" s="33" t="s">
        <v>6</v>
      </c>
      <c r="I1" s="26" t="s">
        <v>7</v>
      </c>
      <c r="J1" s="33" t="s">
        <v>8</v>
      </c>
      <c r="K1" s="33" t="s">
        <v>9</v>
      </c>
      <c r="L1" s="33" t="s">
        <v>10</v>
      </c>
      <c r="M1" s="33" t="s">
        <v>11</v>
      </c>
      <c r="N1" s="33" t="s">
        <v>12</v>
      </c>
      <c r="O1" s="33" t="s">
        <v>13</v>
      </c>
      <c r="P1" s="33" t="s">
        <v>14</v>
      </c>
      <c r="Q1" s="34" t="s">
        <v>15</v>
      </c>
      <c r="R1" s="34" t="s">
        <v>16</v>
      </c>
      <c r="S1" s="26" t="s">
        <v>17</v>
      </c>
      <c r="T1" s="26" t="s">
        <v>352</v>
      </c>
      <c r="U1" s="26" t="s">
        <v>18</v>
      </c>
      <c r="V1" s="26" t="s">
        <v>19</v>
      </c>
    </row>
    <row r="2" spans="1:22" s="1" customFormat="1" ht="102" customHeight="1" x14ac:dyDescent="0.25">
      <c r="A2" s="35">
        <v>1</v>
      </c>
      <c r="B2" s="36">
        <v>45943</v>
      </c>
      <c r="C2" s="37" t="s">
        <v>20</v>
      </c>
      <c r="D2" s="38" t="s">
        <v>21</v>
      </c>
      <c r="E2" s="37" t="s">
        <v>22</v>
      </c>
      <c r="F2" s="39">
        <v>920144113</v>
      </c>
      <c r="G2" s="37"/>
      <c r="H2" s="40"/>
      <c r="I2" s="27"/>
      <c r="J2" s="40"/>
      <c r="K2" s="40" t="s">
        <v>23</v>
      </c>
      <c r="L2" s="40" t="s">
        <v>24</v>
      </c>
      <c r="M2" s="36" t="s">
        <v>25</v>
      </c>
      <c r="N2" s="36" t="s">
        <v>26</v>
      </c>
      <c r="O2" s="36" t="s">
        <v>27</v>
      </c>
      <c r="P2" s="40" t="s">
        <v>28</v>
      </c>
      <c r="Q2" s="41" t="s">
        <v>29</v>
      </c>
      <c r="R2" s="41"/>
      <c r="S2" s="42"/>
      <c r="T2" s="42"/>
      <c r="U2" s="43"/>
      <c r="V2" s="37">
        <f>WEEKNUM(Tabla1[[#This Row],[Fecha]])</f>
        <v>42</v>
      </c>
    </row>
    <row r="3" spans="1:22" s="1" customFormat="1" ht="101.1" customHeight="1" x14ac:dyDescent="0.25">
      <c r="A3" s="35">
        <v>2</v>
      </c>
      <c r="B3" s="36">
        <v>45943</v>
      </c>
      <c r="C3" s="37" t="s">
        <v>20</v>
      </c>
      <c r="D3" s="38" t="s">
        <v>30</v>
      </c>
      <c r="E3" s="37" t="s">
        <v>183</v>
      </c>
      <c r="F3" s="37"/>
      <c r="G3" s="37"/>
      <c r="H3" s="40" t="s">
        <v>189</v>
      </c>
      <c r="I3" s="27"/>
      <c r="J3" s="40"/>
      <c r="K3" s="40"/>
      <c r="L3" s="40"/>
      <c r="M3" s="27" t="s">
        <v>25</v>
      </c>
      <c r="N3" s="27"/>
      <c r="O3" s="36" t="s">
        <v>27</v>
      </c>
      <c r="P3" s="40" t="s">
        <v>31</v>
      </c>
      <c r="Q3" s="41" t="s">
        <v>29</v>
      </c>
      <c r="R3" s="41"/>
      <c r="S3" s="42"/>
      <c r="T3" s="42"/>
      <c r="U3" s="43"/>
      <c r="V3" s="37">
        <f>WEEKNUM(Tabla1[[#This Row],[Fecha]])</f>
        <v>42</v>
      </c>
    </row>
    <row r="4" spans="1:22" s="1" customFormat="1" ht="83.1" customHeight="1" x14ac:dyDescent="0.25">
      <c r="A4" s="35">
        <v>3</v>
      </c>
      <c r="B4" s="36">
        <v>45943</v>
      </c>
      <c r="C4" s="37" t="s">
        <v>20</v>
      </c>
      <c r="D4" s="40" t="s">
        <v>32</v>
      </c>
      <c r="E4" s="40" t="s">
        <v>33</v>
      </c>
      <c r="F4" s="40" t="s">
        <v>34</v>
      </c>
      <c r="G4" s="27" t="s">
        <v>35</v>
      </c>
      <c r="H4" s="37" t="s">
        <v>36</v>
      </c>
      <c r="I4" s="28"/>
      <c r="J4" s="27" t="s">
        <v>37</v>
      </c>
      <c r="K4" s="37" t="s">
        <v>38</v>
      </c>
      <c r="L4" s="37" t="s">
        <v>38</v>
      </c>
      <c r="M4" s="37" t="s">
        <v>133</v>
      </c>
      <c r="N4" s="27"/>
      <c r="O4" s="36" t="s">
        <v>27</v>
      </c>
      <c r="P4" s="43" t="s">
        <v>39</v>
      </c>
      <c r="Q4" s="41" t="s">
        <v>29</v>
      </c>
      <c r="R4" s="41"/>
      <c r="S4" s="42"/>
      <c r="T4" s="42"/>
      <c r="U4" s="28"/>
      <c r="V4" s="37">
        <f>WEEKNUM(Tabla1[[#This Row],[Fecha]])</f>
        <v>42</v>
      </c>
    </row>
    <row r="5" spans="1:22" s="1" customFormat="1" ht="83.1" customHeight="1" x14ac:dyDescent="0.25">
      <c r="A5" s="35">
        <v>4</v>
      </c>
      <c r="B5" s="36">
        <v>45943</v>
      </c>
      <c r="C5" s="37" t="s">
        <v>20</v>
      </c>
      <c r="D5" s="44" t="s">
        <v>40</v>
      </c>
      <c r="E5" s="44" t="s">
        <v>41</v>
      </c>
      <c r="F5" s="40" t="s">
        <v>42</v>
      </c>
      <c r="G5" s="45" t="s">
        <v>43</v>
      </c>
      <c r="H5" s="37" t="s">
        <v>44</v>
      </c>
      <c r="I5" s="28"/>
      <c r="J5" s="27" t="s">
        <v>45</v>
      </c>
      <c r="K5" s="37" t="s">
        <v>38</v>
      </c>
      <c r="L5" s="37" t="s">
        <v>38</v>
      </c>
      <c r="M5" s="37" t="s">
        <v>133</v>
      </c>
      <c r="N5" s="36"/>
      <c r="O5" s="36" t="s">
        <v>27</v>
      </c>
      <c r="P5" s="37" t="s">
        <v>46</v>
      </c>
      <c r="Q5" s="41" t="s">
        <v>29</v>
      </c>
      <c r="R5" s="42"/>
      <c r="S5" s="42"/>
      <c r="T5" s="43"/>
      <c r="U5" s="28"/>
      <c r="V5" s="37">
        <f>WEEKNUM(Tabla1[[#This Row],[Fecha]])</f>
        <v>42</v>
      </c>
    </row>
    <row r="6" spans="1:22" s="1" customFormat="1" ht="83.1" customHeight="1" x14ac:dyDescent="0.25">
      <c r="A6" s="35">
        <v>5</v>
      </c>
      <c r="B6" s="36">
        <v>45943</v>
      </c>
      <c r="C6" s="37" t="s">
        <v>20</v>
      </c>
      <c r="D6" s="40"/>
      <c r="E6" s="40"/>
      <c r="F6" s="40" t="s">
        <v>47</v>
      </c>
      <c r="G6" s="27" t="s">
        <v>48</v>
      </c>
      <c r="H6" s="37" t="s">
        <v>49</v>
      </c>
      <c r="I6" s="28"/>
      <c r="J6" s="27" t="s">
        <v>50</v>
      </c>
      <c r="K6" s="37" t="s">
        <v>38</v>
      </c>
      <c r="L6" s="37" t="s">
        <v>38</v>
      </c>
      <c r="M6" s="37" t="s">
        <v>133</v>
      </c>
      <c r="N6" s="28"/>
      <c r="O6" s="36" t="s">
        <v>27</v>
      </c>
      <c r="P6" s="37" t="s">
        <v>51</v>
      </c>
      <c r="Q6" s="41" t="s">
        <v>29</v>
      </c>
      <c r="R6" s="42"/>
      <c r="S6" s="42"/>
      <c r="T6" s="43"/>
      <c r="U6" s="28"/>
      <c r="V6" s="37">
        <f>WEEKNUM(Tabla1[[#This Row],[Fecha]])</f>
        <v>42</v>
      </c>
    </row>
    <row r="7" spans="1:22" s="1" customFormat="1" ht="83.1" customHeight="1" x14ac:dyDescent="0.25">
      <c r="A7" s="35">
        <v>6</v>
      </c>
      <c r="B7" s="36">
        <v>45943</v>
      </c>
      <c r="C7" s="37" t="s">
        <v>20</v>
      </c>
      <c r="D7" s="40" t="s">
        <v>52</v>
      </c>
      <c r="E7" s="40" t="s">
        <v>53</v>
      </c>
      <c r="F7" s="40" t="s">
        <v>54</v>
      </c>
      <c r="G7" s="27"/>
      <c r="H7" s="37" t="s">
        <v>55</v>
      </c>
      <c r="I7" s="28"/>
      <c r="J7" s="27" t="s">
        <v>56</v>
      </c>
      <c r="K7" s="37" t="s">
        <v>38</v>
      </c>
      <c r="L7" s="37" t="s">
        <v>38</v>
      </c>
      <c r="M7" s="37" t="s">
        <v>133</v>
      </c>
      <c r="N7" s="28"/>
      <c r="O7" s="36" t="s">
        <v>27</v>
      </c>
      <c r="P7" s="37" t="s">
        <v>57</v>
      </c>
      <c r="Q7" s="41" t="s">
        <v>29</v>
      </c>
      <c r="R7" s="42"/>
      <c r="S7" s="42"/>
      <c r="T7" s="43"/>
      <c r="U7" s="28"/>
      <c r="V7" s="37">
        <f>WEEKNUM(Tabla1[[#This Row],[Fecha]])</f>
        <v>42</v>
      </c>
    </row>
    <row r="8" spans="1:22" s="1" customFormat="1" ht="83.1" customHeight="1" x14ac:dyDescent="0.25">
      <c r="A8" s="35">
        <v>7</v>
      </c>
      <c r="B8" s="36">
        <v>45944</v>
      </c>
      <c r="C8" s="37" t="s">
        <v>20</v>
      </c>
      <c r="D8" s="40" t="s">
        <v>58</v>
      </c>
      <c r="E8" s="40" t="s">
        <v>59</v>
      </c>
      <c r="F8" s="40" t="s">
        <v>60</v>
      </c>
      <c r="G8" s="27"/>
      <c r="H8" s="37" t="s">
        <v>55</v>
      </c>
      <c r="I8" s="28"/>
      <c r="J8" s="27" t="s">
        <v>56</v>
      </c>
      <c r="K8" s="37" t="s">
        <v>38</v>
      </c>
      <c r="L8" s="37" t="s">
        <v>38</v>
      </c>
      <c r="M8" s="37" t="s">
        <v>133</v>
      </c>
      <c r="N8" s="28"/>
      <c r="O8" s="36" t="s">
        <v>27</v>
      </c>
      <c r="P8" s="46" t="s">
        <v>61</v>
      </c>
      <c r="Q8" s="41" t="s">
        <v>29</v>
      </c>
      <c r="R8" s="42"/>
      <c r="S8" s="42"/>
      <c r="T8" s="43"/>
      <c r="U8" s="28"/>
      <c r="V8" s="37">
        <f>WEEKNUM(Tabla1[[#This Row],[Fecha]])</f>
        <v>42</v>
      </c>
    </row>
    <row r="9" spans="1:22" s="1" customFormat="1" ht="83.1" customHeight="1" x14ac:dyDescent="0.25">
      <c r="A9" s="35">
        <v>8</v>
      </c>
      <c r="B9" s="36">
        <v>45944</v>
      </c>
      <c r="C9" s="37" t="s">
        <v>20</v>
      </c>
      <c r="D9" s="47"/>
      <c r="E9" s="47"/>
      <c r="F9" s="48">
        <v>989431075</v>
      </c>
      <c r="G9" s="47"/>
      <c r="H9" s="49" t="s">
        <v>451</v>
      </c>
      <c r="I9" s="28"/>
      <c r="J9" s="50" t="s">
        <v>62</v>
      </c>
      <c r="K9" s="49" t="s">
        <v>63</v>
      </c>
      <c r="L9" s="49" t="s">
        <v>63</v>
      </c>
      <c r="M9" s="37" t="s">
        <v>133</v>
      </c>
      <c r="N9" s="28"/>
      <c r="O9" s="36" t="s">
        <v>27</v>
      </c>
      <c r="P9" s="37" t="s">
        <v>64</v>
      </c>
      <c r="Q9" s="41" t="s">
        <v>29</v>
      </c>
      <c r="R9" s="47"/>
      <c r="S9" s="47"/>
      <c r="T9" s="47"/>
      <c r="U9" s="28"/>
      <c r="V9" s="37">
        <f>WEEKNUM(Tabla1[[#This Row],[Fecha]])</f>
        <v>42</v>
      </c>
    </row>
    <row r="10" spans="1:22" s="1" customFormat="1" ht="83.1" customHeight="1" x14ac:dyDescent="0.25">
      <c r="A10" s="35">
        <v>9</v>
      </c>
      <c r="B10" s="36">
        <v>45944</v>
      </c>
      <c r="C10" s="37" t="s">
        <v>20</v>
      </c>
      <c r="D10" s="40"/>
      <c r="E10" s="40"/>
      <c r="F10" s="40" t="s">
        <v>65</v>
      </c>
      <c r="G10" s="27" t="s">
        <v>66</v>
      </c>
      <c r="H10" s="37" t="s">
        <v>67</v>
      </c>
      <c r="I10" s="28"/>
      <c r="J10" s="27" t="s">
        <v>68</v>
      </c>
      <c r="K10" s="37" t="s">
        <v>63</v>
      </c>
      <c r="L10" s="37" t="s">
        <v>63</v>
      </c>
      <c r="M10" s="37" t="s">
        <v>133</v>
      </c>
      <c r="N10" s="28"/>
      <c r="O10" s="36" t="s">
        <v>27</v>
      </c>
      <c r="P10" s="37" t="s">
        <v>69</v>
      </c>
      <c r="Q10" s="41" t="s">
        <v>29</v>
      </c>
      <c r="R10" s="42"/>
      <c r="S10" s="42"/>
      <c r="T10" s="43"/>
      <c r="U10" s="28"/>
      <c r="V10" s="37">
        <f>WEEKNUM(Tabla1[[#This Row],[Fecha]])</f>
        <v>42</v>
      </c>
    </row>
    <row r="11" spans="1:22" s="1" customFormat="1" ht="83.1" customHeight="1" x14ac:dyDescent="0.25">
      <c r="A11" s="35">
        <v>10</v>
      </c>
      <c r="B11" s="36">
        <v>45944</v>
      </c>
      <c r="C11" s="37" t="s">
        <v>20</v>
      </c>
      <c r="D11" s="47"/>
      <c r="E11" s="47"/>
      <c r="F11" s="48" t="s">
        <v>70</v>
      </c>
      <c r="G11" s="47"/>
      <c r="H11" s="51" t="s">
        <v>71</v>
      </c>
      <c r="I11" s="28"/>
      <c r="J11" s="27" t="s">
        <v>72</v>
      </c>
      <c r="K11" s="49" t="s">
        <v>63</v>
      </c>
      <c r="L11" s="49" t="s">
        <v>63</v>
      </c>
      <c r="M11" s="37" t="s">
        <v>133</v>
      </c>
      <c r="N11" s="28"/>
      <c r="O11" s="36" t="s">
        <v>27</v>
      </c>
      <c r="P11" s="37" t="s">
        <v>64</v>
      </c>
      <c r="Q11" s="41" t="s">
        <v>29</v>
      </c>
      <c r="R11" s="47"/>
      <c r="S11" s="47"/>
      <c r="T11" s="47"/>
      <c r="U11" s="28"/>
      <c r="V11" s="37">
        <f>WEEKNUM(Tabla1[[#This Row],[Fecha]])</f>
        <v>42</v>
      </c>
    </row>
    <row r="12" spans="1:22" s="1" customFormat="1" ht="83.1" customHeight="1" x14ac:dyDescent="0.25">
      <c r="A12" s="35">
        <v>11</v>
      </c>
      <c r="B12" s="36">
        <v>45944</v>
      </c>
      <c r="C12" s="37" t="s">
        <v>20</v>
      </c>
      <c r="D12" s="40" t="s">
        <v>73</v>
      </c>
      <c r="E12" s="40" t="s">
        <v>74</v>
      </c>
      <c r="F12" s="40" t="s">
        <v>75</v>
      </c>
      <c r="G12" s="27" t="s">
        <v>76</v>
      </c>
      <c r="H12" s="37" t="s">
        <v>77</v>
      </c>
      <c r="I12" s="28"/>
      <c r="J12" s="27" t="s">
        <v>78</v>
      </c>
      <c r="K12" s="37" t="s">
        <v>63</v>
      </c>
      <c r="L12" s="37" t="s">
        <v>63</v>
      </c>
      <c r="M12" s="37" t="s">
        <v>133</v>
      </c>
      <c r="N12" s="28"/>
      <c r="O12" s="36" t="s">
        <v>27</v>
      </c>
      <c r="P12" s="43" t="s">
        <v>79</v>
      </c>
      <c r="Q12" s="41" t="s">
        <v>29</v>
      </c>
      <c r="R12" s="41"/>
      <c r="S12" s="42"/>
      <c r="T12" s="28"/>
      <c r="U12" s="28"/>
      <c r="V12" s="37">
        <f>WEEKNUM(Tabla1[[#This Row],[Fecha]])</f>
        <v>42</v>
      </c>
    </row>
    <row r="13" spans="1:22" s="2" customFormat="1" ht="83.1" customHeight="1" x14ac:dyDescent="0.25">
      <c r="A13" s="35">
        <v>12</v>
      </c>
      <c r="B13" s="36">
        <v>45944</v>
      </c>
      <c r="C13" s="37" t="s">
        <v>20</v>
      </c>
      <c r="D13" s="40"/>
      <c r="E13" s="40"/>
      <c r="F13" s="40" t="s">
        <v>80</v>
      </c>
      <c r="G13" s="27" t="s">
        <v>81</v>
      </c>
      <c r="H13" s="37" t="s">
        <v>82</v>
      </c>
      <c r="I13" s="29"/>
      <c r="J13" s="27" t="s">
        <v>83</v>
      </c>
      <c r="K13" s="37" t="s">
        <v>63</v>
      </c>
      <c r="L13" s="37" t="s">
        <v>63</v>
      </c>
      <c r="M13" s="37" t="s">
        <v>133</v>
      </c>
      <c r="N13" s="29"/>
      <c r="O13" s="36" t="s">
        <v>27</v>
      </c>
      <c r="P13" s="37" t="s">
        <v>84</v>
      </c>
      <c r="Q13" s="41" t="s">
        <v>29</v>
      </c>
      <c r="R13" s="41"/>
      <c r="S13" s="42"/>
      <c r="T13" s="43"/>
      <c r="U13" s="29"/>
      <c r="V13" s="37">
        <f>WEEKNUM(Tabla1[[#This Row],[Fecha]])</f>
        <v>42</v>
      </c>
    </row>
    <row r="14" spans="1:22" s="2" customFormat="1" ht="83.1" customHeight="1" x14ac:dyDescent="0.25">
      <c r="A14" s="35">
        <v>13</v>
      </c>
      <c r="B14" s="36">
        <v>45944</v>
      </c>
      <c r="C14" s="37" t="s">
        <v>20</v>
      </c>
      <c r="D14" s="40"/>
      <c r="E14" s="40"/>
      <c r="F14" s="40" t="s">
        <v>85</v>
      </c>
      <c r="G14" s="27"/>
      <c r="H14" s="37" t="s">
        <v>86</v>
      </c>
      <c r="I14" s="29"/>
      <c r="J14" s="27" t="s">
        <v>87</v>
      </c>
      <c r="K14" s="37" t="s">
        <v>63</v>
      </c>
      <c r="L14" s="37" t="s">
        <v>63</v>
      </c>
      <c r="M14" s="37" t="s">
        <v>133</v>
      </c>
      <c r="N14" s="29"/>
      <c r="O14" s="36" t="s">
        <v>27</v>
      </c>
      <c r="P14" s="37" t="s">
        <v>88</v>
      </c>
      <c r="Q14" s="41" t="s">
        <v>29</v>
      </c>
      <c r="R14" s="41"/>
      <c r="S14" s="42"/>
      <c r="T14" s="43"/>
      <c r="U14" s="29"/>
      <c r="V14" s="37">
        <f>WEEKNUM(Tabla1[[#This Row],[Fecha]])</f>
        <v>42</v>
      </c>
    </row>
    <row r="15" spans="1:22" s="2" customFormat="1" ht="83.1" customHeight="1" x14ac:dyDescent="0.25">
      <c r="A15" s="35">
        <v>14</v>
      </c>
      <c r="B15" s="36">
        <v>45944</v>
      </c>
      <c r="C15" s="37" t="s">
        <v>20</v>
      </c>
      <c r="D15" s="40"/>
      <c r="E15" s="40"/>
      <c r="F15" s="40" t="s">
        <v>223</v>
      </c>
      <c r="G15" s="27" t="s">
        <v>89</v>
      </c>
      <c r="H15" s="37" t="s">
        <v>90</v>
      </c>
      <c r="I15" s="29"/>
      <c r="J15" s="27" t="s">
        <v>91</v>
      </c>
      <c r="K15" s="37" t="s">
        <v>63</v>
      </c>
      <c r="L15" s="37" t="s">
        <v>63</v>
      </c>
      <c r="M15" s="37" t="s">
        <v>133</v>
      </c>
      <c r="N15" s="29"/>
      <c r="O15" s="36" t="s">
        <v>27</v>
      </c>
      <c r="P15" s="37" t="s">
        <v>92</v>
      </c>
      <c r="Q15" s="41" t="s">
        <v>29</v>
      </c>
      <c r="R15" s="41"/>
      <c r="S15" s="42"/>
      <c r="T15" s="43"/>
      <c r="U15" s="29"/>
      <c r="V15" s="37">
        <f>WEEKNUM(Tabla1[[#This Row],[Fecha]])</f>
        <v>42</v>
      </c>
    </row>
    <row r="16" spans="1:22" s="2" customFormat="1" ht="83.1" customHeight="1" x14ac:dyDescent="0.25">
      <c r="A16" s="35">
        <v>15</v>
      </c>
      <c r="B16" s="36">
        <v>45944</v>
      </c>
      <c r="C16" s="37" t="s">
        <v>20</v>
      </c>
      <c r="D16" s="40"/>
      <c r="E16" s="40"/>
      <c r="F16" s="40" t="s">
        <v>93</v>
      </c>
      <c r="G16" s="27" t="s">
        <v>94</v>
      </c>
      <c r="H16" s="37" t="s">
        <v>95</v>
      </c>
      <c r="I16" s="29"/>
      <c r="J16" s="27" t="s">
        <v>96</v>
      </c>
      <c r="K16" s="37" t="s">
        <v>63</v>
      </c>
      <c r="L16" s="37" t="s">
        <v>63</v>
      </c>
      <c r="M16" s="37" t="s">
        <v>133</v>
      </c>
      <c r="N16" s="29"/>
      <c r="O16" s="36" t="s">
        <v>27</v>
      </c>
      <c r="P16" s="37" t="s">
        <v>97</v>
      </c>
      <c r="Q16" s="41" t="s">
        <v>29</v>
      </c>
      <c r="R16" s="41"/>
      <c r="S16" s="42"/>
      <c r="T16" s="43"/>
      <c r="U16" s="29"/>
      <c r="V16" s="37">
        <f>WEEKNUM(Tabla1[[#This Row],[Fecha]])</f>
        <v>42</v>
      </c>
    </row>
    <row r="17" spans="1:22" s="2" customFormat="1" ht="83.1" customHeight="1" x14ac:dyDescent="0.25">
      <c r="A17" s="35">
        <v>16</v>
      </c>
      <c r="B17" s="36">
        <v>45944</v>
      </c>
      <c r="C17" s="37" t="s">
        <v>20</v>
      </c>
      <c r="D17" s="40"/>
      <c r="E17" s="40"/>
      <c r="F17" s="40">
        <v>984908067</v>
      </c>
      <c r="G17" s="27"/>
      <c r="H17" s="37" t="s">
        <v>98</v>
      </c>
      <c r="I17" s="29"/>
      <c r="J17" s="27" t="s">
        <v>99</v>
      </c>
      <c r="K17" s="37" t="s">
        <v>63</v>
      </c>
      <c r="L17" s="37" t="s">
        <v>63</v>
      </c>
      <c r="M17" s="37" t="s">
        <v>133</v>
      </c>
      <c r="N17" s="29"/>
      <c r="O17" s="36" t="s">
        <v>27</v>
      </c>
      <c r="P17" s="37" t="s">
        <v>100</v>
      </c>
      <c r="Q17" s="41" t="s">
        <v>29</v>
      </c>
      <c r="R17" s="41"/>
      <c r="S17" s="42"/>
      <c r="T17" s="43"/>
      <c r="U17" s="29"/>
      <c r="V17" s="37">
        <f>WEEKNUM(Tabla1[[#This Row],[Fecha]])</f>
        <v>42</v>
      </c>
    </row>
    <row r="18" spans="1:22" s="2" customFormat="1" ht="83.1" customHeight="1" x14ac:dyDescent="0.25">
      <c r="A18" s="35">
        <v>17</v>
      </c>
      <c r="B18" s="36">
        <v>45944</v>
      </c>
      <c r="C18" s="37" t="s">
        <v>20</v>
      </c>
      <c r="D18" s="40"/>
      <c r="E18" s="40"/>
      <c r="F18" s="40" t="s">
        <v>101</v>
      </c>
      <c r="G18" s="52"/>
      <c r="H18" s="37" t="s">
        <v>102</v>
      </c>
      <c r="I18" s="29"/>
      <c r="J18" s="27" t="s">
        <v>103</v>
      </c>
      <c r="K18" s="37" t="s">
        <v>63</v>
      </c>
      <c r="L18" s="37" t="s">
        <v>63</v>
      </c>
      <c r="M18" s="37" t="s">
        <v>133</v>
      </c>
      <c r="N18" s="29"/>
      <c r="O18" s="36" t="s">
        <v>27</v>
      </c>
      <c r="P18" s="37" t="s">
        <v>104</v>
      </c>
      <c r="Q18" s="41" t="s">
        <v>29</v>
      </c>
      <c r="R18" s="41"/>
      <c r="S18" s="42"/>
      <c r="T18" s="43"/>
      <c r="U18" s="29"/>
      <c r="V18" s="37">
        <f>WEEKNUM(Tabla1[[#This Row],[Fecha]])</f>
        <v>42</v>
      </c>
    </row>
    <row r="19" spans="1:22" s="2" customFormat="1" ht="83.1" customHeight="1" x14ac:dyDescent="0.25">
      <c r="A19" s="35">
        <v>18</v>
      </c>
      <c r="B19" s="36">
        <v>45944</v>
      </c>
      <c r="C19" s="37" t="s">
        <v>20</v>
      </c>
      <c r="D19" s="40" t="s">
        <v>105</v>
      </c>
      <c r="E19" s="40" t="s">
        <v>106</v>
      </c>
      <c r="F19" s="40" t="s">
        <v>107</v>
      </c>
      <c r="G19" s="27" t="s">
        <v>108</v>
      </c>
      <c r="H19" s="37" t="s">
        <v>109</v>
      </c>
      <c r="I19" s="29"/>
      <c r="J19" s="27" t="s">
        <v>110</v>
      </c>
      <c r="K19" s="37" t="s">
        <v>111</v>
      </c>
      <c r="L19" s="37" t="s">
        <v>63</v>
      </c>
      <c r="M19" s="37" t="s">
        <v>136</v>
      </c>
      <c r="N19" s="29"/>
      <c r="O19" s="36" t="s">
        <v>27</v>
      </c>
      <c r="P19" s="37" t="s">
        <v>112</v>
      </c>
      <c r="Q19" s="41" t="s">
        <v>29</v>
      </c>
      <c r="R19" s="41"/>
      <c r="S19" s="42"/>
      <c r="T19" s="43"/>
      <c r="U19" s="29"/>
      <c r="V19" s="37">
        <f>WEEKNUM(Tabla1[[#This Row],[Fecha]])</f>
        <v>42</v>
      </c>
    </row>
    <row r="20" spans="1:22" s="2" customFormat="1" ht="83.1" customHeight="1" x14ac:dyDescent="0.25">
      <c r="A20" s="35">
        <v>19</v>
      </c>
      <c r="B20" s="36">
        <v>45944</v>
      </c>
      <c r="C20" s="37" t="s">
        <v>20</v>
      </c>
      <c r="D20" s="40" t="s">
        <v>113</v>
      </c>
      <c r="E20" s="37"/>
      <c r="F20" s="40" t="s">
        <v>114</v>
      </c>
      <c r="G20" s="27" t="s">
        <v>115</v>
      </c>
      <c r="H20" s="37" t="s">
        <v>116</v>
      </c>
      <c r="I20" s="29"/>
      <c r="J20" s="27" t="s">
        <v>117</v>
      </c>
      <c r="K20" s="37" t="s">
        <v>118</v>
      </c>
      <c r="L20" s="37" t="s">
        <v>118</v>
      </c>
      <c r="M20" s="37" t="s">
        <v>133</v>
      </c>
      <c r="N20" s="29"/>
      <c r="O20" s="36" t="s">
        <v>27</v>
      </c>
      <c r="P20" s="37" t="s">
        <v>119</v>
      </c>
      <c r="Q20" s="41" t="s">
        <v>29</v>
      </c>
      <c r="R20" s="53"/>
      <c r="S20" s="42"/>
      <c r="T20" s="43"/>
      <c r="U20" s="29"/>
      <c r="V20" s="37">
        <f>WEEKNUM(Tabla1[[#This Row],[Fecha]])</f>
        <v>42</v>
      </c>
    </row>
    <row r="21" spans="1:22" ht="45" x14ac:dyDescent="0.25">
      <c r="A21" s="35">
        <v>20</v>
      </c>
      <c r="B21" s="54">
        <v>45951</v>
      </c>
      <c r="C21" s="37" t="s">
        <v>20</v>
      </c>
      <c r="D21" s="40" t="s">
        <v>155</v>
      </c>
      <c r="E21" s="40" t="s">
        <v>120</v>
      </c>
      <c r="F21" s="40">
        <v>991481598</v>
      </c>
      <c r="G21" s="27"/>
      <c r="H21" s="37" t="s">
        <v>146</v>
      </c>
      <c r="I21" s="22">
        <v>20605597204</v>
      </c>
      <c r="J21" s="55" t="s">
        <v>147</v>
      </c>
      <c r="K21" s="37" t="s">
        <v>23</v>
      </c>
      <c r="L21" s="37"/>
      <c r="M21" s="37" t="s">
        <v>138</v>
      </c>
      <c r="N21" s="22"/>
      <c r="O21" s="36" t="s">
        <v>27</v>
      </c>
      <c r="P21" s="37" t="s">
        <v>148</v>
      </c>
      <c r="Q21" s="41" t="s">
        <v>29</v>
      </c>
      <c r="R21" s="41"/>
      <c r="S21" s="56"/>
      <c r="T21" s="43"/>
      <c r="U21" s="22"/>
      <c r="V21" s="37">
        <f>WEEKNUM(Tabla1[[#This Row],[Fecha]])</f>
        <v>43</v>
      </c>
    </row>
    <row r="22" spans="1:22" ht="60" x14ac:dyDescent="0.25">
      <c r="A22" s="35">
        <v>21</v>
      </c>
      <c r="B22" s="54">
        <v>45957</v>
      </c>
      <c r="C22" s="37" t="s">
        <v>20</v>
      </c>
      <c r="D22" s="40" t="s">
        <v>144</v>
      </c>
      <c r="E22" s="40" t="s">
        <v>145</v>
      </c>
      <c r="F22" s="40"/>
      <c r="G22" s="27"/>
      <c r="H22" s="37"/>
      <c r="I22" s="22"/>
      <c r="J22" s="27"/>
      <c r="K22" s="37"/>
      <c r="L22" s="37"/>
      <c r="M22" s="37" t="s">
        <v>143</v>
      </c>
      <c r="N22" s="22"/>
      <c r="O22" s="36" t="s">
        <v>27</v>
      </c>
      <c r="P22" s="37" t="s">
        <v>181</v>
      </c>
      <c r="Q22" s="41" t="s">
        <v>29</v>
      </c>
      <c r="R22" s="41"/>
      <c r="S22" s="56"/>
      <c r="T22" s="43"/>
      <c r="U22" s="22"/>
      <c r="V22" s="37">
        <f>WEEKNUM(Tabla1[[#This Row],[Fecha]])</f>
        <v>44</v>
      </c>
    </row>
    <row r="23" spans="1:22" ht="30" x14ac:dyDescent="0.25">
      <c r="A23" s="35">
        <v>22</v>
      </c>
      <c r="B23" s="54">
        <v>45957</v>
      </c>
      <c r="C23" s="37" t="s">
        <v>20</v>
      </c>
      <c r="D23" s="40" t="s">
        <v>155</v>
      </c>
      <c r="E23" s="40" t="s">
        <v>120</v>
      </c>
      <c r="F23" s="40">
        <v>991481598</v>
      </c>
      <c r="G23" s="27"/>
      <c r="H23" s="37"/>
      <c r="I23" s="22"/>
      <c r="J23" s="55" t="s">
        <v>147</v>
      </c>
      <c r="K23" s="37" t="s">
        <v>23</v>
      </c>
      <c r="L23" s="37"/>
      <c r="M23" s="37" t="s">
        <v>138</v>
      </c>
      <c r="N23" s="22"/>
      <c r="O23" s="57" t="s">
        <v>122</v>
      </c>
      <c r="P23" s="37" t="s">
        <v>149</v>
      </c>
      <c r="Q23" s="41" t="s">
        <v>29</v>
      </c>
      <c r="R23" s="41"/>
      <c r="S23" s="56"/>
      <c r="T23" s="43"/>
      <c r="U23" s="21">
        <v>45965</v>
      </c>
      <c r="V23" s="37">
        <f>WEEKNUM(Tabla1[[#This Row],[Fecha]])</f>
        <v>44</v>
      </c>
    </row>
    <row r="24" spans="1:22" ht="45" x14ac:dyDescent="0.25">
      <c r="A24" s="35">
        <v>23</v>
      </c>
      <c r="B24" s="54">
        <v>45957</v>
      </c>
      <c r="C24" s="37" t="s">
        <v>20</v>
      </c>
      <c r="D24" s="40" t="s">
        <v>150</v>
      </c>
      <c r="E24" s="40" t="s">
        <v>151</v>
      </c>
      <c r="F24" s="40">
        <v>999869285</v>
      </c>
      <c r="G24" s="27"/>
      <c r="H24" s="37" t="s">
        <v>177</v>
      </c>
      <c r="I24" s="22">
        <v>20555369451</v>
      </c>
      <c r="J24" s="55" t="s">
        <v>152</v>
      </c>
      <c r="K24" s="37" t="s">
        <v>23</v>
      </c>
      <c r="L24" s="37" t="s">
        <v>153</v>
      </c>
      <c r="M24" s="37" t="s">
        <v>134</v>
      </c>
      <c r="N24" s="22"/>
      <c r="O24" s="57" t="s">
        <v>122</v>
      </c>
      <c r="P24" s="37" t="s">
        <v>154</v>
      </c>
      <c r="Q24" s="41" t="s">
        <v>29</v>
      </c>
      <c r="R24" s="41"/>
      <c r="S24" s="56"/>
      <c r="T24" s="43"/>
      <c r="U24" s="22"/>
      <c r="V24" s="37">
        <f>WEEKNUM(Tabla1[[#This Row],[Fecha]])</f>
        <v>44</v>
      </c>
    </row>
    <row r="25" spans="1:22" ht="75" x14ac:dyDescent="0.25">
      <c r="A25" s="35">
        <v>24</v>
      </c>
      <c r="B25" s="54">
        <v>45958</v>
      </c>
      <c r="C25" s="37" t="s">
        <v>20</v>
      </c>
      <c r="D25" s="40" t="s">
        <v>179</v>
      </c>
      <c r="E25" s="40" t="s">
        <v>180</v>
      </c>
      <c r="F25" s="40">
        <v>996285818</v>
      </c>
      <c r="G25" s="27"/>
      <c r="H25" s="37" t="s">
        <v>177</v>
      </c>
      <c r="I25" s="22">
        <v>20555369451</v>
      </c>
      <c r="J25" s="55" t="s">
        <v>152</v>
      </c>
      <c r="K25" s="37" t="s">
        <v>23</v>
      </c>
      <c r="L25" s="37" t="s">
        <v>153</v>
      </c>
      <c r="M25" s="37" t="s">
        <v>134</v>
      </c>
      <c r="N25" s="22"/>
      <c r="O25" s="57" t="s">
        <v>122</v>
      </c>
      <c r="P25" s="37" t="s">
        <v>176</v>
      </c>
      <c r="Q25" s="41" t="s">
        <v>124</v>
      </c>
      <c r="R25" s="41"/>
      <c r="S25" s="56"/>
      <c r="T25" s="43"/>
      <c r="U25" s="21">
        <v>45964</v>
      </c>
      <c r="V25" s="37">
        <f>WEEKNUM(Tabla1[[#This Row],[Fecha]])</f>
        <v>44</v>
      </c>
    </row>
    <row r="26" spans="1:22" ht="60" x14ac:dyDescent="0.25">
      <c r="A26" s="35">
        <v>25</v>
      </c>
      <c r="B26" s="54">
        <v>45958</v>
      </c>
      <c r="C26" s="37" t="s">
        <v>20</v>
      </c>
      <c r="D26" s="40" t="s">
        <v>156</v>
      </c>
      <c r="E26" s="40" t="s">
        <v>157</v>
      </c>
      <c r="F26" s="40"/>
      <c r="G26" s="58" t="s">
        <v>158</v>
      </c>
      <c r="H26" s="37" t="s">
        <v>159</v>
      </c>
      <c r="I26" s="22"/>
      <c r="J26" s="27"/>
      <c r="K26" s="37" t="s">
        <v>23</v>
      </c>
      <c r="L26" s="37" t="s">
        <v>160</v>
      </c>
      <c r="M26" s="37" t="s">
        <v>25</v>
      </c>
      <c r="N26" s="22"/>
      <c r="O26" s="41" t="s">
        <v>27</v>
      </c>
      <c r="P26" s="37" t="s">
        <v>161</v>
      </c>
      <c r="Q26" s="41" t="s">
        <v>121</v>
      </c>
      <c r="R26" s="41"/>
      <c r="S26" s="56"/>
      <c r="T26" s="43"/>
      <c r="U26" s="21"/>
      <c r="V26" s="37">
        <f>WEEKNUM(Tabla1[[#This Row],[Fecha]])</f>
        <v>44</v>
      </c>
    </row>
    <row r="27" spans="1:22" ht="120" x14ac:dyDescent="0.25">
      <c r="A27" s="35">
        <v>26</v>
      </c>
      <c r="B27" s="54">
        <v>45958</v>
      </c>
      <c r="C27" s="37" t="s">
        <v>20</v>
      </c>
      <c r="D27" s="40" t="s">
        <v>162</v>
      </c>
      <c r="E27" s="40" t="s">
        <v>163</v>
      </c>
      <c r="F27" s="40">
        <v>993670997</v>
      </c>
      <c r="G27" s="27"/>
      <c r="H27" s="37" t="s">
        <v>164</v>
      </c>
      <c r="I27" s="22"/>
      <c r="J27" s="58" t="s">
        <v>165</v>
      </c>
      <c r="K27" s="37" t="s">
        <v>23</v>
      </c>
      <c r="L27" s="37" t="s">
        <v>166</v>
      </c>
      <c r="M27" s="37" t="s">
        <v>25</v>
      </c>
      <c r="N27" s="22"/>
      <c r="O27" s="41" t="s">
        <v>27</v>
      </c>
      <c r="P27" s="37" t="s">
        <v>167</v>
      </c>
      <c r="Q27" s="41" t="s">
        <v>29</v>
      </c>
      <c r="R27" s="41"/>
      <c r="S27" s="56"/>
      <c r="T27" s="43"/>
      <c r="U27" s="22"/>
      <c r="V27" s="37">
        <f>WEEKNUM(Tabla1[[#This Row],[Fecha]])</f>
        <v>44</v>
      </c>
    </row>
    <row r="28" spans="1:22" ht="75" x14ac:dyDescent="0.25">
      <c r="A28" s="35">
        <v>27</v>
      </c>
      <c r="B28" s="54">
        <v>45958</v>
      </c>
      <c r="C28" s="37" t="s">
        <v>20</v>
      </c>
      <c r="D28" s="40" t="s">
        <v>168</v>
      </c>
      <c r="E28" s="40" t="s">
        <v>41</v>
      </c>
      <c r="F28" s="40">
        <v>969813109</v>
      </c>
      <c r="G28" s="58" t="s">
        <v>169</v>
      </c>
      <c r="H28" s="37" t="s">
        <v>170</v>
      </c>
      <c r="I28" s="22">
        <v>20606070579</v>
      </c>
      <c r="J28" s="58" t="s">
        <v>171</v>
      </c>
      <c r="K28" s="37" t="s">
        <v>23</v>
      </c>
      <c r="L28" s="37" t="s">
        <v>172</v>
      </c>
      <c r="M28" s="37" t="s">
        <v>134</v>
      </c>
      <c r="N28" s="22"/>
      <c r="O28" s="41" t="s">
        <v>122</v>
      </c>
      <c r="P28" s="37" t="s">
        <v>173</v>
      </c>
      <c r="Q28" s="41" t="s">
        <v>29</v>
      </c>
      <c r="R28" s="41"/>
      <c r="S28" s="56"/>
      <c r="T28" s="43"/>
      <c r="U28" s="21">
        <v>45991</v>
      </c>
      <c r="V28" s="37">
        <f>WEEKNUM(Tabla1[[#This Row],[Fecha]])</f>
        <v>44</v>
      </c>
    </row>
    <row r="29" spans="1:22" ht="90" x14ac:dyDescent="0.25">
      <c r="A29" s="35">
        <v>28</v>
      </c>
      <c r="B29" s="54">
        <v>45958</v>
      </c>
      <c r="C29" s="37" t="s">
        <v>20</v>
      </c>
      <c r="D29" s="38" t="s">
        <v>21</v>
      </c>
      <c r="E29" s="37" t="s">
        <v>22</v>
      </c>
      <c r="F29" s="39">
        <v>920144113</v>
      </c>
      <c r="G29" s="37"/>
      <c r="H29" s="40"/>
      <c r="I29" s="27"/>
      <c r="J29" s="40"/>
      <c r="K29" s="40" t="s">
        <v>23</v>
      </c>
      <c r="L29" s="40" t="s">
        <v>24</v>
      </c>
      <c r="M29" s="36" t="s">
        <v>25</v>
      </c>
      <c r="N29" s="36" t="s">
        <v>26</v>
      </c>
      <c r="O29" s="36" t="s">
        <v>27</v>
      </c>
      <c r="P29" s="40" t="s">
        <v>178</v>
      </c>
      <c r="Q29" s="41" t="s">
        <v>29</v>
      </c>
      <c r="R29" s="41"/>
      <c r="S29" s="42"/>
      <c r="T29" s="42"/>
      <c r="U29" s="23">
        <v>45977</v>
      </c>
      <c r="V29" s="59">
        <f>WEEKNUM(Tabla1[[#This Row],[Fecha]])</f>
        <v>44</v>
      </c>
    </row>
    <row r="30" spans="1:22" ht="60" x14ac:dyDescent="0.25">
      <c r="A30" s="35">
        <v>29</v>
      </c>
      <c r="B30" s="54">
        <v>45959</v>
      </c>
      <c r="C30" s="37" t="s">
        <v>20</v>
      </c>
      <c r="D30" s="40" t="s">
        <v>144</v>
      </c>
      <c r="E30" s="40" t="s">
        <v>145</v>
      </c>
      <c r="F30" s="40"/>
      <c r="G30" s="27"/>
      <c r="H30" s="37" t="s">
        <v>185</v>
      </c>
      <c r="I30" s="22">
        <v>20145915164</v>
      </c>
      <c r="J30" s="27"/>
      <c r="K30" s="37" t="s">
        <v>23</v>
      </c>
      <c r="L30" s="37" t="s">
        <v>186</v>
      </c>
      <c r="M30" s="37" t="s">
        <v>143</v>
      </c>
      <c r="N30" s="22"/>
      <c r="O30" s="41" t="s">
        <v>27</v>
      </c>
      <c r="P30" s="37" t="s">
        <v>187</v>
      </c>
      <c r="Q30" s="41" t="s">
        <v>29</v>
      </c>
      <c r="R30" s="41"/>
      <c r="S30" s="56"/>
      <c r="T30" s="43"/>
      <c r="U30" s="24">
        <v>45991</v>
      </c>
      <c r="V30" s="37">
        <f>WEEKNUM(Tabla1[[#This Row],[Fecha]])</f>
        <v>44</v>
      </c>
    </row>
    <row r="31" spans="1:22" ht="105" x14ac:dyDescent="0.25">
      <c r="A31" s="35">
        <v>30</v>
      </c>
      <c r="B31" s="54">
        <v>45960</v>
      </c>
      <c r="C31" s="37" t="s">
        <v>20</v>
      </c>
      <c r="D31" s="40" t="s">
        <v>190</v>
      </c>
      <c r="E31" s="40" t="s">
        <v>191</v>
      </c>
      <c r="F31" s="40">
        <v>969751241</v>
      </c>
      <c r="G31" s="27"/>
      <c r="H31" s="37" t="s">
        <v>192</v>
      </c>
      <c r="I31" s="22">
        <v>20608345770</v>
      </c>
      <c r="J31" s="27"/>
      <c r="K31" s="37" t="s">
        <v>193</v>
      </c>
      <c r="L31" s="37" t="s">
        <v>194</v>
      </c>
      <c r="M31" s="37" t="s">
        <v>135</v>
      </c>
      <c r="N31" s="22"/>
      <c r="O31" s="41" t="s">
        <v>27</v>
      </c>
      <c r="P31" s="37" t="s">
        <v>195</v>
      </c>
      <c r="Q31" s="41" t="s">
        <v>124</v>
      </c>
      <c r="R31" s="41"/>
      <c r="S31" s="56"/>
      <c r="T31" s="43"/>
      <c r="U31" s="21">
        <v>45961</v>
      </c>
      <c r="V31" s="37">
        <f>WEEKNUM(Tabla1[[#This Row],[Fecha]])</f>
        <v>44</v>
      </c>
    </row>
    <row r="32" spans="1:22" ht="45" x14ac:dyDescent="0.25">
      <c r="A32" s="35">
        <v>31</v>
      </c>
      <c r="B32" s="54">
        <v>45960</v>
      </c>
      <c r="C32" s="37" t="s">
        <v>20</v>
      </c>
      <c r="D32" s="40" t="s">
        <v>196</v>
      </c>
      <c r="E32" s="40" t="s">
        <v>203</v>
      </c>
      <c r="F32" s="40">
        <v>963888349</v>
      </c>
      <c r="G32" s="58" t="s">
        <v>202</v>
      </c>
      <c r="H32" s="37" t="s">
        <v>197</v>
      </c>
      <c r="I32" s="22">
        <v>20610658513</v>
      </c>
      <c r="J32" s="27"/>
      <c r="K32" s="37"/>
      <c r="L32" s="37"/>
      <c r="M32" s="37" t="s">
        <v>138</v>
      </c>
      <c r="N32" s="22"/>
      <c r="O32" s="41" t="s">
        <v>122</v>
      </c>
      <c r="P32" s="37" t="s">
        <v>211</v>
      </c>
      <c r="Q32" s="41" t="s">
        <v>29</v>
      </c>
      <c r="R32" s="41"/>
      <c r="S32" s="56"/>
      <c r="T32" s="43"/>
      <c r="U32" s="22"/>
      <c r="V32" s="37">
        <f>WEEKNUM(Tabla1[[#This Row],[Fecha]])</f>
        <v>44</v>
      </c>
    </row>
    <row r="33" spans="1:22" ht="45" x14ac:dyDescent="0.25">
      <c r="A33" s="35">
        <v>32</v>
      </c>
      <c r="B33" s="54">
        <v>45960</v>
      </c>
      <c r="C33" s="37" t="s">
        <v>20</v>
      </c>
      <c r="D33" s="40" t="s">
        <v>198</v>
      </c>
      <c r="E33" s="40" t="s">
        <v>204</v>
      </c>
      <c r="F33" s="40"/>
      <c r="G33" s="58" t="s">
        <v>199</v>
      </c>
      <c r="H33" s="37" t="s">
        <v>200</v>
      </c>
      <c r="I33" s="30" t="s">
        <v>201</v>
      </c>
      <c r="J33" s="27"/>
      <c r="K33" s="37"/>
      <c r="L33" s="37"/>
      <c r="M33" s="37" t="s">
        <v>138</v>
      </c>
      <c r="N33" s="22"/>
      <c r="O33" s="41" t="s">
        <v>122</v>
      </c>
      <c r="P33" s="37" t="s">
        <v>205</v>
      </c>
      <c r="Q33" s="41" t="s">
        <v>121</v>
      </c>
      <c r="R33" s="41"/>
      <c r="S33" s="56"/>
      <c r="T33" s="43"/>
      <c r="U33" s="22"/>
      <c r="V33" s="37">
        <f>WEEKNUM(Tabla1[[#This Row],[Fecha]])</f>
        <v>44</v>
      </c>
    </row>
    <row r="34" spans="1:22" ht="45" x14ac:dyDescent="0.25">
      <c r="A34" s="35">
        <v>33</v>
      </c>
      <c r="B34" s="54">
        <v>45964</v>
      </c>
      <c r="C34" s="37" t="s">
        <v>20</v>
      </c>
      <c r="D34" s="40" t="s">
        <v>431</v>
      </c>
      <c r="E34" s="40" t="s">
        <v>206</v>
      </c>
      <c r="F34" s="40">
        <v>943463875</v>
      </c>
      <c r="G34" s="58" t="s">
        <v>207</v>
      </c>
      <c r="H34" s="37" t="s">
        <v>209</v>
      </c>
      <c r="I34" s="22">
        <v>20100032610</v>
      </c>
      <c r="J34" s="27"/>
      <c r="K34" s="37" t="s">
        <v>23</v>
      </c>
      <c r="L34" s="37" t="s">
        <v>23</v>
      </c>
      <c r="M34" s="37" t="s">
        <v>25</v>
      </c>
      <c r="N34" s="22"/>
      <c r="O34" s="41" t="s">
        <v>122</v>
      </c>
      <c r="P34" s="37" t="s">
        <v>210</v>
      </c>
      <c r="Q34" s="41" t="s">
        <v>121</v>
      </c>
      <c r="R34" s="41"/>
      <c r="S34" s="56"/>
      <c r="T34" s="43"/>
      <c r="U34" s="22"/>
      <c r="V34" s="37">
        <f>WEEKNUM(Tabla1[[#This Row],[Fecha]])</f>
        <v>45</v>
      </c>
    </row>
    <row r="35" spans="1:22" ht="45" x14ac:dyDescent="0.25">
      <c r="A35" s="35">
        <v>34</v>
      </c>
      <c r="B35" s="54">
        <v>45964</v>
      </c>
      <c r="C35" s="37" t="s">
        <v>20</v>
      </c>
      <c r="D35" s="40" t="s">
        <v>212</v>
      </c>
      <c r="E35" s="40" t="s">
        <v>213</v>
      </c>
      <c r="F35" s="40"/>
      <c r="G35" s="27"/>
      <c r="H35" s="37" t="s">
        <v>214</v>
      </c>
      <c r="I35" s="22"/>
      <c r="J35" s="27"/>
      <c r="K35" s="37"/>
      <c r="L35" s="37"/>
      <c r="M35" s="37"/>
      <c r="N35" s="22"/>
      <c r="O35" s="41" t="s">
        <v>27</v>
      </c>
      <c r="P35" s="37" t="s">
        <v>215</v>
      </c>
      <c r="Q35" s="41" t="s">
        <v>121</v>
      </c>
      <c r="R35" s="41"/>
      <c r="S35" s="56"/>
      <c r="T35" s="43"/>
      <c r="U35" s="22"/>
      <c r="V35" s="37">
        <f>WEEKNUM(Tabla1[[#This Row],[Fecha]])</f>
        <v>45</v>
      </c>
    </row>
    <row r="36" spans="1:22" ht="90" x14ac:dyDescent="0.25">
      <c r="A36" s="35">
        <v>35</v>
      </c>
      <c r="B36" s="54">
        <v>45964</v>
      </c>
      <c r="C36" s="37" t="s">
        <v>20</v>
      </c>
      <c r="D36" s="40" t="s">
        <v>190</v>
      </c>
      <c r="E36" s="40" t="s">
        <v>191</v>
      </c>
      <c r="F36" s="40">
        <v>969751241</v>
      </c>
      <c r="G36" s="58"/>
      <c r="H36" s="37" t="s">
        <v>192</v>
      </c>
      <c r="I36" s="22">
        <v>20608345770</v>
      </c>
      <c r="J36" s="27"/>
      <c r="K36" s="37" t="s">
        <v>193</v>
      </c>
      <c r="L36" s="37" t="s">
        <v>194</v>
      </c>
      <c r="M36" s="37" t="s">
        <v>135</v>
      </c>
      <c r="N36" s="22"/>
      <c r="O36" s="41" t="s">
        <v>27</v>
      </c>
      <c r="P36" s="37" t="s">
        <v>216</v>
      </c>
      <c r="Q36" s="41" t="s">
        <v>124</v>
      </c>
      <c r="R36" s="41"/>
      <c r="S36" s="56"/>
      <c r="T36" s="43"/>
      <c r="U36" s="21">
        <v>45961</v>
      </c>
      <c r="V36" s="37">
        <f>WEEKNUM(Tabla1[[#This Row],[Fecha]])</f>
        <v>45</v>
      </c>
    </row>
    <row r="37" spans="1:22" ht="60" x14ac:dyDescent="0.25">
      <c r="A37" s="35">
        <v>36</v>
      </c>
      <c r="B37" s="54">
        <v>45964</v>
      </c>
      <c r="C37" s="37" t="s">
        <v>221</v>
      </c>
      <c r="D37" s="40" t="s">
        <v>219</v>
      </c>
      <c r="E37" s="40" t="s">
        <v>220</v>
      </c>
      <c r="F37" s="40">
        <v>970175949</v>
      </c>
      <c r="G37" s="60" t="s">
        <v>217</v>
      </c>
      <c r="H37" s="37"/>
      <c r="I37" s="22">
        <v>10774619271</v>
      </c>
      <c r="J37" s="27"/>
      <c r="K37" s="37" t="s">
        <v>218</v>
      </c>
      <c r="L37" s="37" t="s">
        <v>218</v>
      </c>
      <c r="M37" s="37" t="s">
        <v>25</v>
      </c>
      <c r="N37" s="22"/>
      <c r="O37" s="41" t="s">
        <v>8</v>
      </c>
      <c r="P37" s="37" t="s">
        <v>222</v>
      </c>
      <c r="Q37" s="41" t="s">
        <v>124</v>
      </c>
      <c r="R37" s="41"/>
      <c r="S37" s="56" t="s">
        <v>247</v>
      </c>
      <c r="T37" s="43"/>
      <c r="U37" s="21"/>
      <c r="V37" s="37">
        <f>WEEKNUM(Tabla1[[#This Row],[Fecha]])</f>
        <v>45</v>
      </c>
    </row>
    <row r="38" spans="1:22" ht="60" x14ac:dyDescent="0.25">
      <c r="A38" s="35">
        <v>37</v>
      </c>
      <c r="B38" s="54">
        <v>45964</v>
      </c>
      <c r="C38" s="37" t="s">
        <v>20</v>
      </c>
      <c r="D38" s="40" t="s">
        <v>156</v>
      </c>
      <c r="E38" s="40" t="s">
        <v>157</v>
      </c>
      <c r="F38" s="40"/>
      <c r="G38" s="58" t="s">
        <v>158</v>
      </c>
      <c r="H38" s="37" t="s">
        <v>159</v>
      </c>
      <c r="I38" s="22"/>
      <c r="J38" s="27"/>
      <c r="K38" s="37" t="s">
        <v>23</v>
      </c>
      <c r="L38" s="37" t="s">
        <v>160</v>
      </c>
      <c r="M38" s="37" t="s">
        <v>25</v>
      </c>
      <c r="N38" s="22"/>
      <c r="O38" s="41" t="s">
        <v>27</v>
      </c>
      <c r="P38" s="37" t="s">
        <v>161</v>
      </c>
      <c r="Q38" s="41" t="s">
        <v>29</v>
      </c>
      <c r="R38" s="41"/>
      <c r="S38" s="56"/>
      <c r="T38" s="43"/>
      <c r="U38" s="21"/>
      <c r="V38" s="37">
        <f>WEEKNUM(Tabla1[[#This Row],[Fecha]])</f>
        <v>45</v>
      </c>
    </row>
    <row r="39" spans="1:22" ht="45" x14ac:dyDescent="0.25">
      <c r="A39" s="35">
        <v>38</v>
      </c>
      <c r="B39" s="54">
        <v>45964</v>
      </c>
      <c r="C39" s="37" t="s">
        <v>20</v>
      </c>
      <c r="D39" s="40" t="s">
        <v>224</v>
      </c>
      <c r="E39" s="40"/>
      <c r="F39" s="40">
        <v>980179994</v>
      </c>
      <c r="G39" s="58" t="s">
        <v>225</v>
      </c>
      <c r="H39" s="37" t="s">
        <v>226</v>
      </c>
      <c r="I39" s="22"/>
      <c r="J39" s="27"/>
      <c r="K39" s="37" t="s">
        <v>23</v>
      </c>
      <c r="L39" s="37" t="s">
        <v>23</v>
      </c>
      <c r="M39" s="37" t="s">
        <v>141</v>
      </c>
      <c r="N39" s="22"/>
      <c r="O39" s="41" t="s">
        <v>27</v>
      </c>
      <c r="P39" s="37" t="s">
        <v>227</v>
      </c>
      <c r="Q39" s="41" t="s">
        <v>121</v>
      </c>
      <c r="R39" s="41"/>
      <c r="S39" s="56"/>
      <c r="T39" s="43"/>
      <c r="U39" s="22"/>
      <c r="V39" s="37">
        <f>WEEKNUM(Tabla1[[#This Row],[Fecha]])</f>
        <v>45</v>
      </c>
    </row>
    <row r="40" spans="1:22" ht="60" x14ac:dyDescent="0.25">
      <c r="A40" s="35">
        <v>39</v>
      </c>
      <c r="B40" s="54">
        <v>45965</v>
      </c>
      <c r="C40" s="37" t="s">
        <v>20</v>
      </c>
      <c r="D40" s="40" t="s">
        <v>228</v>
      </c>
      <c r="E40" s="40" t="s">
        <v>229</v>
      </c>
      <c r="F40" s="40"/>
      <c r="G40" s="58" t="s">
        <v>230</v>
      </c>
      <c r="H40" s="37" t="s">
        <v>232</v>
      </c>
      <c r="I40" s="22">
        <v>20166018022</v>
      </c>
      <c r="J40" s="58" t="s">
        <v>231</v>
      </c>
      <c r="K40" s="37" t="s">
        <v>23</v>
      </c>
      <c r="L40" s="37" t="s">
        <v>166</v>
      </c>
      <c r="M40" s="37" t="s">
        <v>139</v>
      </c>
      <c r="N40" s="22"/>
      <c r="O40" s="41" t="s">
        <v>27</v>
      </c>
      <c r="P40" s="37" t="s">
        <v>233</v>
      </c>
      <c r="Q40" s="41" t="s">
        <v>121</v>
      </c>
      <c r="R40" s="41"/>
      <c r="S40" s="56"/>
      <c r="T40" s="43"/>
      <c r="U40" s="22"/>
      <c r="V40" s="37">
        <f>WEEKNUM(Tabla1[[#This Row],[Fecha]])</f>
        <v>45</v>
      </c>
    </row>
    <row r="41" spans="1:22" ht="45" x14ac:dyDescent="0.25">
      <c r="A41" s="35">
        <v>40</v>
      </c>
      <c r="B41" s="54">
        <v>45965</v>
      </c>
      <c r="C41" s="37" t="s">
        <v>20</v>
      </c>
      <c r="D41" s="40" t="s">
        <v>234</v>
      </c>
      <c r="E41" s="40" t="s">
        <v>235</v>
      </c>
      <c r="F41" s="40"/>
      <c r="G41" s="58" t="s">
        <v>236</v>
      </c>
      <c r="H41" s="37" t="s">
        <v>237</v>
      </c>
      <c r="I41" s="22"/>
      <c r="J41" s="27"/>
      <c r="K41" s="37"/>
      <c r="L41" s="37"/>
      <c r="M41" s="37" t="s">
        <v>141</v>
      </c>
      <c r="N41" s="22"/>
      <c r="O41" s="41" t="s">
        <v>27</v>
      </c>
      <c r="P41" s="37" t="s">
        <v>238</v>
      </c>
      <c r="Q41" s="41" t="s">
        <v>121</v>
      </c>
      <c r="R41" s="41"/>
      <c r="S41" s="56"/>
      <c r="T41" s="43"/>
      <c r="U41" s="22"/>
      <c r="V41" s="37">
        <f>WEEKNUM(Tabla1[[#This Row],[Fecha]])</f>
        <v>45</v>
      </c>
    </row>
    <row r="42" spans="1:22" ht="45" x14ac:dyDescent="0.25">
      <c r="A42" s="35">
        <v>41</v>
      </c>
      <c r="B42" s="54">
        <v>45965</v>
      </c>
      <c r="C42" s="37" t="s">
        <v>20</v>
      </c>
      <c r="D42" s="40" t="s">
        <v>239</v>
      </c>
      <c r="E42" s="40" t="s">
        <v>240</v>
      </c>
      <c r="F42" s="60">
        <v>943463875</v>
      </c>
      <c r="G42" s="60" t="s">
        <v>207</v>
      </c>
      <c r="H42" s="37" t="s">
        <v>208</v>
      </c>
      <c r="I42" s="22"/>
      <c r="J42" s="27"/>
      <c r="K42" s="37"/>
      <c r="L42" s="37"/>
      <c r="M42" s="37" t="s">
        <v>25</v>
      </c>
      <c r="N42" s="22"/>
      <c r="O42" s="41" t="s">
        <v>27</v>
      </c>
      <c r="P42" s="37" t="s">
        <v>241</v>
      </c>
      <c r="Q42" s="41" t="s">
        <v>121</v>
      </c>
      <c r="R42" s="41"/>
      <c r="S42" s="56"/>
      <c r="T42" s="43"/>
      <c r="U42" s="22"/>
      <c r="V42" s="37">
        <f>WEEKNUM(Tabla1[[#This Row],[Fecha]])</f>
        <v>45</v>
      </c>
    </row>
    <row r="43" spans="1:22" ht="45" x14ac:dyDescent="0.25">
      <c r="A43" s="35">
        <v>42</v>
      </c>
      <c r="B43" s="54">
        <v>45965</v>
      </c>
      <c r="C43" s="37" t="s">
        <v>20</v>
      </c>
      <c r="D43" s="40" t="s">
        <v>150</v>
      </c>
      <c r="E43" s="40" t="s">
        <v>151</v>
      </c>
      <c r="F43" s="40">
        <v>999869285</v>
      </c>
      <c r="G43" s="27"/>
      <c r="H43" s="37" t="s">
        <v>177</v>
      </c>
      <c r="I43" s="22">
        <v>20555369451</v>
      </c>
      <c r="J43" s="55" t="s">
        <v>152</v>
      </c>
      <c r="K43" s="37" t="s">
        <v>23</v>
      </c>
      <c r="L43" s="37" t="s">
        <v>153</v>
      </c>
      <c r="M43" s="37" t="s">
        <v>134</v>
      </c>
      <c r="N43" s="22"/>
      <c r="O43" s="57" t="s">
        <v>122</v>
      </c>
      <c r="P43" s="37" t="s">
        <v>242</v>
      </c>
      <c r="Q43" s="41" t="s">
        <v>29</v>
      </c>
      <c r="R43" s="41"/>
      <c r="S43" s="56"/>
      <c r="T43" s="43"/>
      <c r="U43" s="22"/>
      <c r="V43" s="37">
        <f>WEEKNUM(Tabla1[[#This Row],[Fecha]])</f>
        <v>45</v>
      </c>
    </row>
    <row r="44" spans="1:22" ht="120" x14ac:dyDescent="0.25">
      <c r="A44" s="35">
        <v>43</v>
      </c>
      <c r="B44" s="54">
        <v>45967</v>
      </c>
      <c r="C44" s="37" t="s">
        <v>20</v>
      </c>
      <c r="D44" s="40" t="s">
        <v>150</v>
      </c>
      <c r="E44" s="40" t="s">
        <v>151</v>
      </c>
      <c r="F44" s="40">
        <v>999869285</v>
      </c>
      <c r="G44" s="27"/>
      <c r="H44" s="37" t="s">
        <v>177</v>
      </c>
      <c r="I44" s="22">
        <v>20555369451</v>
      </c>
      <c r="J44" s="55" t="s">
        <v>152</v>
      </c>
      <c r="K44" s="37" t="s">
        <v>23</v>
      </c>
      <c r="L44" s="37" t="s">
        <v>153</v>
      </c>
      <c r="M44" s="37" t="s">
        <v>134</v>
      </c>
      <c r="N44" s="22"/>
      <c r="O44" s="57" t="s">
        <v>122</v>
      </c>
      <c r="P44" s="37" t="s">
        <v>243</v>
      </c>
      <c r="Q44" s="41" t="s">
        <v>29</v>
      </c>
      <c r="R44" s="41"/>
      <c r="S44" s="56"/>
      <c r="T44" s="43"/>
      <c r="U44" s="22"/>
      <c r="V44" s="37">
        <f>WEEKNUM(Tabla1[[#This Row],[Fecha]])</f>
        <v>45</v>
      </c>
    </row>
    <row r="45" spans="1:22" ht="60" x14ac:dyDescent="0.25">
      <c r="A45" s="35">
        <v>44</v>
      </c>
      <c r="B45" s="54">
        <v>45967</v>
      </c>
      <c r="C45" s="37" t="s">
        <v>20</v>
      </c>
      <c r="D45" s="40" t="s">
        <v>266</v>
      </c>
      <c r="E45" s="40" t="s">
        <v>220</v>
      </c>
      <c r="F45" s="40">
        <v>990216016</v>
      </c>
      <c r="G45" s="58" t="s">
        <v>245</v>
      </c>
      <c r="H45" s="37" t="s">
        <v>244</v>
      </c>
      <c r="I45" s="22"/>
      <c r="J45" s="27"/>
      <c r="K45" s="37" t="s">
        <v>193</v>
      </c>
      <c r="L45" s="37" t="s">
        <v>194</v>
      </c>
      <c r="M45" s="37" t="s">
        <v>136</v>
      </c>
      <c r="N45" s="22"/>
      <c r="O45" s="41" t="s">
        <v>8</v>
      </c>
      <c r="P45" s="37" t="s">
        <v>246</v>
      </c>
      <c r="Q45" s="41" t="s">
        <v>127</v>
      </c>
      <c r="R45" s="41"/>
      <c r="S45" s="56" t="s">
        <v>247</v>
      </c>
      <c r="T45" s="43"/>
      <c r="U45" s="22"/>
      <c r="V45" s="37">
        <f>WEEKNUM(Tabla1[[#This Row],[Fecha]])</f>
        <v>45</v>
      </c>
    </row>
    <row r="46" spans="1:22" ht="75" x14ac:dyDescent="0.25">
      <c r="A46" s="35">
        <v>45</v>
      </c>
      <c r="B46" s="54">
        <v>45967</v>
      </c>
      <c r="C46" s="37" t="s">
        <v>20</v>
      </c>
      <c r="D46" s="40" t="s">
        <v>248</v>
      </c>
      <c r="E46" s="40" t="s">
        <v>220</v>
      </c>
      <c r="F46" s="40">
        <v>975598544</v>
      </c>
      <c r="G46" s="58" t="s">
        <v>249</v>
      </c>
      <c r="H46" s="37" t="s">
        <v>250</v>
      </c>
      <c r="I46" s="22"/>
      <c r="J46" s="27"/>
      <c r="K46" s="37" t="s">
        <v>342</v>
      </c>
      <c r="L46" s="37" t="s">
        <v>343</v>
      </c>
      <c r="M46" s="37" t="s">
        <v>136</v>
      </c>
      <c r="N46" s="22"/>
      <c r="O46" s="41"/>
      <c r="P46" s="37" t="s">
        <v>251</v>
      </c>
      <c r="Q46" s="41" t="s">
        <v>29</v>
      </c>
      <c r="R46" s="41"/>
      <c r="S46" s="56" t="s">
        <v>252</v>
      </c>
      <c r="T46" s="43"/>
      <c r="U46" s="22"/>
      <c r="V46" s="37">
        <f>WEEKNUM(Tabla1[[#This Row],[Fecha]])</f>
        <v>45</v>
      </c>
    </row>
    <row r="47" spans="1:22" ht="75" x14ac:dyDescent="0.25">
      <c r="A47" s="35">
        <v>46</v>
      </c>
      <c r="B47" s="54">
        <v>45969</v>
      </c>
      <c r="C47" s="37" t="s">
        <v>20</v>
      </c>
      <c r="D47" s="40" t="s">
        <v>253</v>
      </c>
      <c r="E47" s="40" t="s">
        <v>220</v>
      </c>
      <c r="F47" s="40">
        <v>915244218</v>
      </c>
      <c r="G47" s="58" t="s">
        <v>254</v>
      </c>
      <c r="H47" s="37" t="s">
        <v>253</v>
      </c>
      <c r="I47" s="22" t="s">
        <v>255</v>
      </c>
      <c r="J47" s="27"/>
      <c r="K47" s="37" t="s">
        <v>23</v>
      </c>
      <c r="L47" s="37" t="s">
        <v>256</v>
      </c>
      <c r="M47" s="37" t="s">
        <v>136</v>
      </c>
      <c r="N47" s="22"/>
      <c r="O47" s="41" t="s">
        <v>8</v>
      </c>
      <c r="P47" s="37" t="s">
        <v>258</v>
      </c>
      <c r="Q47" s="41" t="s">
        <v>124</v>
      </c>
      <c r="R47" s="41"/>
      <c r="S47" s="56" t="s">
        <v>257</v>
      </c>
      <c r="T47" s="43">
        <v>4340</v>
      </c>
      <c r="U47" s="22">
        <v>45976</v>
      </c>
      <c r="V47" s="37">
        <v>44</v>
      </c>
    </row>
    <row r="48" spans="1:22" ht="75" x14ac:dyDescent="0.25">
      <c r="A48" s="35">
        <v>47</v>
      </c>
      <c r="B48" s="54">
        <v>45971</v>
      </c>
      <c r="C48" s="37" t="s">
        <v>20</v>
      </c>
      <c r="D48" s="40" t="s">
        <v>259</v>
      </c>
      <c r="E48" s="40" t="s">
        <v>260</v>
      </c>
      <c r="F48" s="40">
        <v>983513942</v>
      </c>
      <c r="G48" s="58" t="s">
        <v>261</v>
      </c>
      <c r="H48" s="37" t="s">
        <v>262</v>
      </c>
      <c r="I48" s="22">
        <v>20552553421</v>
      </c>
      <c r="J48" s="58" t="s">
        <v>263</v>
      </c>
      <c r="K48" s="37" t="s">
        <v>23</v>
      </c>
      <c r="L48" s="37" t="s">
        <v>153</v>
      </c>
      <c r="M48" s="37" t="s">
        <v>134</v>
      </c>
      <c r="N48" s="22"/>
      <c r="O48" s="41" t="s">
        <v>122</v>
      </c>
      <c r="P48" s="37" t="s">
        <v>264</v>
      </c>
      <c r="Q48" s="41" t="s">
        <v>29</v>
      </c>
      <c r="R48" s="41"/>
      <c r="S48" s="56"/>
      <c r="T48" s="43"/>
      <c r="U48" s="22"/>
      <c r="V48" s="37">
        <f>WEEKNUM(Tabla1[[#This Row],[Fecha]])</f>
        <v>46</v>
      </c>
    </row>
    <row r="49" spans="1:22" ht="135" x14ac:dyDescent="0.25">
      <c r="A49" s="35">
        <v>48</v>
      </c>
      <c r="B49" s="54">
        <v>45972</v>
      </c>
      <c r="C49" s="37" t="s">
        <v>20</v>
      </c>
      <c r="D49" s="40" t="s">
        <v>253</v>
      </c>
      <c r="E49" s="40" t="s">
        <v>220</v>
      </c>
      <c r="F49" s="40">
        <v>915244218</v>
      </c>
      <c r="G49" s="58" t="s">
        <v>254</v>
      </c>
      <c r="H49" s="37" t="s">
        <v>253</v>
      </c>
      <c r="I49" s="22" t="s">
        <v>255</v>
      </c>
      <c r="J49" s="27"/>
      <c r="K49" s="37" t="s">
        <v>23</v>
      </c>
      <c r="L49" s="37" t="s">
        <v>256</v>
      </c>
      <c r="M49" s="37" t="s">
        <v>136</v>
      </c>
      <c r="N49" s="22"/>
      <c r="O49" s="41" t="s">
        <v>8</v>
      </c>
      <c r="P49" s="37" t="s">
        <v>265</v>
      </c>
      <c r="Q49" s="41" t="s">
        <v>124</v>
      </c>
      <c r="R49" s="41"/>
      <c r="S49" s="56" t="s">
        <v>257</v>
      </c>
      <c r="T49" s="43">
        <v>4699</v>
      </c>
      <c r="U49" s="22">
        <v>45976</v>
      </c>
      <c r="V49" s="37">
        <v>44</v>
      </c>
    </row>
    <row r="50" spans="1:22" ht="60" x14ac:dyDescent="0.25">
      <c r="A50" s="35">
        <v>49</v>
      </c>
      <c r="B50" s="54">
        <v>45972</v>
      </c>
      <c r="C50" s="37" t="s">
        <v>20</v>
      </c>
      <c r="D50" s="40" t="s">
        <v>266</v>
      </c>
      <c r="E50" s="40" t="s">
        <v>220</v>
      </c>
      <c r="F50" s="40">
        <v>990216016</v>
      </c>
      <c r="G50" s="27" t="s">
        <v>245</v>
      </c>
      <c r="H50" s="37" t="s">
        <v>244</v>
      </c>
      <c r="I50" s="22"/>
      <c r="J50" s="27"/>
      <c r="K50" s="37" t="s">
        <v>193</v>
      </c>
      <c r="L50" s="37" t="s">
        <v>194</v>
      </c>
      <c r="M50" s="37" t="s">
        <v>136</v>
      </c>
      <c r="N50" s="22"/>
      <c r="O50" s="41" t="s">
        <v>8</v>
      </c>
      <c r="P50" s="37" t="s">
        <v>267</v>
      </c>
      <c r="Q50" s="41" t="s">
        <v>127</v>
      </c>
      <c r="R50" s="41"/>
      <c r="S50" s="56" t="s">
        <v>247</v>
      </c>
      <c r="T50" s="43"/>
      <c r="U50" s="22"/>
      <c r="V50" s="37">
        <f>WEEKNUM(Tabla1[[#This Row],[Fecha]])</f>
        <v>46</v>
      </c>
    </row>
    <row r="51" spans="1:22" ht="60" x14ac:dyDescent="0.25">
      <c r="A51" s="35">
        <v>50</v>
      </c>
      <c r="B51" s="54">
        <v>45954</v>
      </c>
      <c r="C51" s="37" t="s">
        <v>268</v>
      </c>
      <c r="D51" s="40" t="s">
        <v>266</v>
      </c>
      <c r="E51" s="40"/>
      <c r="F51" s="40">
        <v>990216016</v>
      </c>
      <c r="G51" s="27" t="s">
        <v>245</v>
      </c>
      <c r="H51" s="37"/>
      <c r="I51" s="22"/>
      <c r="J51" s="27"/>
      <c r="K51" s="37"/>
      <c r="L51" s="37"/>
      <c r="M51" s="37" t="s">
        <v>136</v>
      </c>
      <c r="N51" s="22" t="s">
        <v>26</v>
      </c>
      <c r="O51" s="41" t="s">
        <v>8</v>
      </c>
      <c r="P51" s="39" t="s">
        <v>269</v>
      </c>
      <c r="Q51" s="41" t="s">
        <v>121</v>
      </c>
      <c r="R51" s="41"/>
      <c r="S51" s="56"/>
      <c r="T51" s="43"/>
      <c r="U51" s="22"/>
      <c r="V51" s="37">
        <f>WEEKNUM(Tabla1[[#This Row],[Fecha]])</f>
        <v>43</v>
      </c>
    </row>
    <row r="52" spans="1:22" ht="60" x14ac:dyDescent="0.25">
      <c r="A52" s="35">
        <v>51</v>
      </c>
      <c r="B52" s="54">
        <v>45957</v>
      </c>
      <c r="C52" s="37" t="s">
        <v>268</v>
      </c>
      <c r="D52" s="40" t="s">
        <v>266</v>
      </c>
      <c r="E52" s="40"/>
      <c r="F52" s="40">
        <v>990216016</v>
      </c>
      <c r="G52" s="27" t="s">
        <v>245</v>
      </c>
      <c r="H52" s="37" t="s">
        <v>270</v>
      </c>
      <c r="I52" s="31"/>
      <c r="J52" s="27"/>
      <c r="K52" s="37"/>
      <c r="L52" s="37"/>
      <c r="M52" s="37" t="s">
        <v>136</v>
      </c>
      <c r="N52" s="22" t="s">
        <v>26</v>
      </c>
      <c r="O52" s="41" t="s">
        <v>8</v>
      </c>
      <c r="P52" s="37" t="s">
        <v>271</v>
      </c>
      <c r="Q52" s="41" t="s">
        <v>121</v>
      </c>
      <c r="R52" s="41"/>
      <c r="S52" s="56"/>
      <c r="T52" s="43"/>
      <c r="U52" s="22"/>
      <c r="V52" s="37">
        <f>WEEKNUM(Tabla1[[#This Row],[Fecha]])</f>
        <v>44</v>
      </c>
    </row>
    <row r="53" spans="1:22" ht="60" x14ac:dyDescent="0.25">
      <c r="A53" s="35">
        <v>52</v>
      </c>
      <c r="B53" s="54">
        <v>45958</v>
      </c>
      <c r="C53" s="37" t="s">
        <v>268</v>
      </c>
      <c r="D53" s="40" t="s">
        <v>266</v>
      </c>
      <c r="E53" s="40"/>
      <c r="F53" s="40">
        <v>990216016</v>
      </c>
      <c r="G53" s="27" t="s">
        <v>245</v>
      </c>
      <c r="H53" s="37" t="s">
        <v>270</v>
      </c>
      <c r="I53" s="31"/>
      <c r="J53" s="27"/>
      <c r="K53" s="37"/>
      <c r="L53" s="37"/>
      <c r="M53" s="37" t="s">
        <v>136</v>
      </c>
      <c r="N53" s="22" t="s">
        <v>26</v>
      </c>
      <c r="O53" s="41" t="s">
        <v>8</v>
      </c>
      <c r="P53" s="37" t="s">
        <v>272</v>
      </c>
      <c r="Q53" s="41" t="s">
        <v>121</v>
      </c>
      <c r="R53" s="41"/>
      <c r="S53" s="56"/>
      <c r="T53" s="43"/>
      <c r="U53" s="22"/>
      <c r="V53" s="37">
        <f>WEEKNUM(Tabla1[[#This Row],[Fecha]])</f>
        <v>44</v>
      </c>
    </row>
    <row r="54" spans="1:22" ht="60" x14ac:dyDescent="0.25">
      <c r="A54" s="35">
        <v>53</v>
      </c>
      <c r="B54" s="54">
        <v>45959</v>
      </c>
      <c r="C54" s="37" t="s">
        <v>268</v>
      </c>
      <c r="D54" s="40" t="s">
        <v>266</v>
      </c>
      <c r="E54" s="40"/>
      <c r="F54" s="40">
        <v>990216016</v>
      </c>
      <c r="G54" s="27" t="s">
        <v>245</v>
      </c>
      <c r="H54" s="37" t="s">
        <v>270</v>
      </c>
      <c r="I54" s="31"/>
      <c r="J54" s="27"/>
      <c r="K54" s="37"/>
      <c r="L54" s="37"/>
      <c r="M54" s="37" t="s">
        <v>136</v>
      </c>
      <c r="N54" s="22" t="s">
        <v>26</v>
      </c>
      <c r="O54" s="41" t="s">
        <v>8</v>
      </c>
      <c r="P54" s="37" t="s">
        <v>273</v>
      </c>
      <c r="Q54" s="41" t="s">
        <v>121</v>
      </c>
      <c r="R54" s="41"/>
      <c r="S54" s="56"/>
      <c r="T54" s="43"/>
      <c r="U54" s="22"/>
      <c r="V54" s="37">
        <f>WEEKNUM(Tabla1[[#This Row],[Fecha]])</f>
        <v>44</v>
      </c>
    </row>
    <row r="55" spans="1:22" ht="60" x14ac:dyDescent="0.25">
      <c r="A55" s="35">
        <v>54</v>
      </c>
      <c r="B55" s="54">
        <v>45960</v>
      </c>
      <c r="C55" s="37" t="s">
        <v>268</v>
      </c>
      <c r="D55" s="40" t="s">
        <v>266</v>
      </c>
      <c r="E55" s="40"/>
      <c r="F55" s="40">
        <v>990216016</v>
      </c>
      <c r="G55" s="27" t="s">
        <v>245</v>
      </c>
      <c r="H55" s="37" t="s">
        <v>270</v>
      </c>
      <c r="I55" s="31"/>
      <c r="J55" s="27"/>
      <c r="K55" s="37"/>
      <c r="L55" s="37"/>
      <c r="M55" s="37" t="s">
        <v>136</v>
      </c>
      <c r="N55" s="22" t="s">
        <v>26</v>
      </c>
      <c r="O55" s="41" t="s">
        <v>8</v>
      </c>
      <c r="P55" s="37" t="s">
        <v>274</v>
      </c>
      <c r="Q55" s="41" t="s">
        <v>121</v>
      </c>
      <c r="R55" s="41"/>
      <c r="S55" s="56"/>
      <c r="T55" s="43"/>
      <c r="U55" s="22"/>
      <c r="V55" s="37">
        <f>WEEKNUM(Tabla1[[#This Row],[Fecha]])</f>
        <v>44</v>
      </c>
    </row>
    <row r="56" spans="1:22" ht="60" x14ac:dyDescent="0.25">
      <c r="A56" s="35">
        <v>55</v>
      </c>
      <c r="B56" s="54">
        <v>45961</v>
      </c>
      <c r="C56" s="37" t="s">
        <v>268</v>
      </c>
      <c r="D56" s="40" t="s">
        <v>266</v>
      </c>
      <c r="E56" s="40"/>
      <c r="F56" s="40">
        <v>990216016</v>
      </c>
      <c r="G56" s="27" t="s">
        <v>245</v>
      </c>
      <c r="H56" s="37" t="s">
        <v>270</v>
      </c>
      <c r="I56" s="31"/>
      <c r="J56" s="27"/>
      <c r="K56" s="37"/>
      <c r="L56" s="37"/>
      <c r="M56" s="37" t="s">
        <v>136</v>
      </c>
      <c r="N56" s="22" t="s">
        <v>26</v>
      </c>
      <c r="O56" s="41" t="s">
        <v>8</v>
      </c>
      <c r="P56" s="37" t="s">
        <v>274</v>
      </c>
      <c r="Q56" s="41" t="s">
        <v>121</v>
      </c>
      <c r="R56" s="41"/>
      <c r="S56" s="56"/>
      <c r="T56" s="43"/>
      <c r="U56" s="22"/>
      <c r="V56" s="37">
        <f>WEEKNUM(Tabla1[[#This Row],[Fecha]])</f>
        <v>44</v>
      </c>
    </row>
    <row r="57" spans="1:22" ht="91.5" x14ac:dyDescent="0.25">
      <c r="A57" s="35">
        <v>56</v>
      </c>
      <c r="B57" s="54">
        <v>45973</v>
      </c>
      <c r="C57" s="37" t="s">
        <v>20</v>
      </c>
      <c r="D57" s="40" t="s">
        <v>276</v>
      </c>
      <c r="E57" s="40" t="s">
        <v>41</v>
      </c>
      <c r="F57" s="40" t="s">
        <v>289</v>
      </c>
      <c r="G57" s="58" t="s">
        <v>277</v>
      </c>
      <c r="H57" s="37" t="s">
        <v>275</v>
      </c>
      <c r="I57" s="22"/>
      <c r="J57" s="27"/>
      <c r="K57" s="37" t="s">
        <v>23</v>
      </c>
      <c r="L57" s="37" t="s">
        <v>256</v>
      </c>
      <c r="M57" s="37" t="s">
        <v>141</v>
      </c>
      <c r="N57" s="22"/>
      <c r="O57" s="41" t="s">
        <v>122</v>
      </c>
      <c r="P57" s="37" t="s">
        <v>280</v>
      </c>
      <c r="Q57" s="41" t="s">
        <v>121</v>
      </c>
      <c r="R57" s="41"/>
      <c r="S57" s="56"/>
      <c r="T57" s="43"/>
      <c r="U57" s="22"/>
      <c r="V57" s="37">
        <f>WEEKNUM(Tabla1[[#This Row],[Fecha]])</f>
        <v>46</v>
      </c>
    </row>
    <row r="58" spans="1:22" ht="45" x14ac:dyDescent="0.25">
      <c r="A58" s="35">
        <v>57</v>
      </c>
      <c r="B58" s="54">
        <v>45973</v>
      </c>
      <c r="C58" s="37" t="s">
        <v>20</v>
      </c>
      <c r="D58" s="40"/>
      <c r="E58" s="40" t="s">
        <v>74</v>
      </c>
      <c r="F58" s="40"/>
      <c r="G58" s="27"/>
      <c r="H58" s="37" t="s">
        <v>278</v>
      </c>
      <c r="I58" s="22"/>
      <c r="J58" s="27"/>
      <c r="K58" s="37" t="s">
        <v>23</v>
      </c>
      <c r="L58" s="37" t="s">
        <v>256</v>
      </c>
      <c r="M58" s="37" t="s">
        <v>25</v>
      </c>
      <c r="N58" s="22"/>
      <c r="O58" s="41"/>
      <c r="P58" s="37" t="s">
        <v>279</v>
      </c>
      <c r="Q58" s="41"/>
      <c r="R58" s="41"/>
      <c r="S58" s="56"/>
      <c r="T58" s="43"/>
      <c r="U58" s="22"/>
      <c r="V58" s="37">
        <f>WEEKNUM(Tabla1[[#This Row],[Fecha]])</f>
        <v>46</v>
      </c>
    </row>
    <row r="59" spans="1:22" ht="255" x14ac:dyDescent="0.25">
      <c r="A59" s="35">
        <v>58</v>
      </c>
      <c r="B59" s="54">
        <v>45974</v>
      </c>
      <c r="C59" s="37" t="s">
        <v>20</v>
      </c>
      <c r="D59" s="40" t="s">
        <v>234</v>
      </c>
      <c r="E59" s="40" t="s">
        <v>235</v>
      </c>
      <c r="F59" s="40"/>
      <c r="G59" s="58" t="s">
        <v>236</v>
      </c>
      <c r="H59" s="37" t="s">
        <v>237</v>
      </c>
      <c r="I59" s="22"/>
      <c r="J59" s="27"/>
      <c r="K59" s="37"/>
      <c r="L59" s="37"/>
      <c r="M59" s="37" t="s">
        <v>141</v>
      </c>
      <c r="N59" s="22"/>
      <c r="O59" s="41" t="s">
        <v>122</v>
      </c>
      <c r="P59" s="37" t="s">
        <v>281</v>
      </c>
      <c r="Q59" s="41" t="s">
        <v>29</v>
      </c>
      <c r="R59" s="41"/>
      <c r="S59" s="56"/>
      <c r="T59" s="43"/>
      <c r="U59" s="22"/>
      <c r="V59" s="37">
        <f>WEEKNUM(Tabla1[[#This Row],[Fecha]])</f>
        <v>46</v>
      </c>
    </row>
    <row r="60" spans="1:22" ht="90" x14ac:dyDescent="0.25">
      <c r="A60" s="35">
        <v>59</v>
      </c>
      <c r="B60" s="54">
        <v>45974</v>
      </c>
      <c r="C60" s="37" t="s">
        <v>20</v>
      </c>
      <c r="D60" s="40" t="s">
        <v>282</v>
      </c>
      <c r="E60" s="40" t="s">
        <v>283</v>
      </c>
      <c r="F60" s="40" t="s">
        <v>287</v>
      </c>
      <c r="G60" s="58" t="s">
        <v>284</v>
      </c>
      <c r="H60" s="37" t="s">
        <v>285</v>
      </c>
      <c r="I60" s="22">
        <v>20518738314</v>
      </c>
      <c r="J60" s="58" t="s">
        <v>286</v>
      </c>
      <c r="K60" s="37" t="s">
        <v>23</v>
      </c>
      <c r="L60" s="37" t="s">
        <v>24</v>
      </c>
      <c r="M60" s="37" t="s">
        <v>25</v>
      </c>
      <c r="N60" s="22"/>
      <c r="O60" s="41" t="s">
        <v>122</v>
      </c>
      <c r="P60" s="37" t="s">
        <v>288</v>
      </c>
      <c r="Q60" s="41" t="s">
        <v>121</v>
      </c>
      <c r="R60" s="41"/>
      <c r="S60" s="56"/>
      <c r="T60" s="43"/>
      <c r="U60" s="24">
        <v>45983</v>
      </c>
      <c r="V60" s="37">
        <f>WEEKNUM(Tabla1[[#This Row],[Fecha]])</f>
        <v>46</v>
      </c>
    </row>
    <row r="61" spans="1:22" ht="30" x14ac:dyDescent="0.25">
      <c r="A61" s="35">
        <v>60</v>
      </c>
      <c r="B61" s="54">
        <v>45974</v>
      </c>
      <c r="C61" s="37" t="s">
        <v>20</v>
      </c>
      <c r="D61" s="40" t="s">
        <v>253</v>
      </c>
      <c r="E61" s="40" t="s">
        <v>220</v>
      </c>
      <c r="F61" s="40">
        <v>915244218</v>
      </c>
      <c r="G61" s="58" t="s">
        <v>254</v>
      </c>
      <c r="H61" s="37" t="s">
        <v>253</v>
      </c>
      <c r="I61" s="22" t="s">
        <v>255</v>
      </c>
      <c r="J61" s="27"/>
      <c r="K61" s="37" t="s">
        <v>23</v>
      </c>
      <c r="L61" s="37" t="s">
        <v>256</v>
      </c>
      <c r="M61" s="37" t="s">
        <v>136</v>
      </c>
      <c r="N61" s="22"/>
      <c r="O61" s="41" t="s">
        <v>8</v>
      </c>
      <c r="P61" s="37" t="s">
        <v>305</v>
      </c>
      <c r="Q61" s="41" t="s">
        <v>130</v>
      </c>
      <c r="R61" s="41"/>
      <c r="S61" s="56" t="s">
        <v>353</v>
      </c>
      <c r="T61" s="61">
        <f>4100/1.18</f>
        <v>3474.5762711864409</v>
      </c>
      <c r="U61" s="22"/>
      <c r="V61" s="37">
        <v>44</v>
      </c>
    </row>
    <row r="62" spans="1:22" ht="75" x14ac:dyDescent="0.25">
      <c r="A62" s="35">
        <v>61</v>
      </c>
      <c r="B62" s="54">
        <v>45975</v>
      </c>
      <c r="C62" s="37" t="s">
        <v>20</v>
      </c>
      <c r="D62" s="40" t="s">
        <v>291</v>
      </c>
      <c r="E62" s="40" t="s">
        <v>292</v>
      </c>
      <c r="F62" s="40"/>
      <c r="G62" s="58" t="s">
        <v>293</v>
      </c>
      <c r="H62" s="37" t="s">
        <v>294</v>
      </c>
      <c r="I62" s="22"/>
      <c r="J62" s="27"/>
      <c r="K62" s="37" t="s">
        <v>23</v>
      </c>
      <c r="L62" s="37" t="s">
        <v>24</v>
      </c>
      <c r="M62" s="37" t="s">
        <v>25</v>
      </c>
      <c r="N62" s="22"/>
      <c r="O62" s="41" t="s">
        <v>122</v>
      </c>
      <c r="P62" s="37" t="s">
        <v>298</v>
      </c>
      <c r="Q62" s="41" t="s">
        <v>121</v>
      </c>
      <c r="R62" s="41"/>
      <c r="S62" s="56"/>
      <c r="T62" s="43"/>
      <c r="U62" s="22"/>
      <c r="V62" s="37">
        <f>WEEKNUM(Tabla1[[#This Row],[Fecha]])</f>
        <v>46</v>
      </c>
    </row>
    <row r="63" spans="1:22" ht="60" x14ac:dyDescent="0.25">
      <c r="A63" s="35">
        <v>62</v>
      </c>
      <c r="B63" s="54">
        <v>45975</v>
      </c>
      <c r="C63" s="37" t="s">
        <v>20</v>
      </c>
      <c r="D63" s="40" t="s">
        <v>296</v>
      </c>
      <c r="E63" s="40" t="s">
        <v>292</v>
      </c>
      <c r="F63" s="40"/>
      <c r="G63" s="58" t="s">
        <v>297</v>
      </c>
      <c r="H63" s="37" t="s">
        <v>295</v>
      </c>
      <c r="I63" s="22"/>
      <c r="J63" s="27"/>
      <c r="K63" s="37" t="s">
        <v>23</v>
      </c>
      <c r="L63" s="37" t="s">
        <v>24</v>
      </c>
      <c r="M63" s="37" t="s">
        <v>25</v>
      </c>
      <c r="N63" s="22"/>
      <c r="O63" s="41" t="s">
        <v>122</v>
      </c>
      <c r="P63" s="37" t="s">
        <v>299</v>
      </c>
      <c r="Q63" s="41" t="s">
        <v>121</v>
      </c>
      <c r="R63" s="41"/>
      <c r="S63" s="56"/>
      <c r="T63" s="43"/>
      <c r="U63" s="22"/>
      <c r="V63" s="37">
        <f>WEEKNUM(Tabla1[[#This Row],[Fecha]])</f>
        <v>46</v>
      </c>
    </row>
    <row r="64" spans="1:22" ht="90" x14ac:dyDescent="0.25">
      <c r="A64" s="35">
        <v>63</v>
      </c>
      <c r="B64" s="54">
        <v>45975</v>
      </c>
      <c r="C64" s="37" t="s">
        <v>20</v>
      </c>
      <c r="D64" s="40" t="s">
        <v>300</v>
      </c>
      <c r="E64" s="40"/>
      <c r="F64" s="40"/>
      <c r="G64" s="27"/>
      <c r="H64" s="37" t="s">
        <v>301</v>
      </c>
      <c r="I64" s="22" t="s">
        <v>302</v>
      </c>
      <c r="J64" s="58" t="s">
        <v>303</v>
      </c>
      <c r="K64" s="37" t="s">
        <v>23</v>
      </c>
      <c r="L64" s="37" t="s">
        <v>24</v>
      </c>
      <c r="M64" s="37" t="s">
        <v>25</v>
      </c>
      <c r="N64" s="22"/>
      <c r="O64" s="41" t="s">
        <v>122</v>
      </c>
      <c r="P64" s="37" t="s">
        <v>304</v>
      </c>
      <c r="Q64" s="41" t="s">
        <v>121</v>
      </c>
      <c r="R64" s="41"/>
      <c r="S64" s="56"/>
      <c r="T64" s="43"/>
      <c r="U64" s="22"/>
      <c r="V64" s="37">
        <f>WEEKNUM(Tabla1[[#This Row],[Fecha]])</f>
        <v>46</v>
      </c>
    </row>
    <row r="65" spans="1:22" ht="30" x14ac:dyDescent="0.25">
      <c r="A65" s="35">
        <v>64</v>
      </c>
      <c r="B65" s="54">
        <v>45956</v>
      </c>
      <c r="C65" s="37" t="s">
        <v>221</v>
      </c>
      <c r="D65" s="40"/>
      <c r="E65" s="40" t="s">
        <v>229</v>
      </c>
      <c r="F65" s="40"/>
      <c r="G65" s="27">
        <v>991574766</v>
      </c>
      <c r="H65" s="37" t="s">
        <v>320</v>
      </c>
      <c r="I65" s="22">
        <v>20603582552</v>
      </c>
      <c r="J65" s="58"/>
      <c r="K65" s="37" t="s">
        <v>23</v>
      </c>
      <c r="L65" s="37" t="s">
        <v>322</v>
      </c>
      <c r="M65" s="37" t="s">
        <v>136</v>
      </c>
      <c r="N65" s="22"/>
      <c r="O65" s="41" t="s">
        <v>122</v>
      </c>
      <c r="P65" s="37" t="s">
        <v>323</v>
      </c>
      <c r="Q65" s="41" t="s">
        <v>124</v>
      </c>
      <c r="R65" s="41"/>
      <c r="S65" s="56"/>
      <c r="T65" s="43"/>
      <c r="U65" s="22"/>
      <c r="V65" s="37">
        <v>44</v>
      </c>
    </row>
    <row r="66" spans="1:22" ht="75" x14ac:dyDescent="0.25">
      <c r="A66" s="35">
        <v>65</v>
      </c>
      <c r="B66" s="54">
        <v>45975</v>
      </c>
      <c r="C66" s="37" t="s">
        <v>20</v>
      </c>
      <c r="D66" s="40" t="s">
        <v>324</v>
      </c>
      <c r="E66" s="40" t="s">
        <v>339</v>
      </c>
      <c r="F66" s="27">
        <v>991574766</v>
      </c>
      <c r="G66" s="27">
        <v>991574766</v>
      </c>
      <c r="H66" s="37" t="s">
        <v>320</v>
      </c>
      <c r="I66" s="22">
        <v>20603582552</v>
      </c>
      <c r="J66" s="58"/>
      <c r="K66" s="37" t="s">
        <v>23</v>
      </c>
      <c r="L66" s="37" t="s">
        <v>322</v>
      </c>
      <c r="M66" s="37" t="s">
        <v>136</v>
      </c>
      <c r="N66" s="22"/>
      <c r="O66" s="41" t="s">
        <v>122</v>
      </c>
      <c r="P66" s="37" t="s">
        <v>325</v>
      </c>
      <c r="Q66" s="41" t="s">
        <v>124</v>
      </c>
      <c r="R66" s="41"/>
      <c r="S66" s="56" t="s">
        <v>326</v>
      </c>
      <c r="T66" s="43"/>
      <c r="U66" s="22"/>
      <c r="V66" s="37">
        <v>46</v>
      </c>
    </row>
    <row r="67" spans="1:22" ht="78.75" x14ac:dyDescent="0.25">
      <c r="A67" s="35">
        <v>66</v>
      </c>
      <c r="B67" s="54">
        <v>45950</v>
      </c>
      <c r="C67" s="37" t="s">
        <v>20</v>
      </c>
      <c r="D67" s="40"/>
      <c r="E67" s="40" t="s">
        <v>229</v>
      </c>
      <c r="F67" s="40">
        <v>904811109</v>
      </c>
      <c r="G67" s="27" t="s">
        <v>327</v>
      </c>
      <c r="H67" s="37" t="s">
        <v>328</v>
      </c>
      <c r="I67" s="22" t="s">
        <v>329</v>
      </c>
      <c r="J67" s="58"/>
      <c r="K67" s="37" t="s">
        <v>23</v>
      </c>
      <c r="L67" s="37" t="s">
        <v>256</v>
      </c>
      <c r="M67" s="37" t="s">
        <v>136</v>
      </c>
      <c r="N67" s="22"/>
      <c r="O67" s="41" t="s">
        <v>122</v>
      </c>
      <c r="P67" s="37" t="s">
        <v>330</v>
      </c>
      <c r="Q67" s="41" t="s">
        <v>29</v>
      </c>
      <c r="R67" s="41"/>
      <c r="S67" s="56"/>
      <c r="T67" s="43"/>
      <c r="U67" s="22"/>
      <c r="V67" s="37" t="e">
        <f>WEEKNUM([1]!CRM[[#This Row],[Fecha]])</f>
        <v>#REF!</v>
      </c>
    </row>
    <row r="68" spans="1:22" ht="78.75" x14ac:dyDescent="0.25">
      <c r="A68" s="35">
        <v>67</v>
      </c>
      <c r="B68" s="54">
        <v>45975</v>
      </c>
      <c r="C68" s="37" t="s">
        <v>20</v>
      </c>
      <c r="D68" s="40"/>
      <c r="E68" s="40" t="s">
        <v>220</v>
      </c>
      <c r="F68" s="40">
        <v>904811109</v>
      </c>
      <c r="G68" s="27" t="s">
        <v>327</v>
      </c>
      <c r="H68" s="37" t="s">
        <v>328</v>
      </c>
      <c r="I68" s="22" t="s">
        <v>329</v>
      </c>
      <c r="J68" s="58"/>
      <c r="K68" s="37" t="s">
        <v>23</v>
      </c>
      <c r="L68" s="37" t="s">
        <v>256</v>
      </c>
      <c r="M68" s="37" t="s">
        <v>136</v>
      </c>
      <c r="N68" s="22"/>
      <c r="O68" s="41" t="s">
        <v>122</v>
      </c>
      <c r="P68" s="37" t="s">
        <v>331</v>
      </c>
      <c r="Q68" s="41" t="s">
        <v>124</v>
      </c>
      <c r="R68" s="41"/>
      <c r="S68" s="56" t="s">
        <v>332</v>
      </c>
      <c r="T68" s="43"/>
      <c r="U68" s="22"/>
      <c r="V68" s="37" t="e">
        <f>WEEKNUM([1]!CRM[[#This Row],[Fecha]])</f>
        <v>#REF!</v>
      </c>
    </row>
    <row r="69" spans="1:22" ht="45" x14ac:dyDescent="0.25">
      <c r="A69" s="35">
        <v>68</v>
      </c>
      <c r="B69" s="54">
        <v>45978</v>
      </c>
      <c r="C69" s="37" t="s">
        <v>20</v>
      </c>
      <c r="D69" s="40" t="s">
        <v>219</v>
      </c>
      <c r="E69" s="40" t="s">
        <v>220</v>
      </c>
      <c r="F69" s="40">
        <v>970175949</v>
      </c>
      <c r="G69" s="27" t="s">
        <v>217</v>
      </c>
      <c r="H69" s="37"/>
      <c r="I69" s="22">
        <v>10774619271</v>
      </c>
      <c r="J69" s="27"/>
      <c r="K69" s="37" t="s">
        <v>218</v>
      </c>
      <c r="L69" s="37" t="s">
        <v>218</v>
      </c>
      <c r="M69" s="37" t="s">
        <v>25</v>
      </c>
      <c r="N69" s="22"/>
      <c r="O69" s="41" t="s">
        <v>8</v>
      </c>
      <c r="P69" s="37" t="s">
        <v>333</v>
      </c>
      <c r="Q69" s="41" t="s">
        <v>124</v>
      </c>
      <c r="R69" s="41"/>
      <c r="S69" s="56" t="s">
        <v>247</v>
      </c>
      <c r="T69" s="43"/>
      <c r="U69" s="21"/>
      <c r="V69" s="37">
        <f>WEEKNUM(Tabla1[[#This Row],[Fecha]])</f>
        <v>47</v>
      </c>
    </row>
    <row r="70" spans="1:22" ht="135" x14ac:dyDescent="0.25">
      <c r="A70" s="35">
        <v>69</v>
      </c>
      <c r="B70" s="54">
        <v>45979</v>
      </c>
      <c r="C70" s="37" t="s">
        <v>20</v>
      </c>
      <c r="D70" s="40" t="s">
        <v>156</v>
      </c>
      <c r="E70" s="40" t="s">
        <v>157</v>
      </c>
      <c r="F70" s="40"/>
      <c r="G70" s="58" t="s">
        <v>334</v>
      </c>
      <c r="H70" s="37" t="s">
        <v>159</v>
      </c>
      <c r="I70" s="22"/>
      <c r="J70" s="27"/>
      <c r="K70" s="37" t="s">
        <v>23</v>
      </c>
      <c r="L70" s="37" t="s">
        <v>160</v>
      </c>
      <c r="M70" s="37" t="s">
        <v>25</v>
      </c>
      <c r="N70" s="22"/>
      <c r="O70" s="41" t="s">
        <v>122</v>
      </c>
      <c r="P70" s="37" t="s">
        <v>335</v>
      </c>
      <c r="Q70" s="41" t="s">
        <v>121</v>
      </c>
      <c r="R70" s="41"/>
      <c r="S70" s="56"/>
      <c r="T70" s="43"/>
      <c r="U70" s="21"/>
      <c r="V70" s="37">
        <f>WEEKNUM(Tabla1[[#This Row],[Fecha]])</f>
        <v>47</v>
      </c>
    </row>
    <row r="71" spans="1:22" ht="78.75" x14ac:dyDescent="0.25">
      <c r="A71" s="35">
        <v>70</v>
      </c>
      <c r="B71" s="54">
        <v>45979</v>
      </c>
      <c r="C71" s="37" t="s">
        <v>20</v>
      </c>
      <c r="D71" s="40"/>
      <c r="E71" s="40" t="s">
        <v>220</v>
      </c>
      <c r="F71" s="40">
        <v>904811109</v>
      </c>
      <c r="G71" s="27" t="s">
        <v>327</v>
      </c>
      <c r="H71" s="37" t="s">
        <v>328</v>
      </c>
      <c r="I71" s="22" t="s">
        <v>329</v>
      </c>
      <c r="J71" s="27"/>
      <c r="K71" s="37" t="s">
        <v>23</v>
      </c>
      <c r="L71" s="37" t="s">
        <v>256</v>
      </c>
      <c r="M71" s="37" t="s">
        <v>136</v>
      </c>
      <c r="N71" s="22"/>
      <c r="O71" s="41" t="s">
        <v>122</v>
      </c>
      <c r="P71" s="37" t="s">
        <v>336</v>
      </c>
      <c r="Q71" s="41" t="s">
        <v>29</v>
      </c>
      <c r="R71" s="41"/>
      <c r="S71" s="56" t="s">
        <v>332</v>
      </c>
      <c r="T71" s="43"/>
      <c r="U71" s="22"/>
      <c r="V71" s="37" t="e">
        <f>WEEKNUM([1]!CRM[[#This Row],[Fecha]])</f>
        <v>#REF!</v>
      </c>
    </row>
    <row r="72" spans="1:22" ht="90" x14ac:dyDescent="0.25">
      <c r="A72" s="35">
        <v>71</v>
      </c>
      <c r="B72" s="54">
        <v>45979</v>
      </c>
      <c r="C72" s="37" t="s">
        <v>20</v>
      </c>
      <c r="D72" s="40" t="s">
        <v>337</v>
      </c>
      <c r="E72" s="40" t="s">
        <v>151</v>
      </c>
      <c r="F72" s="40"/>
      <c r="G72" s="58" t="s">
        <v>338</v>
      </c>
      <c r="H72" s="37" t="s">
        <v>367</v>
      </c>
      <c r="I72" s="22"/>
      <c r="J72" s="27"/>
      <c r="K72" s="37"/>
      <c r="L72" s="37"/>
      <c r="M72" s="37" t="s">
        <v>137</v>
      </c>
      <c r="N72" s="22"/>
      <c r="O72" s="41" t="s">
        <v>27</v>
      </c>
      <c r="P72" s="37" t="s">
        <v>368</v>
      </c>
      <c r="Q72" s="41" t="s">
        <v>29</v>
      </c>
      <c r="R72" s="41"/>
      <c r="S72" s="56"/>
      <c r="T72" s="43"/>
      <c r="U72" s="22"/>
      <c r="V72" s="37">
        <f>WEEKNUM(Tabla1[[#This Row],[Fecha]])</f>
        <v>47</v>
      </c>
    </row>
    <row r="73" spans="1:22" ht="105" x14ac:dyDescent="0.25">
      <c r="A73" s="35">
        <v>72</v>
      </c>
      <c r="B73" s="54">
        <v>45980</v>
      </c>
      <c r="C73" s="37" t="s">
        <v>20</v>
      </c>
      <c r="D73" s="40" t="s">
        <v>324</v>
      </c>
      <c r="E73" s="40" t="s">
        <v>339</v>
      </c>
      <c r="F73" s="27">
        <v>991574766</v>
      </c>
      <c r="G73" s="27"/>
      <c r="H73" s="37" t="s">
        <v>320</v>
      </c>
      <c r="I73" s="22">
        <v>20603582552</v>
      </c>
      <c r="J73" s="27"/>
      <c r="K73" s="37" t="s">
        <v>23</v>
      </c>
      <c r="L73" s="37" t="s">
        <v>322</v>
      </c>
      <c r="M73" s="37" t="s">
        <v>136</v>
      </c>
      <c r="N73" s="22"/>
      <c r="O73" s="41" t="s">
        <v>122</v>
      </c>
      <c r="P73" s="37" t="s">
        <v>340</v>
      </c>
      <c r="Q73" s="41" t="s">
        <v>29</v>
      </c>
      <c r="R73" s="41"/>
      <c r="S73" s="56" t="s">
        <v>326</v>
      </c>
      <c r="T73" s="43"/>
      <c r="U73" s="21">
        <v>46006</v>
      </c>
      <c r="V73" s="37">
        <v>46</v>
      </c>
    </row>
    <row r="74" spans="1:22" ht="63" x14ac:dyDescent="0.25">
      <c r="A74" s="35">
        <v>73</v>
      </c>
      <c r="B74" s="54">
        <v>45980</v>
      </c>
      <c r="C74" s="37" t="s">
        <v>20</v>
      </c>
      <c r="D74" s="40" t="s">
        <v>248</v>
      </c>
      <c r="E74" s="40" t="s">
        <v>220</v>
      </c>
      <c r="F74" s="40">
        <v>975598544</v>
      </c>
      <c r="G74" s="27" t="s">
        <v>249</v>
      </c>
      <c r="H74" s="37" t="s">
        <v>250</v>
      </c>
      <c r="I74" s="22"/>
      <c r="J74" s="27"/>
      <c r="K74" s="37" t="s">
        <v>342</v>
      </c>
      <c r="L74" s="37" t="s">
        <v>343</v>
      </c>
      <c r="M74" s="37" t="s">
        <v>136</v>
      </c>
      <c r="N74" s="22"/>
      <c r="O74" s="41" t="s">
        <v>122</v>
      </c>
      <c r="P74" s="37" t="s">
        <v>344</v>
      </c>
      <c r="Q74" s="41" t="s">
        <v>131</v>
      </c>
      <c r="R74" s="41"/>
      <c r="S74" s="56" t="s">
        <v>252</v>
      </c>
      <c r="T74" s="43"/>
      <c r="U74" s="22"/>
      <c r="V74" s="37">
        <f>WEEKNUM(Tabla1[[#This Row],[Fecha]])</f>
        <v>47</v>
      </c>
    </row>
    <row r="75" spans="1:22" ht="45" x14ac:dyDescent="0.25">
      <c r="A75" s="35">
        <v>74</v>
      </c>
      <c r="B75" s="54">
        <v>45980</v>
      </c>
      <c r="C75" s="37" t="s">
        <v>20</v>
      </c>
      <c r="D75" s="40" t="s">
        <v>219</v>
      </c>
      <c r="E75" s="40" t="s">
        <v>220</v>
      </c>
      <c r="F75" s="40">
        <v>970175949</v>
      </c>
      <c r="G75" s="27" t="s">
        <v>217</v>
      </c>
      <c r="H75" s="37"/>
      <c r="I75" s="22">
        <v>10774619271</v>
      </c>
      <c r="J75" s="27"/>
      <c r="K75" s="37" t="s">
        <v>218</v>
      </c>
      <c r="L75" s="37" t="s">
        <v>218</v>
      </c>
      <c r="M75" s="37" t="s">
        <v>25</v>
      </c>
      <c r="N75" s="22"/>
      <c r="O75" s="41" t="s">
        <v>8</v>
      </c>
      <c r="P75" s="37" t="s">
        <v>345</v>
      </c>
      <c r="Q75" s="41" t="s">
        <v>130</v>
      </c>
      <c r="R75" s="41"/>
      <c r="S75" s="56" t="s">
        <v>247</v>
      </c>
      <c r="T75" s="61">
        <v>3950</v>
      </c>
      <c r="U75" s="21"/>
      <c r="V75" s="37">
        <f>WEEKNUM(Tabla1[[#This Row],[Fecha]])</f>
        <v>47</v>
      </c>
    </row>
    <row r="76" spans="1:22" ht="90" x14ac:dyDescent="0.25">
      <c r="A76" s="35">
        <v>75</v>
      </c>
      <c r="B76" s="54">
        <v>45945</v>
      </c>
      <c r="C76" s="37" t="s">
        <v>346</v>
      </c>
      <c r="D76" s="40" t="s">
        <v>347</v>
      </c>
      <c r="E76" s="40" t="s">
        <v>220</v>
      </c>
      <c r="F76" s="40">
        <v>949719738</v>
      </c>
      <c r="G76" s="27" t="s">
        <v>348</v>
      </c>
      <c r="H76" s="37" t="s">
        <v>349</v>
      </c>
      <c r="I76" s="31">
        <v>20601646367</v>
      </c>
      <c r="J76" s="27"/>
      <c r="K76" s="37" t="s">
        <v>63</v>
      </c>
      <c r="L76" s="37"/>
      <c r="M76" s="37" t="s">
        <v>25</v>
      </c>
      <c r="N76" s="22" t="s">
        <v>26</v>
      </c>
      <c r="O76" s="41" t="s">
        <v>8</v>
      </c>
      <c r="P76" s="62" t="s">
        <v>351</v>
      </c>
      <c r="Q76" s="41" t="s">
        <v>130</v>
      </c>
      <c r="R76" s="41"/>
      <c r="S76" s="56" t="s">
        <v>350</v>
      </c>
      <c r="T76" s="61">
        <v>14406.78</v>
      </c>
      <c r="U76" s="22"/>
      <c r="V76" s="37">
        <v>44</v>
      </c>
    </row>
    <row r="77" spans="1:22" ht="90" x14ac:dyDescent="0.25">
      <c r="A77" s="63">
        <v>76</v>
      </c>
      <c r="B77" s="64">
        <v>45981</v>
      </c>
      <c r="C77" s="37" t="s">
        <v>346</v>
      </c>
      <c r="D77" s="66" t="s">
        <v>364</v>
      </c>
      <c r="E77" s="66" t="s">
        <v>365</v>
      </c>
      <c r="F77" s="66"/>
      <c r="G77" s="72" t="s">
        <v>366</v>
      </c>
      <c r="H77" s="65" t="s">
        <v>363</v>
      </c>
      <c r="I77" s="68"/>
      <c r="J77" s="67"/>
      <c r="K77" s="65" t="s">
        <v>23</v>
      </c>
      <c r="L77" s="65" t="s">
        <v>24</v>
      </c>
      <c r="M77" s="37" t="s">
        <v>25</v>
      </c>
      <c r="N77" s="68"/>
      <c r="O77" s="69" t="s">
        <v>122</v>
      </c>
      <c r="P77" s="65" t="s">
        <v>389</v>
      </c>
      <c r="Q77" s="69" t="s">
        <v>121</v>
      </c>
      <c r="R77" s="69"/>
      <c r="S77" s="70"/>
      <c r="T77" s="71"/>
      <c r="U77" s="68"/>
      <c r="V77" s="65">
        <f>WEEKNUM(Tabla1[[#This Row],[Fecha]])</f>
        <v>47</v>
      </c>
    </row>
    <row r="78" spans="1:22" ht="45" x14ac:dyDescent="0.25">
      <c r="A78" s="63">
        <v>77</v>
      </c>
      <c r="B78" s="64">
        <v>45981</v>
      </c>
      <c r="C78" s="37" t="s">
        <v>346</v>
      </c>
      <c r="D78" s="66" t="s">
        <v>74</v>
      </c>
      <c r="E78" s="66" t="s">
        <v>74</v>
      </c>
      <c r="F78" s="66"/>
      <c r="G78" s="67"/>
      <c r="H78" s="65" t="s">
        <v>369</v>
      </c>
      <c r="I78" s="68"/>
      <c r="J78" s="67"/>
      <c r="K78" s="65" t="s">
        <v>23</v>
      </c>
      <c r="L78" s="65" t="s">
        <v>24</v>
      </c>
      <c r="M78" s="37" t="s">
        <v>25</v>
      </c>
      <c r="N78" s="68"/>
      <c r="O78" s="69" t="s">
        <v>122</v>
      </c>
      <c r="P78" s="65" t="s">
        <v>370</v>
      </c>
      <c r="Q78" s="69" t="s">
        <v>121</v>
      </c>
      <c r="R78" s="69"/>
      <c r="S78" s="70"/>
      <c r="T78" s="71"/>
      <c r="U78" s="68"/>
      <c r="V78" s="65">
        <f>WEEKNUM(Tabla1[[#This Row],[Fecha]])</f>
        <v>47</v>
      </c>
    </row>
    <row r="79" spans="1:22" ht="75" x14ac:dyDescent="0.25">
      <c r="A79" s="63">
        <v>78</v>
      </c>
      <c r="B79" s="64">
        <v>45981</v>
      </c>
      <c r="C79" s="37" t="s">
        <v>346</v>
      </c>
      <c r="D79" s="66" t="s">
        <v>300</v>
      </c>
      <c r="E79" s="66"/>
      <c r="F79" s="66"/>
      <c r="G79" s="67"/>
      <c r="H79" s="65" t="s">
        <v>371</v>
      </c>
      <c r="I79" s="68"/>
      <c r="J79" s="67"/>
      <c r="K79" s="65" t="s">
        <v>23</v>
      </c>
      <c r="L79" s="65" t="s">
        <v>24</v>
      </c>
      <c r="M79" s="37" t="s">
        <v>25</v>
      </c>
      <c r="N79" s="68"/>
      <c r="O79" s="69" t="s">
        <v>122</v>
      </c>
      <c r="P79" s="65" t="s">
        <v>372</v>
      </c>
      <c r="Q79" s="69" t="s">
        <v>121</v>
      </c>
      <c r="R79" s="69"/>
      <c r="S79" s="70"/>
      <c r="T79" s="71"/>
      <c r="U79" s="68"/>
      <c r="V79" s="65">
        <f>WEEKNUM(Tabla1[[#This Row],[Fecha]])</f>
        <v>47</v>
      </c>
    </row>
    <row r="80" spans="1:22" ht="45.75" thickBot="1" x14ac:dyDescent="0.3">
      <c r="A80" s="63">
        <v>79</v>
      </c>
      <c r="B80" s="64">
        <v>45981</v>
      </c>
      <c r="C80" s="37" t="s">
        <v>346</v>
      </c>
      <c r="D80" s="66" t="s">
        <v>300</v>
      </c>
      <c r="E80" s="66"/>
      <c r="F80" s="66"/>
      <c r="G80" s="67"/>
      <c r="H80" s="65" t="s">
        <v>373</v>
      </c>
      <c r="I80" s="68"/>
      <c r="J80" s="67"/>
      <c r="K80" s="65" t="s">
        <v>23</v>
      </c>
      <c r="L80" s="65" t="s">
        <v>24</v>
      </c>
      <c r="M80" s="37" t="s">
        <v>25</v>
      </c>
      <c r="N80" s="68"/>
      <c r="O80" s="69" t="s">
        <v>122</v>
      </c>
      <c r="P80" s="65" t="s">
        <v>374</v>
      </c>
      <c r="Q80" s="69" t="s">
        <v>121</v>
      </c>
      <c r="R80" s="69"/>
      <c r="S80" s="70"/>
      <c r="T80" s="71"/>
      <c r="U80" s="68"/>
      <c r="V80" s="65">
        <f>WEEKNUM(Tabla1[[#This Row],[Fecha]])</f>
        <v>47</v>
      </c>
    </row>
    <row r="81" spans="1:22" ht="75.75" thickBot="1" x14ac:dyDescent="0.3">
      <c r="A81" s="63">
        <v>80</v>
      </c>
      <c r="B81" s="64">
        <v>45981</v>
      </c>
      <c r="C81" s="37" t="s">
        <v>346</v>
      </c>
      <c r="D81" s="66" t="s">
        <v>376</v>
      </c>
      <c r="E81" s="66" t="s">
        <v>377</v>
      </c>
      <c r="F81" s="66"/>
      <c r="G81" s="72" t="s">
        <v>375</v>
      </c>
      <c r="H81" s="73" t="s">
        <v>378</v>
      </c>
      <c r="I81" s="68"/>
      <c r="J81" s="67"/>
      <c r="K81" s="65" t="s">
        <v>23</v>
      </c>
      <c r="L81" s="65" t="s">
        <v>379</v>
      </c>
      <c r="M81" s="37" t="s">
        <v>137</v>
      </c>
      <c r="N81" s="68"/>
      <c r="O81" s="69" t="s">
        <v>126</v>
      </c>
      <c r="P81" s="65" t="s">
        <v>399</v>
      </c>
      <c r="Q81" s="69" t="s">
        <v>121</v>
      </c>
      <c r="R81" s="69"/>
      <c r="S81" s="84" t="s">
        <v>424</v>
      </c>
      <c r="T81" s="71"/>
      <c r="U81" s="68"/>
      <c r="V81" s="65">
        <f>WEEKNUM(Tabla1[[#This Row],[Fecha]])</f>
        <v>47</v>
      </c>
    </row>
    <row r="82" spans="1:22" ht="90" x14ac:dyDescent="0.25">
      <c r="A82" s="63">
        <v>81</v>
      </c>
      <c r="B82" s="64">
        <v>45981</v>
      </c>
      <c r="C82" s="37" t="s">
        <v>346</v>
      </c>
      <c r="D82" s="66" t="s">
        <v>391</v>
      </c>
      <c r="E82" s="66" t="s">
        <v>392</v>
      </c>
      <c r="F82" s="66" t="s">
        <v>380</v>
      </c>
      <c r="G82" s="72" t="s">
        <v>381</v>
      </c>
      <c r="H82" s="65" t="s">
        <v>382</v>
      </c>
      <c r="I82" s="68"/>
      <c r="J82" s="67"/>
      <c r="K82" s="65" t="s">
        <v>23</v>
      </c>
      <c r="L82" s="65" t="s">
        <v>24</v>
      </c>
      <c r="M82" s="37" t="s">
        <v>25</v>
      </c>
      <c r="N82" s="68"/>
      <c r="O82" s="69" t="s">
        <v>122</v>
      </c>
      <c r="P82" s="65" t="s">
        <v>383</v>
      </c>
      <c r="Q82" s="69" t="s">
        <v>121</v>
      </c>
      <c r="R82" s="69"/>
      <c r="S82" s="84" t="s">
        <v>425</v>
      </c>
      <c r="T82" s="71"/>
      <c r="U82" s="68"/>
      <c r="V82" s="65">
        <f>WEEKNUM(Tabla1[[#This Row],[Fecha]])</f>
        <v>47</v>
      </c>
    </row>
    <row r="83" spans="1:22" ht="120" x14ac:dyDescent="0.25">
      <c r="A83" s="63">
        <v>82</v>
      </c>
      <c r="B83" s="64">
        <v>45981</v>
      </c>
      <c r="C83" s="37" t="s">
        <v>346</v>
      </c>
      <c r="D83" s="66" t="s">
        <v>385</v>
      </c>
      <c r="E83" s="66" t="s">
        <v>339</v>
      </c>
      <c r="F83" s="66">
        <v>982516701</v>
      </c>
      <c r="G83" s="67"/>
      <c r="H83" s="66" t="s">
        <v>384</v>
      </c>
      <c r="I83" s="68"/>
      <c r="J83" s="67"/>
      <c r="K83" s="65" t="s">
        <v>23</v>
      </c>
      <c r="L83" s="65" t="s">
        <v>24</v>
      </c>
      <c r="M83" s="37" t="s">
        <v>136</v>
      </c>
      <c r="N83" s="68"/>
      <c r="O83" s="69" t="s">
        <v>122</v>
      </c>
      <c r="P83" s="65" t="s">
        <v>386</v>
      </c>
      <c r="Q83" s="69" t="s">
        <v>121</v>
      </c>
      <c r="R83" s="69"/>
      <c r="S83" s="84">
        <v>45982</v>
      </c>
      <c r="T83" s="71"/>
      <c r="U83" s="68"/>
      <c r="V83" s="65">
        <f>WEEKNUM(Tabla1[[#This Row],[Fecha]])</f>
        <v>47</v>
      </c>
    </row>
    <row r="84" spans="1:22" ht="165" x14ac:dyDescent="0.25">
      <c r="A84" s="63">
        <v>83</v>
      </c>
      <c r="B84" s="64">
        <v>45981</v>
      </c>
      <c r="C84" s="37" t="s">
        <v>346</v>
      </c>
      <c r="D84" s="66" t="s">
        <v>387</v>
      </c>
      <c r="E84" s="66" t="s">
        <v>59</v>
      </c>
      <c r="F84" s="66">
        <v>924968850</v>
      </c>
      <c r="G84" s="67"/>
      <c r="H84" s="65" t="s">
        <v>189</v>
      </c>
      <c r="I84" s="68"/>
      <c r="J84" s="67"/>
      <c r="K84" s="65" t="s">
        <v>23</v>
      </c>
      <c r="L84" s="65" t="s">
        <v>23</v>
      </c>
      <c r="M84" s="37" t="s">
        <v>25</v>
      </c>
      <c r="N84" s="68"/>
      <c r="O84" s="69" t="s">
        <v>126</v>
      </c>
      <c r="P84" s="65" t="s">
        <v>388</v>
      </c>
      <c r="Q84" s="69" t="s">
        <v>29</v>
      </c>
      <c r="R84" s="69"/>
      <c r="S84" s="84"/>
      <c r="T84" s="71"/>
      <c r="U84" s="68"/>
      <c r="V84" s="65">
        <f>WEEKNUM(Tabla1[[#This Row],[Fecha]])</f>
        <v>47</v>
      </c>
    </row>
    <row r="85" spans="1:22" ht="90" x14ac:dyDescent="0.25">
      <c r="A85" s="63">
        <v>84</v>
      </c>
      <c r="B85" s="64">
        <v>45981</v>
      </c>
      <c r="C85" s="65" t="s">
        <v>20</v>
      </c>
      <c r="D85" s="78" t="s">
        <v>21</v>
      </c>
      <c r="E85" s="66" t="s">
        <v>22</v>
      </c>
      <c r="F85" s="74">
        <v>920144113</v>
      </c>
      <c r="G85" s="67"/>
      <c r="H85" s="65"/>
      <c r="I85" s="79"/>
      <c r="J85" s="67"/>
      <c r="K85" s="65" t="s">
        <v>23</v>
      </c>
      <c r="L85" s="65" t="s">
        <v>24</v>
      </c>
      <c r="M85" s="75" t="s">
        <v>25</v>
      </c>
      <c r="N85" s="76"/>
      <c r="O85" s="77" t="s">
        <v>27</v>
      </c>
      <c r="P85" s="65" t="s">
        <v>390</v>
      </c>
      <c r="Q85" s="69" t="s">
        <v>29</v>
      </c>
      <c r="R85" s="69"/>
      <c r="S85" s="84">
        <v>45982</v>
      </c>
      <c r="T85" s="80"/>
      <c r="U85" s="68"/>
      <c r="V85" s="65">
        <f>WEEKNUM(Tabla1[[#This Row],[Fecha]])</f>
        <v>47</v>
      </c>
    </row>
    <row r="86" spans="1:22" ht="150" x14ac:dyDescent="0.25">
      <c r="A86" s="63">
        <v>85</v>
      </c>
      <c r="B86" s="64">
        <v>45982</v>
      </c>
      <c r="C86" s="65" t="s">
        <v>20</v>
      </c>
      <c r="D86" s="66" t="s">
        <v>144</v>
      </c>
      <c r="E86" s="66" t="s">
        <v>145</v>
      </c>
      <c r="F86" s="66"/>
      <c r="G86" s="67"/>
      <c r="H86" s="65" t="s">
        <v>185</v>
      </c>
      <c r="I86" s="68">
        <v>20145915164</v>
      </c>
      <c r="J86" s="67"/>
      <c r="K86" s="65" t="s">
        <v>23</v>
      </c>
      <c r="L86" s="65" t="s">
        <v>186</v>
      </c>
      <c r="M86" s="65" t="s">
        <v>143</v>
      </c>
      <c r="N86" s="68"/>
      <c r="O86" s="69" t="s">
        <v>27</v>
      </c>
      <c r="P86" s="65" t="s">
        <v>393</v>
      </c>
      <c r="Q86" s="69" t="s">
        <v>29</v>
      </c>
      <c r="R86" s="69"/>
      <c r="S86" s="70"/>
      <c r="T86" s="71"/>
      <c r="U86" s="81">
        <v>45991</v>
      </c>
      <c r="V86" s="65">
        <f>WEEKNUM(Tabla1[[#This Row],[Fecha]])</f>
        <v>47</v>
      </c>
    </row>
    <row r="87" spans="1:22" ht="45" x14ac:dyDescent="0.25">
      <c r="A87" s="63">
        <v>86</v>
      </c>
      <c r="B87" s="64">
        <v>45983</v>
      </c>
      <c r="C87" s="65" t="s">
        <v>20</v>
      </c>
      <c r="D87" s="66" t="s">
        <v>394</v>
      </c>
      <c r="E87" s="66" t="s">
        <v>395</v>
      </c>
      <c r="F87" s="66"/>
      <c r="G87" s="72" t="s">
        <v>396</v>
      </c>
      <c r="H87" s="65" t="s">
        <v>397</v>
      </c>
      <c r="I87" s="68"/>
      <c r="J87" s="67"/>
      <c r="K87" s="65" t="s">
        <v>23</v>
      </c>
      <c r="L87" s="65" t="s">
        <v>24</v>
      </c>
      <c r="M87" s="65" t="s">
        <v>132</v>
      </c>
      <c r="N87" s="68"/>
      <c r="O87" s="69" t="s">
        <v>27</v>
      </c>
      <c r="P87" s="65" t="s">
        <v>398</v>
      </c>
      <c r="Q87" s="69" t="s">
        <v>121</v>
      </c>
      <c r="R87" s="69"/>
      <c r="S87" s="70"/>
      <c r="T87" s="71"/>
      <c r="U87" s="68"/>
      <c r="V87" s="65">
        <f>WEEKNUM(Tabla1[[#This Row],[Fecha]])</f>
        <v>47</v>
      </c>
    </row>
    <row r="88" spans="1:22" ht="135" x14ac:dyDescent="0.25">
      <c r="A88" s="63">
        <v>87</v>
      </c>
      <c r="B88" s="64">
        <v>45983</v>
      </c>
      <c r="C88" s="65" t="s">
        <v>20</v>
      </c>
      <c r="D88" s="66" t="s">
        <v>400</v>
      </c>
      <c r="E88" s="66" t="s">
        <v>401</v>
      </c>
      <c r="F88" s="66">
        <v>991779788</v>
      </c>
      <c r="G88" s="72" t="s">
        <v>402</v>
      </c>
      <c r="H88" s="65"/>
      <c r="I88" s="68"/>
      <c r="J88" s="67"/>
      <c r="K88" s="65" t="s">
        <v>23</v>
      </c>
      <c r="L88" s="65" t="s">
        <v>24</v>
      </c>
      <c r="M88" s="37" t="s">
        <v>136</v>
      </c>
      <c r="N88" s="68"/>
      <c r="O88" s="69" t="s">
        <v>122</v>
      </c>
      <c r="P88" s="65" t="s">
        <v>403</v>
      </c>
      <c r="Q88" s="69" t="s">
        <v>29</v>
      </c>
      <c r="R88" s="69"/>
      <c r="S88" s="70" t="s">
        <v>409</v>
      </c>
      <c r="T88" s="71"/>
      <c r="U88" s="81">
        <v>45983</v>
      </c>
      <c r="V88" s="65">
        <f>WEEKNUM(Tabla1[[#This Row],[Fecha]])</f>
        <v>47</v>
      </c>
    </row>
    <row r="89" spans="1:22" ht="90" x14ac:dyDescent="0.25">
      <c r="A89" s="63">
        <v>88</v>
      </c>
      <c r="B89" s="64">
        <v>45983</v>
      </c>
      <c r="C89" s="65" t="s">
        <v>20</v>
      </c>
      <c r="D89" s="66"/>
      <c r="E89" s="66"/>
      <c r="F89" s="66">
        <v>2790049</v>
      </c>
      <c r="G89" s="67"/>
      <c r="H89" s="65" t="s">
        <v>404</v>
      </c>
      <c r="I89" s="68"/>
      <c r="J89" s="67"/>
      <c r="K89" s="65" t="s">
        <v>23</v>
      </c>
      <c r="L89" s="65" t="s">
        <v>24</v>
      </c>
      <c r="M89" s="37" t="s">
        <v>136</v>
      </c>
      <c r="N89" s="68"/>
      <c r="O89" s="69" t="s">
        <v>122</v>
      </c>
      <c r="P89" s="65" t="s">
        <v>405</v>
      </c>
      <c r="Q89" s="69" t="s">
        <v>121</v>
      </c>
      <c r="R89" s="69"/>
      <c r="S89" s="70"/>
      <c r="T89" s="71"/>
      <c r="U89" s="81">
        <v>45988</v>
      </c>
      <c r="V89" s="65">
        <f>WEEKNUM(Tabla1[[#This Row],[Fecha]])</f>
        <v>47</v>
      </c>
    </row>
    <row r="90" spans="1:22" ht="45" x14ac:dyDescent="0.25">
      <c r="A90" s="63">
        <v>89</v>
      </c>
      <c r="B90" s="64">
        <v>45983</v>
      </c>
      <c r="C90" s="65" t="s">
        <v>20</v>
      </c>
      <c r="D90" s="66" t="s">
        <v>300</v>
      </c>
      <c r="E90" s="66" t="s">
        <v>74</v>
      </c>
      <c r="F90" s="66" t="s">
        <v>407</v>
      </c>
      <c r="G90" s="72" t="s">
        <v>408</v>
      </c>
      <c r="H90" s="65" t="s">
        <v>406</v>
      </c>
      <c r="I90" s="68"/>
      <c r="J90" s="67"/>
      <c r="K90" s="65" t="s">
        <v>23</v>
      </c>
      <c r="L90" s="65" t="s">
        <v>256</v>
      </c>
      <c r="M90" s="75" t="s">
        <v>25</v>
      </c>
      <c r="N90" s="68"/>
      <c r="O90" s="69" t="s">
        <v>122</v>
      </c>
      <c r="P90" s="65" t="s">
        <v>412</v>
      </c>
      <c r="Q90" s="69" t="s">
        <v>121</v>
      </c>
      <c r="R90" s="69"/>
      <c r="S90" s="70"/>
      <c r="T90" s="71"/>
      <c r="U90" s="81">
        <v>45988</v>
      </c>
      <c r="V90" s="65">
        <f>WEEKNUM(Tabla1[[#This Row],[Fecha]])</f>
        <v>47</v>
      </c>
    </row>
    <row r="91" spans="1:22" ht="75" x14ac:dyDescent="0.25">
      <c r="A91" s="63">
        <v>90</v>
      </c>
      <c r="B91" s="64">
        <v>45983</v>
      </c>
      <c r="C91" s="65" t="s">
        <v>20</v>
      </c>
      <c r="D91" s="66" t="s">
        <v>410</v>
      </c>
      <c r="E91" s="66" t="s">
        <v>206</v>
      </c>
      <c r="F91" s="66"/>
      <c r="G91" s="72" t="s">
        <v>411</v>
      </c>
      <c r="H91" s="65" t="s">
        <v>449</v>
      </c>
      <c r="I91" s="68"/>
      <c r="J91" s="67"/>
      <c r="K91" s="65" t="s">
        <v>23</v>
      </c>
      <c r="L91" s="65" t="s">
        <v>24</v>
      </c>
      <c r="M91" s="75" t="s">
        <v>25</v>
      </c>
      <c r="N91" s="68"/>
      <c r="O91" s="69" t="s">
        <v>122</v>
      </c>
      <c r="P91" s="65" t="s">
        <v>413</v>
      </c>
      <c r="Q91" s="69" t="s">
        <v>121</v>
      </c>
      <c r="R91" s="69"/>
      <c r="S91" s="70"/>
      <c r="T91" s="71"/>
      <c r="U91" s="68"/>
      <c r="V91" s="65">
        <f>WEEKNUM(Tabla1[[#This Row],[Fecha]])</f>
        <v>47</v>
      </c>
    </row>
    <row r="92" spans="1:22" ht="120" x14ac:dyDescent="0.25">
      <c r="A92" s="63">
        <v>91</v>
      </c>
      <c r="B92" s="64">
        <v>45983</v>
      </c>
      <c r="C92" s="65" t="s">
        <v>20</v>
      </c>
      <c r="D92" s="66"/>
      <c r="E92" s="66"/>
      <c r="F92" s="66"/>
      <c r="G92" s="67"/>
      <c r="H92" s="65" t="s">
        <v>414</v>
      </c>
      <c r="I92" s="68"/>
      <c r="J92" s="67"/>
      <c r="K92" s="65" t="s">
        <v>23</v>
      </c>
      <c r="L92" s="65" t="s">
        <v>24</v>
      </c>
      <c r="M92" s="75" t="s">
        <v>25</v>
      </c>
      <c r="N92" s="68"/>
      <c r="O92" s="69" t="s">
        <v>122</v>
      </c>
      <c r="P92" s="65" t="s">
        <v>415</v>
      </c>
      <c r="Q92" s="69" t="s">
        <v>121</v>
      </c>
      <c r="R92" s="69"/>
      <c r="S92" s="70"/>
      <c r="T92" s="71"/>
      <c r="U92" s="68"/>
      <c r="V92" s="65">
        <f>WEEKNUM(Tabla1[[#This Row],[Fecha]])</f>
        <v>47</v>
      </c>
    </row>
    <row r="93" spans="1:22" ht="60" x14ac:dyDescent="0.25">
      <c r="A93" s="63">
        <v>92</v>
      </c>
      <c r="B93" s="64">
        <v>45985</v>
      </c>
      <c r="C93" s="65" t="s">
        <v>20</v>
      </c>
      <c r="D93" s="66" t="s">
        <v>410</v>
      </c>
      <c r="E93" s="66" t="s">
        <v>206</v>
      </c>
      <c r="F93" s="66">
        <v>954697240</v>
      </c>
      <c r="G93" s="67" t="s">
        <v>411</v>
      </c>
      <c r="H93" s="65" t="s">
        <v>449</v>
      </c>
      <c r="I93" s="68"/>
      <c r="J93" s="67"/>
      <c r="K93" s="65" t="s">
        <v>23</v>
      </c>
      <c r="L93" s="65" t="s">
        <v>24</v>
      </c>
      <c r="M93" s="75" t="s">
        <v>25</v>
      </c>
      <c r="N93" s="68"/>
      <c r="O93" s="69" t="s">
        <v>122</v>
      </c>
      <c r="P93" s="65" t="s">
        <v>416</v>
      </c>
      <c r="Q93" s="69" t="s">
        <v>29</v>
      </c>
      <c r="R93" s="69"/>
      <c r="S93" s="70"/>
      <c r="T93" s="71"/>
      <c r="U93" s="82">
        <v>45658</v>
      </c>
      <c r="V93" s="65">
        <f>WEEKNUM(Tabla1[[#This Row],[Fecha]])</f>
        <v>48</v>
      </c>
    </row>
    <row r="94" spans="1:22" ht="120" x14ac:dyDescent="0.25">
      <c r="A94" s="63">
        <v>97</v>
      </c>
      <c r="B94" s="64">
        <v>45986</v>
      </c>
      <c r="C94" s="65" t="s">
        <v>20</v>
      </c>
      <c r="D94" s="66" t="s">
        <v>144</v>
      </c>
      <c r="E94" s="66" t="s">
        <v>145</v>
      </c>
      <c r="F94" s="66"/>
      <c r="G94" s="67"/>
      <c r="H94" s="65" t="s">
        <v>185</v>
      </c>
      <c r="I94" s="68">
        <v>20145915164</v>
      </c>
      <c r="J94" s="67"/>
      <c r="K94" s="65" t="s">
        <v>23</v>
      </c>
      <c r="L94" s="65" t="s">
        <v>186</v>
      </c>
      <c r="M94" s="65" t="s">
        <v>143</v>
      </c>
      <c r="N94" s="68"/>
      <c r="O94" s="69" t="s">
        <v>27</v>
      </c>
      <c r="P94" s="65" t="s">
        <v>430</v>
      </c>
      <c r="Q94" s="69" t="s">
        <v>29</v>
      </c>
      <c r="R94" s="69"/>
      <c r="S94" s="70"/>
      <c r="T94" s="71"/>
      <c r="U94" s="81">
        <v>45991</v>
      </c>
      <c r="V94" s="65">
        <f>WEEKNUM(Tabla1[[#This Row],[Fecha]])</f>
        <v>48</v>
      </c>
    </row>
    <row r="95" spans="1:22" ht="75" x14ac:dyDescent="0.25">
      <c r="A95" s="63">
        <v>93</v>
      </c>
      <c r="B95" s="64">
        <v>45986</v>
      </c>
      <c r="C95" s="65" t="s">
        <v>20</v>
      </c>
      <c r="D95" s="66" t="s">
        <v>300</v>
      </c>
      <c r="E95" s="66" t="s">
        <v>74</v>
      </c>
      <c r="F95" s="66">
        <v>940414920</v>
      </c>
      <c r="G95" s="67"/>
      <c r="H95" s="65" t="s">
        <v>417</v>
      </c>
      <c r="I95" s="68"/>
      <c r="J95" s="67"/>
      <c r="K95" s="65"/>
      <c r="L95" s="65" t="s">
        <v>418</v>
      </c>
      <c r="M95" s="75" t="s">
        <v>25</v>
      </c>
      <c r="N95" s="68"/>
      <c r="O95" s="69" t="s">
        <v>122</v>
      </c>
      <c r="P95" s="65" t="s">
        <v>429</v>
      </c>
      <c r="Q95" s="69" t="s">
        <v>121</v>
      </c>
      <c r="R95" s="69"/>
      <c r="S95" s="70"/>
      <c r="T95" s="71"/>
      <c r="U95" s="68"/>
      <c r="V95" s="65">
        <f>WEEKNUM(Tabla1[[#This Row],[Fecha]])</f>
        <v>48</v>
      </c>
    </row>
    <row r="96" spans="1:22" ht="135" x14ac:dyDescent="0.25">
      <c r="A96" s="63">
        <v>94</v>
      </c>
      <c r="B96" s="64">
        <v>45986</v>
      </c>
      <c r="C96" s="65" t="s">
        <v>20</v>
      </c>
      <c r="D96" s="66" t="s">
        <v>420</v>
      </c>
      <c r="E96" s="66" t="s">
        <v>421</v>
      </c>
      <c r="F96" s="66" t="s">
        <v>422</v>
      </c>
      <c r="G96" s="67"/>
      <c r="H96" s="65" t="s">
        <v>419</v>
      </c>
      <c r="I96" s="68">
        <v>20386303003</v>
      </c>
      <c r="J96" s="67"/>
      <c r="K96" s="65" t="s">
        <v>23</v>
      </c>
      <c r="L96" s="65" t="s">
        <v>418</v>
      </c>
      <c r="M96" s="75" t="s">
        <v>25</v>
      </c>
      <c r="N96" s="68"/>
      <c r="O96" s="69" t="s">
        <v>122</v>
      </c>
      <c r="P96" s="65" t="s">
        <v>433</v>
      </c>
      <c r="Q96" s="69" t="s">
        <v>121</v>
      </c>
      <c r="R96" s="69"/>
      <c r="S96" s="70"/>
      <c r="T96" s="71"/>
      <c r="U96" s="81">
        <v>45988</v>
      </c>
      <c r="V96" s="65">
        <f>WEEKNUM(Tabla1[[#This Row],[Fecha]])</f>
        <v>48</v>
      </c>
    </row>
    <row r="97" spans="1:22" ht="165" x14ac:dyDescent="0.25">
      <c r="A97" s="63">
        <v>95</v>
      </c>
      <c r="B97" s="64">
        <v>45987</v>
      </c>
      <c r="C97" s="37" t="s">
        <v>20</v>
      </c>
      <c r="D97" s="40" t="s">
        <v>426</v>
      </c>
      <c r="E97" s="40" t="s">
        <v>427</v>
      </c>
      <c r="F97" s="40">
        <v>972548355</v>
      </c>
      <c r="G97" s="58" t="s">
        <v>428</v>
      </c>
      <c r="H97" s="37" t="s">
        <v>192</v>
      </c>
      <c r="I97" s="22">
        <v>20608345770</v>
      </c>
      <c r="J97" s="27"/>
      <c r="K97" s="37" t="s">
        <v>193</v>
      </c>
      <c r="L97" s="37" t="s">
        <v>450</v>
      </c>
      <c r="M97" s="37" t="s">
        <v>135</v>
      </c>
      <c r="N97" s="22"/>
      <c r="O97" s="41"/>
      <c r="P97" s="37" t="s">
        <v>432</v>
      </c>
      <c r="Q97" s="41" t="s">
        <v>124</v>
      </c>
      <c r="R97" s="41"/>
      <c r="S97" s="56" t="s">
        <v>423</v>
      </c>
      <c r="T97" s="43"/>
      <c r="U97" s="21">
        <v>45988</v>
      </c>
      <c r="V97" s="37">
        <f>WEEKNUM(Tabla1[[#This Row],[Fecha]])</f>
        <v>48</v>
      </c>
    </row>
    <row r="98" spans="1:22" ht="60" x14ac:dyDescent="0.25">
      <c r="A98" s="63">
        <v>96</v>
      </c>
      <c r="B98" s="64">
        <v>45987</v>
      </c>
      <c r="C98" s="37" t="s">
        <v>20</v>
      </c>
      <c r="D98" s="66" t="s">
        <v>434</v>
      </c>
      <c r="E98" s="66" t="s">
        <v>435</v>
      </c>
      <c r="F98" s="66"/>
      <c r="G98" s="67"/>
      <c r="H98" s="65" t="s">
        <v>419</v>
      </c>
      <c r="I98" s="68">
        <v>20386303003</v>
      </c>
      <c r="J98" s="67"/>
      <c r="K98" s="65" t="s">
        <v>23</v>
      </c>
      <c r="L98" s="65" t="s">
        <v>418</v>
      </c>
      <c r="M98" s="75" t="s">
        <v>25</v>
      </c>
      <c r="N98" s="68"/>
      <c r="O98" s="69" t="s">
        <v>27</v>
      </c>
      <c r="P98" s="65" t="s">
        <v>436</v>
      </c>
      <c r="Q98" s="69" t="s">
        <v>121</v>
      </c>
      <c r="R98" s="69"/>
      <c r="S98" s="70"/>
      <c r="T98" s="71"/>
      <c r="U98" s="68"/>
      <c r="V98" s="65">
        <f>WEEKNUM(Tabla1[[#This Row],[Fecha]])</f>
        <v>48</v>
      </c>
    </row>
    <row r="99" spans="1:22" ht="105" x14ac:dyDescent="0.25">
      <c r="A99" s="63">
        <v>97</v>
      </c>
      <c r="B99" s="64">
        <v>45987</v>
      </c>
      <c r="C99" s="37" t="s">
        <v>20</v>
      </c>
      <c r="D99" s="66" t="s">
        <v>439</v>
      </c>
      <c r="E99" s="66" t="s">
        <v>163</v>
      </c>
      <c r="F99" s="66"/>
      <c r="G99" s="72" t="s">
        <v>437</v>
      </c>
      <c r="H99" s="65" t="s">
        <v>438</v>
      </c>
      <c r="I99" s="68"/>
      <c r="J99" s="67"/>
      <c r="K99" s="65" t="s">
        <v>23</v>
      </c>
      <c r="L99" s="65" t="s">
        <v>160</v>
      </c>
      <c r="M99" s="75" t="s">
        <v>25</v>
      </c>
      <c r="N99" s="68"/>
      <c r="O99" s="69" t="s">
        <v>122</v>
      </c>
      <c r="P99" s="65" t="s">
        <v>440</v>
      </c>
      <c r="Q99" s="69" t="s">
        <v>121</v>
      </c>
      <c r="R99" s="69"/>
      <c r="S99" s="70"/>
      <c r="T99" s="71"/>
      <c r="U99" s="68"/>
      <c r="V99" s="65">
        <f>WEEKNUM(Tabla1[[#This Row],[Fecha]])</f>
        <v>48</v>
      </c>
    </row>
    <row r="100" spans="1:22" ht="120" x14ac:dyDescent="0.25">
      <c r="A100" s="63">
        <v>98</v>
      </c>
      <c r="B100" s="64">
        <v>45987</v>
      </c>
      <c r="C100" s="37" t="s">
        <v>20</v>
      </c>
      <c r="D100" s="66" t="s">
        <v>441</v>
      </c>
      <c r="E100" s="66" t="s">
        <v>206</v>
      </c>
      <c r="F100" s="66">
        <v>2157000</v>
      </c>
      <c r="G100" s="72" t="s">
        <v>442</v>
      </c>
      <c r="H100" s="65" t="s">
        <v>443</v>
      </c>
      <c r="I100" s="68">
        <v>20136957253</v>
      </c>
      <c r="J100" s="67"/>
      <c r="K100" s="65" t="s">
        <v>23</v>
      </c>
      <c r="L100" s="65" t="s">
        <v>160</v>
      </c>
      <c r="M100" s="75" t="s">
        <v>25</v>
      </c>
      <c r="N100" s="68"/>
      <c r="O100" s="69" t="s">
        <v>122</v>
      </c>
      <c r="P100" s="65" t="s">
        <v>444</v>
      </c>
      <c r="Q100" s="69" t="s">
        <v>29</v>
      </c>
      <c r="R100" s="69"/>
      <c r="S100" s="70"/>
      <c r="T100" s="71"/>
      <c r="U100" s="68"/>
      <c r="V100" s="65">
        <f>WEEKNUM(Tabla1[[#This Row],[Fecha]])</f>
        <v>48</v>
      </c>
    </row>
    <row r="101" spans="1:22" ht="45" x14ac:dyDescent="0.25">
      <c r="A101" s="63">
        <v>99</v>
      </c>
      <c r="B101" s="64">
        <v>45987</v>
      </c>
      <c r="C101" s="65" t="s">
        <v>20</v>
      </c>
      <c r="D101" s="66" t="s">
        <v>445</v>
      </c>
      <c r="E101" s="66" t="s">
        <v>446</v>
      </c>
      <c r="F101" s="66"/>
      <c r="G101" s="72" t="s">
        <v>448</v>
      </c>
      <c r="H101" s="65" t="s">
        <v>414</v>
      </c>
      <c r="I101" s="68"/>
      <c r="J101" s="67"/>
      <c r="K101" s="65" t="s">
        <v>23</v>
      </c>
      <c r="L101" s="65" t="s">
        <v>24</v>
      </c>
      <c r="M101" s="75" t="s">
        <v>25</v>
      </c>
      <c r="N101" s="68"/>
      <c r="O101" s="69" t="s">
        <v>122</v>
      </c>
      <c r="P101" s="65" t="s">
        <v>447</v>
      </c>
      <c r="Q101" s="69" t="s">
        <v>121</v>
      </c>
      <c r="R101" s="69"/>
      <c r="S101" s="70"/>
      <c r="T101" s="71"/>
      <c r="U101" s="68"/>
      <c r="V101" s="65">
        <f>WEEKNUM(Tabla1[[#This Row],[Fecha]])</f>
        <v>48</v>
      </c>
    </row>
  </sheetData>
  <hyperlinks>
    <hyperlink ref="J4" r:id="rId1" xr:uid="{E17294EA-E63B-094F-9D0F-2848A534FCB4}"/>
    <hyperlink ref="G4" r:id="rId2" xr:uid="{26C051A6-CD68-6144-BB23-E794A660302C}"/>
    <hyperlink ref="J5" r:id="rId3" xr:uid="{6A10D815-11D4-F947-B71D-BDABD742CA0E}"/>
    <hyperlink ref="G5" r:id="rId4" xr:uid="{2CDCA5D5-F2DC-EA44-B289-42A2BD1BFAD7}"/>
    <hyperlink ref="J6" r:id="rId5" xr:uid="{9F76C654-1734-7543-8B97-EEF800763FA9}"/>
    <hyperlink ref="J7" r:id="rId6" xr:uid="{7225BFF4-7B39-804F-BC72-B0976198BA8A}"/>
    <hyperlink ref="J9" r:id="rId7" xr:uid="{A3E153B7-70BD-1B44-BBF7-B812759DF8C3}"/>
    <hyperlink ref="J8" r:id="rId8" xr:uid="{0198474D-885A-274B-9942-E5C1D726A41D}"/>
    <hyperlink ref="J10" r:id="rId9" xr:uid="{1F110FB9-1BB3-C245-92D4-ED5F4C87089C}"/>
    <hyperlink ref="G10" r:id="rId10" xr:uid="{6A710F32-4C38-EF4C-83E5-168EF02DAB30}"/>
    <hyperlink ref="J11" r:id="rId11" xr:uid="{58D52DB8-518B-5148-9C1B-3BFBE2F4AB6B}"/>
    <hyperlink ref="G11" r:id="rId12" display="informes@sanjose.com.pe" xr:uid="{9963520E-E971-7246-94BA-68632D19A9E4}"/>
    <hyperlink ref="G12" r:id="rId13" xr:uid="{45BF0770-4919-4349-AAFE-EBCDDC027BDC}"/>
    <hyperlink ref="G13" r:id="rId14" xr:uid="{6969FE26-AD71-4E4B-AE68-FB55C77324CC}"/>
    <hyperlink ref="J13" r:id="rId15" xr:uid="{E29191F2-0D70-9B47-B606-B3555E6B23EF}"/>
    <hyperlink ref="J14" r:id="rId16" xr:uid="{D928C2B6-BDAA-ED4D-83A0-CDA24F619342}"/>
    <hyperlink ref="J15" r:id="rId17" xr:uid="{8E0F1672-42E6-5542-8259-6B5A7F8F4791}"/>
    <hyperlink ref="G15" r:id="rId18" xr:uid="{733E1B0B-32A0-E54A-9656-04F6A9609AC5}"/>
    <hyperlink ref="J16" r:id="rId19" xr:uid="{25D8842F-4A76-DB49-BE40-0C23CC68E8BD}"/>
    <hyperlink ref="G16" r:id="rId20" xr:uid="{5F0CB4F0-B9F9-1046-A439-F91DC55D7A31}"/>
    <hyperlink ref="J17" r:id="rId21" xr:uid="{20D3A68A-1A63-4E48-A651-6A408BC96652}"/>
    <hyperlink ref="J18" r:id="rId22" xr:uid="{BBED15CB-71EF-F940-A87B-1D8F4C68041B}"/>
    <hyperlink ref="J19" r:id="rId23" xr:uid="{00B6FB0D-AFE9-3542-8E6D-ADCC7A6EBBBD}"/>
    <hyperlink ref="G19" r:id="rId24" xr:uid="{67E1682F-FF0E-434B-B700-F858EFB11B98}"/>
    <hyperlink ref="J20" r:id="rId25" xr:uid="{393BDF0C-3B60-9B4E-B7D9-5E3B1456421C}"/>
    <hyperlink ref="J21" r:id="rId26" xr:uid="{96EA4C00-A61E-43D3-8F07-91D43A18AA86}"/>
    <hyperlink ref="J23" r:id="rId27" xr:uid="{C7C4865B-8434-4236-81BF-284BF44C78A3}"/>
    <hyperlink ref="J24" r:id="rId28" xr:uid="{AC150492-AAA3-477B-82AD-6EF2941DCCEC}"/>
    <hyperlink ref="J25" r:id="rId29" xr:uid="{8734078C-0D84-42BE-BDB8-52A8FA1F5734}"/>
    <hyperlink ref="G26" r:id="rId30" xr:uid="{3B38108E-D7B7-4E42-B87E-50A81D5CE52B}"/>
    <hyperlink ref="J27" r:id="rId31" xr:uid="{3B688F3E-4695-4309-B2BD-CD23535E2AEA}"/>
    <hyperlink ref="G28" r:id="rId32" xr:uid="{00580B1F-53BF-45BC-A6B1-D4CAC8053DBB}"/>
    <hyperlink ref="J28" r:id="rId33" xr:uid="{5B42E794-12C0-4186-971E-0D6F22FE7C47}"/>
    <hyperlink ref="G33" r:id="rId34" xr:uid="{4F600A55-8D4A-4A51-80AF-864614E1E880}"/>
    <hyperlink ref="G32" r:id="rId35" xr:uid="{03728FFC-1B61-41F0-9076-5275E4B5F9CC}"/>
    <hyperlink ref="G34" r:id="rId36" xr:uid="{F162E9F1-2425-43C5-9261-C8B674F8631D}"/>
    <hyperlink ref="G37" r:id="rId37" xr:uid="{E3BD4193-A8A9-4C52-96CE-9535DA4F1505}"/>
    <hyperlink ref="G38" r:id="rId38" xr:uid="{7C1EFE4D-D7DF-4795-BF77-72FB77F4EA52}"/>
    <hyperlink ref="G39" r:id="rId39" xr:uid="{AC6110DF-00BA-4181-AAE4-846C6ADF65F7}"/>
    <hyperlink ref="G40" r:id="rId40" xr:uid="{162C1FE0-EC41-49F5-8718-3160B45C897B}"/>
    <hyperlink ref="J40" r:id="rId41" xr:uid="{1A292501-06D2-4FF1-9EED-5488F516D03A}"/>
    <hyperlink ref="G41" r:id="rId42" xr:uid="{8301345E-601A-47CC-A59E-D8C72F351D4F}"/>
    <hyperlink ref="G42" r:id="rId43" xr:uid="{D9822C77-9981-4E6F-B874-B81B6CDF9964}"/>
    <hyperlink ref="J43" r:id="rId44" xr:uid="{3A9FFCFE-DE76-4F83-9307-72D480CBE545}"/>
    <hyperlink ref="J44" r:id="rId45" xr:uid="{C6175D7C-B8EC-4549-9E8A-FE6238CDB0EE}"/>
    <hyperlink ref="G45" r:id="rId46" xr:uid="{628A6A0F-EE5D-4E7B-96D2-FAD6B1C9CDB3}"/>
    <hyperlink ref="G46" r:id="rId47" xr:uid="{2F3F29D7-2994-41D5-A92C-554AB52B946C}"/>
    <hyperlink ref="G47" r:id="rId48" display="leonardo.rodriguez@decapolisperu.com" xr:uid="{40D3AC64-151C-43EB-BDD9-37FD05409F81}"/>
    <hyperlink ref="G48" r:id="rId49" xr:uid="{438508FD-997A-453F-AEDF-87A395AE4EDB}"/>
    <hyperlink ref="J48" r:id="rId50" xr:uid="{2D3F0EBF-697D-4BBB-A2ED-8675B1C0F1F9}"/>
    <hyperlink ref="G49" r:id="rId51" xr:uid="{5F823EA4-A2A5-45A4-B232-D2DFE6748AE7}"/>
    <hyperlink ref="G50" r:id="rId52" xr:uid="{98DBC98B-A82E-42D8-81F7-1B03C0F4D2AC}"/>
    <hyperlink ref="G51" r:id="rId53" xr:uid="{AFF08BCE-3897-4696-817E-C3D9CCC3C0CA}"/>
    <hyperlink ref="G52" r:id="rId54" xr:uid="{603E84FE-8157-4494-BBC4-F19F34FAB2E8}"/>
    <hyperlink ref="G57" r:id="rId55" xr:uid="{B019BF2D-11ED-4AEE-BABB-CBB5134BF9C5}"/>
    <hyperlink ref="G59" r:id="rId56" xr:uid="{98AE05A2-880D-4067-870C-6D205A68FFE6}"/>
    <hyperlink ref="G60" r:id="rId57" xr:uid="{2FAB99A6-E285-4470-80C4-5ADFF0B22583}"/>
    <hyperlink ref="J60" r:id="rId58" xr:uid="{B39358A0-0027-43D9-ABE5-B35F5F4E8FFE}"/>
    <hyperlink ref="G62" r:id="rId59" xr:uid="{CDE30D3C-2E9B-4E0F-B37F-03E887023AE1}"/>
    <hyperlink ref="G63" r:id="rId60" xr:uid="{A0029AF5-75B3-4C92-B58A-C3712FCC7428}"/>
    <hyperlink ref="J64" r:id="rId61" xr:uid="{78E969E8-0C52-4852-A2BF-6FA991900F71}"/>
    <hyperlink ref="G61" r:id="rId62" xr:uid="{E75E0C56-7CD8-4FCB-918A-7D897613AF49}"/>
    <hyperlink ref="G67" r:id="rId63" xr:uid="{BAE67049-A9DD-400C-8C76-29548B7960E5}"/>
    <hyperlink ref="G68" r:id="rId64" xr:uid="{A5448D55-75BE-4AE7-8452-921328CA2780}"/>
    <hyperlink ref="G69" r:id="rId65" xr:uid="{DF5568A6-BF63-4648-8A0D-4D1B8E25ED0D}"/>
    <hyperlink ref="G70" r:id="rId66" xr:uid="{B01A2510-1719-43CF-8D7E-1E81E5821167}"/>
    <hyperlink ref="G71" r:id="rId67" xr:uid="{E9AF1083-ED88-47F0-8626-802AC28C205F}"/>
    <hyperlink ref="G72" r:id="rId68" xr:uid="{5F3F0506-BB02-4298-9FED-11C15CEBA8EC}"/>
    <hyperlink ref="G74" r:id="rId69" xr:uid="{F8D49659-44F2-46F4-BE09-66DDA6E1E34E}"/>
    <hyperlink ref="G75" r:id="rId70" xr:uid="{B9844A7B-BA3C-4BF8-8ADB-EA86CB581E3E}"/>
    <hyperlink ref="G77" r:id="rId71" xr:uid="{E132E245-5500-4592-A84C-9B9CDF692B8B}"/>
    <hyperlink ref="G81" r:id="rId72" xr:uid="{0DB2F89A-6957-4978-A4EA-D1FC3238868F}"/>
    <hyperlink ref="G82" r:id="rId73" xr:uid="{05312B98-9D67-4DA2-9870-4EA4A858846C}"/>
    <hyperlink ref="G87" r:id="rId74" xr:uid="{5B1F529E-9187-48C1-885B-7B82698E656C}"/>
    <hyperlink ref="G88" r:id="rId75" xr:uid="{1D486001-BB20-4200-ACD6-AF4FE4CB6BFD}"/>
    <hyperlink ref="G90" r:id="rId76" xr:uid="{DFD1588A-8F7F-47E6-9061-EC8BBA278204}"/>
    <hyperlink ref="G91" r:id="rId77" xr:uid="{EE43D1C8-8DA2-4DAF-AF8E-A4B265935FC2}"/>
    <hyperlink ref="G93" r:id="rId78" xr:uid="{370656B9-5241-44AD-B536-A798719D5CFE}"/>
    <hyperlink ref="G97" r:id="rId79" display="gserquen@aquanqa,pe" xr:uid="{159D01CA-AFCB-4EA1-990B-17D8B964CC5B}"/>
    <hyperlink ref="G99" r:id="rId80" xr:uid="{7ABB1CD7-17CF-44E6-A493-01477526BE14}"/>
    <hyperlink ref="G100" r:id="rId81" xr:uid="{54DF26A6-BA5D-458F-9046-910E924245CF}"/>
    <hyperlink ref="G101" r:id="rId82" xr:uid="{AE81414D-B3A0-4F07-8A18-2C78B659AEBF}"/>
  </hyperlinks>
  <pageMargins left="0.7" right="0.7" top="0.75" bottom="0.75" header="0.3" footer="0.3"/>
  <tableParts count="1">
    <tablePart r:id="rId83"/>
  </tableParts>
  <extLst>
    <ext xmlns:x14="http://schemas.microsoft.com/office/spreadsheetml/2009/9/main" uri="{CCE6A557-97BC-4b89-ADB6-D9C93CAAB3DF}">
      <x14:dataValidations xmlns:xm="http://schemas.microsoft.com/office/excel/2006/main" count="3">
        <x14:dataValidation type="list" allowBlank="1" showInputMessage="1" showErrorMessage="1" xr:uid="{37EE31FC-0116-41D9-B195-FEF9DE82067B}">
          <x14:formula1>
            <xm:f>Detalle!$C$17:$C$29</xm:f>
          </x14:formula1>
          <xm:sqref>M2:M47 M49:M101</xm:sqref>
        </x14:dataValidation>
        <x14:dataValidation type="list" allowBlank="1" showInputMessage="1" showErrorMessage="1" xr:uid="{D628EFC2-5AC8-43D9-9278-31F7098E906B}">
          <x14:formula1>
            <xm:f>Detalle!$C$6:$C$12</xm:f>
          </x14:formula1>
          <xm:sqref>Q2:Q101</xm:sqref>
        </x14:dataValidation>
        <x14:dataValidation type="list" allowBlank="1" showInputMessage="1" showErrorMessage="1" xr:uid="{43B3AFC8-066F-4664-8749-DB5651B25603}">
          <x14:formula1>
            <xm:f>Detalle!$G$6:$G$10</xm:f>
          </x14:formula1>
          <xm:sqref>O2:O101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BBC55-9F05-4612-ACAD-E5CED31E7CF4}">
  <dimension ref="A1:N6"/>
  <sheetViews>
    <sheetView tabSelected="1" zoomScale="115" zoomScaleNormal="115" workbookViewId="0">
      <selection activeCell="E13" sqref="E13"/>
    </sheetView>
  </sheetViews>
  <sheetFormatPr baseColWidth="10" defaultRowHeight="15.75" x14ac:dyDescent="0.25"/>
  <cols>
    <col min="1" max="1" width="9.125" customWidth="1"/>
    <col min="2" max="2" width="11" bestFit="1" customWidth="1"/>
    <col min="3" max="3" width="11" customWidth="1"/>
    <col min="4" max="4" width="24.625" bestFit="1" customWidth="1"/>
    <col min="5" max="6" width="12.5" customWidth="1"/>
    <col min="7" max="7" width="15.25" bestFit="1" customWidth="1"/>
    <col min="8" max="11" width="12.5" customWidth="1"/>
  </cols>
  <sheetData>
    <row r="1" spans="1:14" x14ac:dyDescent="0.25">
      <c r="A1" s="83" t="s">
        <v>290</v>
      </c>
      <c r="B1" s="83"/>
      <c r="C1" s="83"/>
      <c r="D1" s="83"/>
      <c r="E1" s="83"/>
      <c r="F1" s="83"/>
      <c r="G1" s="83"/>
      <c r="H1" s="83"/>
      <c r="I1" s="83"/>
      <c r="J1" s="83"/>
      <c r="K1" s="83"/>
      <c r="L1" s="83"/>
      <c r="M1" s="83"/>
      <c r="N1" s="83"/>
    </row>
    <row r="3" spans="1:14" x14ac:dyDescent="0.25">
      <c r="A3" s="18" t="s">
        <v>0</v>
      </c>
      <c r="B3" s="18" t="s">
        <v>319</v>
      </c>
      <c r="C3" s="18" t="s">
        <v>453</v>
      </c>
      <c r="D3" s="18" t="s">
        <v>306</v>
      </c>
      <c r="E3" s="18" t="s">
        <v>7</v>
      </c>
      <c r="F3" s="18" t="s">
        <v>452</v>
      </c>
      <c r="G3" s="18" t="s">
        <v>309</v>
      </c>
      <c r="H3" s="18" t="s">
        <v>313</v>
      </c>
      <c r="I3" s="18" t="s">
        <v>315</v>
      </c>
      <c r="J3" s="18" t="s">
        <v>311</v>
      </c>
      <c r="K3" s="18" t="s">
        <v>454</v>
      </c>
      <c r="L3" s="18" t="s">
        <v>318</v>
      </c>
      <c r="M3" s="18" t="s">
        <v>307</v>
      </c>
      <c r="N3" s="18" t="s">
        <v>308</v>
      </c>
    </row>
    <row r="4" spans="1:14" x14ac:dyDescent="0.25">
      <c r="A4">
        <v>1</v>
      </c>
      <c r="B4" s="16">
        <v>45974</v>
      </c>
      <c r="C4" s="16"/>
      <c r="D4" t="s">
        <v>317</v>
      </c>
      <c r="G4" t="s">
        <v>310</v>
      </c>
      <c r="H4" t="s">
        <v>314</v>
      </c>
      <c r="I4" s="15" t="s">
        <v>316</v>
      </c>
      <c r="J4" t="s">
        <v>312</v>
      </c>
      <c r="L4" s="17">
        <v>3474.58</v>
      </c>
      <c r="M4" s="17">
        <v>625.42399999999998</v>
      </c>
      <c r="N4" s="17">
        <f>+M4+L4</f>
        <v>4100.0039999999999</v>
      </c>
    </row>
    <row r="5" spans="1:14" x14ac:dyDescent="0.25">
      <c r="A5">
        <v>2</v>
      </c>
      <c r="B5" s="16">
        <v>45976</v>
      </c>
      <c r="C5" s="16"/>
      <c r="D5" t="s">
        <v>357</v>
      </c>
      <c r="E5">
        <v>20601646367</v>
      </c>
      <c r="G5" t="s">
        <v>358</v>
      </c>
      <c r="H5" t="s">
        <v>354</v>
      </c>
      <c r="I5" t="s">
        <v>355</v>
      </c>
      <c r="J5" t="s">
        <v>356</v>
      </c>
      <c r="L5" s="17">
        <f>+N5/1.18</f>
        <v>14406.77966101695</v>
      </c>
      <c r="M5" s="17">
        <f>+N5-L5</f>
        <v>2593.2203389830502</v>
      </c>
      <c r="N5" s="17">
        <v>17000</v>
      </c>
    </row>
    <row r="6" spans="1:14" x14ac:dyDescent="0.25">
      <c r="A6">
        <v>3</v>
      </c>
      <c r="B6" s="16">
        <v>45980</v>
      </c>
      <c r="C6" s="16"/>
      <c r="D6" t="s">
        <v>359</v>
      </c>
      <c r="E6">
        <v>20613618687</v>
      </c>
      <c r="G6" t="s">
        <v>360</v>
      </c>
      <c r="H6" t="s">
        <v>361</v>
      </c>
      <c r="I6" t="s">
        <v>362</v>
      </c>
      <c r="J6" t="s">
        <v>312</v>
      </c>
      <c r="L6" s="17">
        <v>3950</v>
      </c>
      <c r="M6" s="17">
        <f>+N6-L6</f>
        <v>711</v>
      </c>
      <c r="N6" s="17">
        <v>4661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5761F-1E65-0C46-B541-CF9FDF10F8D0}">
  <dimension ref="C4:G30"/>
  <sheetViews>
    <sheetView zoomScale="83" workbookViewId="0">
      <selection activeCell="C13" sqref="C13"/>
    </sheetView>
  </sheetViews>
  <sheetFormatPr baseColWidth="10" defaultColWidth="10.5" defaultRowHeight="15.75" x14ac:dyDescent="0.25"/>
  <cols>
    <col min="3" max="3" width="29.375" bestFit="1" customWidth="1"/>
  </cols>
  <sheetData>
    <row r="4" spans="3:7" x14ac:dyDescent="0.25">
      <c r="C4" s="3" t="s">
        <v>15</v>
      </c>
      <c r="D4" s="3"/>
      <c r="E4" s="3" t="s">
        <v>12</v>
      </c>
      <c r="F4" s="3"/>
      <c r="G4" s="3" t="s">
        <v>13</v>
      </c>
    </row>
    <row r="6" spans="3:7" x14ac:dyDescent="0.25">
      <c r="C6" t="s">
        <v>121</v>
      </c>
      <c r="E6" t="s">
        <v>26</v>
      </c>
      <c r="G6" t="s">
        <v>122</v>
      </c>
    </row>
    <row r="7" spans="3:7" x14ac:dyDescent="0.25">
      <c r="C7" t="s">
        <v>29</v>
      </c>
      <c r="E7" t="s">
        <v>123</v>
      </c>
      <c r="G7" t="s">
        <v>8</v>
      </c>
    </row>
    <row r="8" spans="3:7" x14ac:dyDescent="0.25">
      <c r="C8" t="s">
        <v>124</v>
      </c>
      <c r="E8" t="s">
        <v>125</v>
      </c>
      <c r="G8" t="s">
        <v>126</v>
      </c>
    </row>
    <row r="9" spans="3:7" x14ac:dyDescent="0.25">
      <c r="C9" t="s">
        <v>127</v>
      </c>
      <c r="G9" t="s">
        <v>128</v>
      </c>
    </row>
    <row r="10" spans="3:7" x14ac:dyDescent="0.25">
      <c r="C10" t="s">
        <v>129</v>
      </c>
      <c r="G10" t="s">
        <v>27</v>
      </c>
    </row>
    <row r="11" spans="3:7" x14ac:dyDescent="0.25">
      <c r="C11" t="s">
        <v>130</v>
      </c>
    </row>
    <row r="12" spans="3:7" x14ac:dyDescent="0.25">
      <c r="C12" t="s">
        <v>131</v>
      </c>
    </row>
    <row r="13" spans="3:7" x14ac:dyDescent="0.25">
      <c r="C13" s="25" t="s">
        <v>341</v>
      </c>
    </row>
    <row r="16" spans="3:7" x14ac:dyDescent="0.25">
      <c r="C16" s="4" t="s">
        <v>11</v>
      </c>
    </row>
    <row r="17" spans="3:3" x14ac:dyDescent="0.25">
      <c r="C17" s="4" t="s">
        <v>132</v>
      </c>
    </row>
    <row r="18" spans="3:3" x14ac:dyDescent="0.25">
      <c r="C18" s="4" t="s">
        <v>133</v>
      </c>
    </row>
    <row r="19" spans="3:3" x14ac:dyDescent="0.25">
      <c r="C19" s="4" t="s">
        <v>134</v>
      </c>
    </row>
    <row r="20" spans="3:3" x14ac:dyDescent="0.25">
      <c r="C20" s="4" t="s">
        <v>25</v>
      </c>
    </row>
    <row r="21" spans="3:3" x14ac:dyDescent="0.25">
      <c r="C21" s="4" t="s">
        <v>135</v>
      </c>
    </row>
    <row r="22" spans="3:3" x14ac:dyDescent="0.25">
      <c r="C22" s="4" t="s">
        <v>136</v>
      </c>
    </row>
    <row r="23" spans="3:3" x14ac:dyDescent="0.25">
      <c r="C23" s="4" t="s">
        <v>137</v>
      </c>
    </row>
    <row r="24" spans="3:3" x14ac:dyDescent="0.25">
      <c r="C24" s="4" t="s">
        <v>138</v>
      </c>
    </row>
    <row r="25" spans="3:3" x14ac:dyDescent="0.25">
      <c r="C25" s="4" t="s">
        <v>139</v>
      </c>
    </row>
    <row r="26" spans="3:3" x14ac:dyDescent="0.25">
      <c r="C26" s="4" t="s">
        <v>140</v>
      </c>
    </row>
    <row r="27" spans="3:3" x14ac:dyDescent="0.25">
      <c r="C27" s="4" t="s">
        <v>141</v>
      </c>
    </row>
    <row r="28" spans="3:3" x14ac:dyDescent="0.25">
      <c r="C28" s="4" t="s">
        <v>142</v>
      </c>
    </row>
    <row r="29" spans="3:3" x14ac:dyDescent="0.25">
      <c r="C29" s="4" t="s">
        <v>143</v>
      </c>
    </row>
    <row r="30" spans="3:3" x14ac:dyDescent="0.25">
      <c r="C30"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28CC6E-CE6B-403C-A422-C967849933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AGENDA</vt:lpstr>
      <vt:lpstr>CRM</vt:lpstr>
      <vt:lpstr>CIERRE</vt:lpstr>
      <vt:lpstr>Detalle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Office</cp:lastModifiedBy>
  <cp:revision/>
  <dcterms:created xsi:type="dcterms:W3CDTF">2025-10-16T15:13:13Z</dcterms:created>
  <dcterms:modified xsi:type="dcterms:W3CDTF">2025-11-28T21:59:22Z</dcterms:modified>
  <cp:category/>
  <cp:contentStatus/>
</cp:coreProperties>
</file>